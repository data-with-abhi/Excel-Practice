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c87cf07131d392/Desktop/Excel/Excel Practice/"/>
    </mc:Choice>
  </mc:AlternateContent>
  <xr:revisionPtr revIDLastSave="52" documentId="13_ncr:1_{C31C710F-8230-4000-B525-5E2379D9DE48}" xr6:coauthVersionLast="47" xr6:coauthVersionMax="47" xr10:uidLastSave="{B68435F8-A5E7-49CC-B1C1-374A9D72653D}"/>
  <bookViews>
    <workbookView xWindow="-108" yWindow="-108" windowWidth="23256" windowHeight="12456" firstSheet="8" activeTab="11" xr2:uid="{D6A5C6F3-C765-4B67-BC57-69631C052840}"/>
  </bookViews>
  <sheets>
    <sheet name="Ch-1" sheetId="1" r:id="rId1"/>
    <sheet name="Conditional Formatting" sheetId="2" r:id="rId2"/>
    <sheet name="Data Cleaning and Prepration" sheetId="3" r:id="rId3"/>
    <sheet name="Remove Blank Rows" sheetId="4" r:id="rId4"/>
    <sheet name="Remove Blank Spaces" sheetId="5" r:id="rId5"/>
    <sheet name="Remove Space" sheetId="6" r:id="rId6"/>
    <sheet name="Change case using Formula" sheetId="7" r:id="rId7"/>
    <sheet name="Fix Negative Stock Values" sheetId="8" r:id="rId8"/>
    <sheet name="Split Data" sheetId="9" r:id="rId9"/>
    <sheet name="Logical Functions" sheetId="10" r:id="rId10"/>
    <sheet name="Logical Function" sheetId="11" r:id="rId11"/>
    <sheet name="Sort and Filter" sheetId="12" r:id="rId12"/>
    <sheet name="Vlookup" sheetId="13" r:id="rId13"/>
    <sheet name="Vlookup 2" sheetId="14" r:id="rId14"/>
    <sheet name="Vlookup with match" sheetId="15" r:id="rId15"/>
    <sheet name="Match with Index" sheetId="16" r:id="rId16"/>
    <sheet name="Statistical Formula" sheetId="17" r:id="rId17"/>
    <sheet name="Date Formula" sheetId="18" r:id="rId18"/>
    <sheet name="Datedif" sheetId="19" r:id="rId19"/>
    <sheet name="Network" sheetId="20" r:id="rId20"/>
    <sheet name="Sheet1" sheetId="21" r:id="rId21"/>
  </sheets>
  <definedNames>
    <definedName name="_xlnm._FilterDatabase" localSheetId="11" hidden="1">'Sort and Filter'!$A$1:$J$1001</definedName>
    <definedName name="Emp_type">'Vlookup 2'!$K$2:$L$8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2" i="12" l="1" a="1"/>
  <c r="AM2" i="12" s="1"/>
  <c r="AA2" i="12" a="1"/>
  <c r="AA2" i="12" s="1"/>
  <c r="I3" i="11"/>
  <c r="I4" i="11"/>
  <c r="I5" i="11"/>
  <c r="I6" i="11"/>
  <c r="I7" i="11"/>
  <c r="I8" i="11"/>
  <c r="I9" i="11"/>
  <c r="I10" i="11"/>
  <c r="I11" i="11"/>
  <c r="I12" i="11"/>
  <c r="I13" i="11"/>
  <c r="I2" i="11"/>
  <c r="H3" i="11"/>
  <c r="H4" i="11"/>
  <c r="H5" i="11"/>
  <c r="H6" i="11"/>
  <c r="H7" i="11"/>
  <c r="H8" i="11"/>
  <c r="H9" i="11"/>
  <c r="H10" i="11"/>
  <c r="H11" i="11"/>
  <c r="H12" i="11"/>
  <c r="H13" i="11"/>
  <c r="H2" i="11"/>
  <c r="C2" i="20"/>
  <c r="F3" i="19"/>
  <c r="F4" i="19"/>
  <c r="F5" i="19"/>
  <c r="F6" i="19"/>
  <c r="F2" i="19"/>
  <c r="E3" i="19"/>
  <c r="E4" i="19"/>
  <c r="E5" i="19"/>
  <c r="E6" i="19"/>
  <c r="E2" i="19"/>
  <c r="F3" i="18"/>
  <c r="F4" i="18"/>
  <c r="F5" i="18"/>
  <c r="F6" i="18"/>
  <c r="F2" i="18"/>
  <c r="E3" i="18"/>
  <c r="E4" i="18"/>
  <c r="E5" i="18"/>
  <c r="E6" i="18"/>
  <c r="E2" i="18"/>
  <c r="C3" i="18"/>
  <c r="C4" i="18"/>
  <c r="C5" i="18"/>
  <c r="C6" i="18"/>
  <c r="C2" i="18"/>
  <c r="N74" i="17"/>
  <c r="N75" i="17"/>
  <c r="N76" i="17"/>
  <c r="N77" i="17"/>
  <c r="N78" i="17"/>
  <c r="N79" i="17"/>
  <c r="N80" i="17"/>
  <c r="N81" i="17"/>
  <c r="N82" i="17"/>
  <c r="N83" i="17"/>
  <c r="N84" i="17"/>
  <c r="N85" i="17"/>
  <c r="N86" i="17"/>
  <c r="N87" i="17"/>
  <c r="N73" i="17"/>
  <c r="M74" i="17"/>
  <c r="M75" i="17"/>
  <c r="M76" i="17"/>
  <c r="M77" i="17"/>
  <c r="M78" i="17"/>
  <c r="M79" i="17"/>
  <c r="M80" i="17"/>
  <c r="M81" i="17"/>
  <c r="M82" i="17"/>
  <c r="M83" i="17"/>
  <c r="M84" i="17"/>
  <c r="M85" i="17"/>
  <c r="M86" i="17"/>
  <c r="M87" i="17"/>
  <c r="M73" i="17"/>
  <c r="M52" i="17"/>
  <c r="N52" i="17"/>
  <c r="O52" i="17"/>
  <c r="P52" i="17"/>
  <c r="Q52" i="17"/>
  <c r="M53" i="17"/>
  <c r="N53" i="17"/>
  <c r="O53" i="17"/>
  <c r="P53" i="17"/>
  <c r="Q53" i="17"/>
  <c r="M54" i="17"/>
  <c r="N54" i="17"/>
  <c r="O54" i="17"/>
  <c r="P54" i="17"/>
  <c r="Q54" i="17"/>
  <c r="M55" i="17"/>
  <c r="N55" i="17"/>
  <c r="O55" i="17"/>
  <c r="P55" i="17"/>
  <c r="Q55" i="17"/>
  <c r="M56" i="17"/>
  <c r="N56" i="17"/>
  <c r="O56" i="17"/>
  <c r="P56" i="17"/>
  <c r="Q56" i="17"/>
  <c r="M57" i="17"/>
  <c r="N57" i="17"/>
  <c r="O57" i="17"/>
  <c r="P57" i="17"/>
  <c r="Q57" i="17"/>
  <c r="M58" i="17"/>
  <c r="N58" i="17"/>
  <c r="O58" i="17"/>
  <c r="P58" i="17"/>
  <c r="Q58" i="17"/>
  <c r="M59" i="17"/>
  <c r="N59" i="17"/>
  <c r="O59" i="17"/>
  <c r="P59" i="17"/>
  <c r="Q59" i="17"/>
  <c r="M60" i="17"/>
  <c r="N60" i="17"/>
  <c r="O60" i="17"/>
  <c r="P60" i="17"/>
  <c r="Q60" i="17"/>
  <c r="M61" i="17"/>
  <c r="N61" i="17"/>
  <c r="O61" i="17"/>
  <c r="P61" i="17"/>
  <c r="Q61" i="17"/>
  <c r="M62" i="17"/>
  <c r="N62" i="17"/>
  <c r="O62" i="17"/>
  <c r="P62" i="17"/>
  <c r="Q62" i="17"/>
  <c r="M63" i="17"/>
  <c r="N63" i="17"/>
  <c r="O63" i="17"/>
  <c r="P63" i="17"/>
  <c r="Q63" i="17"/>
  <c r="M64" i="17"/>
  <c r="N64" i="17"/>
  <c r="O64" i="17"/>
  <c r="P64" i="17"/>
  <c r="Q64" i="17"/>
  <c r="M65" i="17"/>
  <c r="N65" i="17"/>
  <c r="O65" i="17"/>
  <c r="P65" i="17"/>
  <c r="Q65" i="17"/>
  <c r="M66" i="17"/>
  <c r="N66" i="17"/>
  <c r="O66" i="17"/>
  <c r="P66" i="17"/>
  <c r="Q66" i="17"/>
  <c r="M67" i="17"/>
  <c r="N67" i="17"/>
  <c r="O67" i="17"/>
  <c r="P67" i="17"/>
  <c r="Q67" i="17"/>
  <c r="M68" i="17"/>
  <c r="N68" i="17"/>
  <c r="O68" i="17"/>
  <c r="P68" i="17"/>
  <c r="Q68" i="17"/>
  <c r="M69" i="17"/>
  <c r="N69" i="17"/>
  <c r="O69" i="17"/>
  <c r="P69" i="17"/>
  <c r="Q69" i="17"/>
  <c r="M70" i="17"/>
  <c r="N70" i="17"/>
  <c r="O70" i="17"/>
  <c r="P70" i="17"/>
  <c r="Q70" i="17"/>
  <c r="Q51" i="17"/>
  <c r="N51" i="17"/>
  <c r="O51" i="17"/>
  <c r="P51" i="17"/>
  <c r="M51" i="17"/>
  <c r="M45" i="17"/>
  <c r="M46" i="17"/>
  <c r="M47" i="17"/>
  <c r="M48" i="17"/>
  <c r="M44" i="17"/>
  <c r="M23" i="17"/>
  <c r="N23" i="17"/>
  <c r="O23" i="17"/>
  <c r="M24" i="17"/>
  <c r="N24" i="17"/>
  <c r="O24" i="17"/>
  <c r="M25" i="17"/>
  <c r="N25" i="17"/>
  <c r="O25" i="17"/>
  <c r="M26" i="17"/>
  <c r="N26" i="17"/>
  <c r="O26" i="17"/>
  <c r="M27" i="17"/>
  <c r="N27" i="17"/>
  <c r="O27" i="17"/>
  <c r="M28" i="17"/>
  <c r="N28" i="17"/>
  <c r="O28" i="17"/>
  <c r="M29" i="17"/>
  <c r="N29" i="17"/>
  <c r="O29" i="17"/>
  <c r="M30" i="17"/>
  <c r="N30" i="17"/>
  <c r="O30" i="17"/>
  <c r="M31" i="17"/>
  <c r="N31" i="17"/>
  <c r="O31" i="17"/>
  <c r="M32" i="17"/>
  <c r="N32" i="17"/>
  <c r="O32" i="17"/>
  <c r="M33" i="17"/>
  <c r="N33" i="17"/>
  <c r="O33" i="17"/>
  <c r="M34" i="17"/>
  <c r="N34" i="17"/>
  <c r="O34" i="17"/>
  <c r="M35" i="17"/>
  <c r="N35" i="17"/>
  <c r="O35" i="17"/>
  <c r="M36" i="17"/>
  <c r="N36" i="17"/>
  <c r="O36" i="17"/>
  <c r="M37" i="17"/>
  <c r="N37" i="17"/>
  <c r="O37" i="17"/>
  <c r="M38" i="17"/>
  <c r="N38" i="17"/>
  <c r="O38" i="17"/>
  <c r="M39" i="17"/>
  <c r="N39" i="17"/>
  <c r="O39" i="17"/>
  <c r="M40" i="17"/>
  <c r="N40" i="17"/>
  <c r="O40" i="17"/>
  <c r="M41" i="17"/>
  <c r="N41" i="17"/>
  <c r="O41" i="17"/>
  <c r="N22" i="17"/>
  <c r="O22" i="17"/>
  <c r="M22" i="17"/>
  <c r="M18" i="17"/>
  <c r="M19" i="17"/>
  <c r="M17" i="17"/>
  <c r="M11" i="17"/>
  <c r="N11" i="17"/>
  <c r="O11" i="17"/>
  <c r="P11" i="17"/>
  <c r="Q11" i="17"/>
  <c r="M12" i="17"/>
  <c r="N12" i="17"/>
  <c r="O12" i="17"/>
  <c r="P12" i="17"/>
  <c r="Q12" i="17"/>
  <c r="M13" i="17"/>
  <c r="N13" i="17"/>
  <c r="O13" i="17"/>
  <c r="P13" i="17"/>
  <c r="Q13" i="17"/>
  <c r="M14" i="17"/>
  <c r="N14" i="17"/>
  <c r="O14" i="17"/>
  <c r="P14" i="17"/>
  <c r="Q14" i="17"/>
  <c r="N10" i="17"/>
  <c r="O10" i="17"/>
  <c r="P10" i="17"/>
  <c r="Q10" i="17"/>
  <c r="M10" i="17"/>
  <c r="M3" i="17"/>
  <c r="M4" i="17"/>
  <c r="M5" i="17"/>
  <c r="M6" i="17"/>
  <c r="M2" i="17"/>
  <c r="F13" i="16"/>
  <c r="C13" i="16"/>
  <c r="I7" i="15"/>
  <c r="I4" i="15"/>
  <c r="F3" i="14"/>
  <c r="F4" i="14"/>
  <c r="F5" i="14"/>
  <c r="F6" i="14"/>
  <c r="F7" i="14"/>
  <c r="F8" i="14"/>
  <c r="F9" i="14"/>
  <c r="F10" i="14"/>
  <c r="F11" i="14"/>
  <c r="F12" i="14"/>
  <c r="F13" i="14"/>
  <c r="F2" i="14"/>
  <c r="L6" i="13"/>
  <c r="L7" i="13"/>
  <c r="L8" i="13"/>
  <c r="L5" i="13"/>
  <c r="I6" i="13"/>
  <c r="I7" i="13"/>
  <c r="I8" i="13"/>
  <c r="I5" i="13"/>
  <c r="O2" i="12" a="1"/>
  <c r="O2" i="12" s="1"/>
  <c r="G3" i="11" a="1"/>
  <c r="G3" i="11" s="1"/>
  <c r="G4" i="11" a="1"/>
  <c r="G4" i="11" s="1"/>
  <c r="G5" i="11" a="1"/>
  <c r="G5" i="11"/>
  <c r="G6" i="11" a="1"/>
  <c r="G6" i="11"/>
  <c r="G7" i="11" a="1"/>
  <c r="G7" i="11"/>
  <c r="G8" i="11" a="1"/>
  <c r="G8" i="11" s="1"/>
  <c r="G9" i="11" a="1"/>
  <c r="G9" i="11"/>
  <c r="G10" i="11" a="1"/>
  <c r="G10" i="11"/>
  <c r="G11" i="11" a="1"/>
  <c r="G11" i="11"/>
  <c r="G12" i="11" a="1"/>
  <c r="G12" i="11"/>
  <c r="G13" i="11" a="1"/>
  <c r="G13" i="11"/>
  <c r="G2" i="11" a="1"/>
  <c r="G2" i="11" s="1"/>
  <c r="F3" i="11"/>
  <c r="F4" i="11"/>
  <c r="F5" i="11"/>
  <c r="F6" i="11"/>
  <c r="F7" i="11"/>
  <c r="F8" i="11"/>
  <c r="F9" i="11"/>
  <c r="F10" i="11"/>
  <c r="F11" i="11"/>
  <c r="F12" i="11"/>
  <c r="F13" i="11"/>
  <c r="F2" i="11"/>
  <c r="E3" i="11"/>
  <c r="E4" i="11"/>
  <c r="E5" i="11"/>
  <c r="E6" i="11"/>
  <c r="E7" i="11"/>
  <c r="E8" i="11"/>
  <c r="E9" i="11"/>
  <c r="E10" i="11"/>
  <c r="E11" i="11"/>
  <c r="E12" i="11"/>
  <c r="E13" i="11"/>
  <c r="E2" i="11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D308" i="10" s="1"/>
  <c r="C309" i="10"/>
  <c r="D309" i="10" s="1"/>
  <c r="C310" i="10"/>
  <c r="D310" i="10" s="1"/>
  <c r="C311" i="10"/>
  <c r="D311" i="10" s="1"/>
  <c r="C312" i="10"/>
  <c r="D312" i="10" s="1"/>
  <c r="C313" i="10"/>
  <c r="D313" i="10" s="1"/>
  <c r="C314" i="10"/>
  <c r="D314" i="10" s="1"/>
  <c r="C315" i="10"/>
  <c r="D315" i="10" s="1"/>
  <c r="C316" i="10"/>
  <c r="D316" i="10" s="1"/>
  <c r="C317" i="10"/>
  <c r="D317" i="10" s="1"/>
  <c r="C318" i="10"/>
  <c r="D318" i="10" s="1"/>
  <c r="C319" i="10"/>
  <c r="D319" i="10" s="1"/>
  <c r="C320" i="10"/>
  <c r="D320" i="10" s="1"/>
  <c r="C321" i="10"/>
  <c r="D321" i="10" s="1"/>
  <c r="C322" i="10"/>
  <c r="D322" i="10" s="1"/>
  <c r="C323" i="10"/>
  <c r="D323" i="10" s="1"/>
  <c r="C324" i="10"/>
  <c r="D324" i="10" s="1"/>
  <c r="C325" i="10"/>
  <c r="D325" i="10" s="1"/>
  <c r="C326" i="10"/>
  <c r="D326" i="10" s="1"/>
  <c r="C327" i="10"/>
  <c r="D327" i="10" s="1"/>
  <c r="C328" i="10"/>
  <c r="D328" i="10" s="1"/>
  <c r="C329" i="10"/>
  <c r="D329" i="10" s="1"/>
  <c r="C330" i="10"/>
  <c r="D330" i="10" s="1"/>
  <c r="C331" i="10"/>
  <c r="D331" i="10" s="1"/>
  <c r="C332" i="10"/>
  <c r="D332" i="10" s="1"/>
  <c r="C333" i="10"/>
  <c r="D333" i="10" s="1"/>
  <c r="C334" i="10"/>
  <c r="D334" i="10" s="1"/>
  <c r="C335" i="10"/>
  <c r="D335" i="10" s="1"/>
  <c r="C336" i="10"/>
  <c r="D336" i="10" s="1"/>
  <c r="C337" i="10"/>
  <c r="D337" i="10" s="1"/>
  <c r="C338" i="10"/>
  <c r="D338" i="10" s="1"/>
  <c r="C339" i="10"/>
  <c r="D339" i="10" s="1"/>
  <c r="C340" i="10"/>
  <c r="D340" i="10" s="1"/>
  <c r="C341" i="10"/>
  <c r="D341" i="10" s="1"/>
  <c r="C342" i="10"/>
  <c r="D342" i="10" s="1"/>
  <c r="C343" i="10"/>
  <c r="D343" i="10" s="1"/>
  <c r="C344" i="10"/>
  <c r="D344" i="10" s="1"/>
  <c r="C345" i="10"/>
  <c r="D345" i="10" s="1"/>
  <c r="C346" i="10"/>
  <c r="D346" i="10" s="1"/>
  <c r="C347" i="10"/>
  <c r="D347" i="10" s="1"/>
  <c r="C348" i="10"/>
  <c r="D348" i="10" s="1"/>
  <c r="C349" i="10"/>
  <c r="D349" i="10" s="1"/>
  <c r="C350" i="10"/>
  <c r="D350" i="10" s="1"/>
  <c r="C351" i="10"/>
  <c r="D351" i="10" s="1"/>
  <c r="C352" i="10"/>
  <c r="D352" i="10" s="1"/>
  <c r="C353" i="10"/>
  <c r="D353" i="10" s="1"/>
  <c r="C354" i="10"/>
  <c r="D354" i="10" s="1"/>
  <c r="C355" i="10"/>
  <c r="D355" i="10" s="1"/>
  <c r="C356" i="10"/>
  <c r="D356" i="10" s="1"/>
  <c r="C357" i="10"/>
  <c r="D357" i="10" s="1"/>
  <c r="C358" i="10"/>
  <c r="D358" i="10" s="1"/>
  <c r="C359" i="10"/>
  <c r="D359" i="10" s="1"/>
  <c r="C360" i="10"/>
  <c r="D360" i="10" s="1"/>
  <c r="C361" i="10"/>
  <c r="D361" i="10" s="1"/>
  <c r="C362" i="10"/>
  <c r="D362" i="10" s="1"/>
  <c r="C363" i="10"/>
  <c r="D363" i="10" s="1"/>
  <c r="C364" i="10"/>
  <c r="D364" i="10" s="1"/>
  <c r="C365" i="10"/>
  <c r="D365" i="10" s="1"/>
  <c r="C366" i="10"/>
  <c r="D366" i="10" s="1"/>
  <c r="C367" i="10"/>
  <c r="D367" i="10" s="1"/>
  <c r="C368" i="10"/>
  <c r="D368" i="10" s="1"/>
  <c r="C369" i="10"/>
  <c r="D369" i="10" s="1"/>
  <c r="C370" i="10"/>
  <c r="D370" i="10" s="1"/>
  <c r="C371" i="10"/>
  <c r="D371" i="10" s="1"/>
  <c r="C372" i="10"/>
  <c r="D372" i="10" s="1"/>
  <c r="C373" i="10"/>
  <c r="D373" i="10" s="1"/>
  <c r="C374" i="10"/>
  <c r="D374" i="10" s="1"/>
  <c r="C375" i="10"/>
  <c r="D375" i="10" s="1"/>
  <c r="C376" i="10"/>
  <c r="D376" i="10" s="1"/>
  <c r="C377" i="10"/>
  <c r="D377" i="10" s="1"/>
  <c r="C378" i="10"/>
  <c r="D378" i="10" s="1"/>
  <c r="C379" i="10"/>
  <c r="D379" i="10" s="1"/>
  <c r="C380" i="10"/>
  <c r="D380" i="10" s="1"/>
  <c r="C381" i="10"/>
  <c r="D381" i="10" s="1"/>
  <c r="C382" i="10"/>
  <c r="D382" i="10" s="1"/>
  <c r="C383" i="10"/>
  <c r="D383" i="10" s="1"/>
  <c r="C384" i="10"/>
  <c r="D384" i="10" s="1"/>
  <c r="C385" i="10"/>
  <c r="D385" i="10" s="1"/>
  <c r="C386" i="10"/>
  <c r="D386" i="10" s="1"/>
  <c r="C387" i="10"/>
  <c r="D387" i="10" s="1"/>
  <c r="C388" i="10"/>
  <c r="D388" i="10" s="1"/>
  <c r="C389" i="10"/>
  <c r="D389" i="10" s="1"/>
  <c r="C390" i="10"/>
  <c r="D390" i="10" s="1"/>
  <c r="C391" i="10"/>
  <c r="D391" i="10" s="1"/>
  <c r="C392" i="10"/>
  <c r="D392" i="10" s="1"/>
  <c r="C393" i="10"/>
  <c r="D393" i="10" s="1"/>
  <c r="C394" i="10"/>
  <c r="D394" i="10" s="1"/>
  <c r="C395" i="10"/>
  <c r="D395" i="10" s="1"/>
  <c r="C396" i="10"/>
  <c r="D396" i="10" s="1"/>
  <c r="C397" i="10"/>
  <c r="D397" i="10" s="1"/>
  <c r="C398" i="10"/>
  <c r="D398" i="10" s="1"/>
  <c r="C399" i="10"/>
  <c r="D399" i="10" s="1"/>
  <c r="C400" i="10"/>
  <c r="D400" i="10" s="1"/>
  <c r="C401" i="10"/>
  <c r="D401" i="10" s="1"/>
  <c r="C402" i="10"/>
  <c r="D402" i="10" s="1"/>
  <c r="C403" i="10"/>
  <c r="D403" i="10" s="1"/>
  <c r="C404" i="10"/>
  <c r="D404" i="10" s="1"/>
  <c r="C405" i="10"/>
  <c r="D405" i="10" s="1"/>
  <c r="C406" i="10"/>
  <c r="D406" i="10" s="1"/>
  <c r="C407" i="10"/>
  <c r="D407" i="10" s="1"/>
  <c r="C408" i="10"/>
  <c r="D408" i="10" s="1"/>
  <c r="C409" i="10"/>
  <c r="D409" i="10" s="1"/>
  <c r="C410" i="10"/>
  <c r="D410" i="10" s="1"/>
  <c r="C411" i="10"/>
  <c r="D411" i="10" s="1"/>
  <c r="C412" i="10"/>
  <c r="D412" i="10" s="1"/>
  <c r="C413" i="10"/>
  <c r="D413" i="10" s="1"/>
  <c r="C414" i="10"/>
  <c r="D414" i="10" s="1"/>
  <c r="C415" i="10"/>
  <c r="D415" i="10" s="1"/>
  <c r="C416" i="10"/>
  <c r="D416" i="10" s="1"/>
  <c r="C417" i="10"/>
  <c r="D417" i="10" s="1"/>
  <c r="C418" i="10"/>
  <c r="D418" i="10" s="1"/>
  <c r="C419" i="10"/>
  <c r="D419" i="10" s="1"/>
  <c r="C420" i="10"/>
  <c r="D420" i="10" s="1"/>
  <c r="C421" i="10"/>
  <c r="D421" i="10" s="1"/>
  <c r="C422" i="10"/>
  <c r="D422" i="10" s="1"/>
  <c r="C423" i="10"/>
  <c r="D423" i="10" s="1"/>
  <c r="C424" i="10"/>
  <c r="D424" i="10" s="1"/>
  <c r="C425" i="10"/>
  <c r="D425" i="10" s="1"/>
  <c r="C426" i="10"/>
  <c r="D426" i="10" s="1"/>
  <c r="C427" i="10"/>
  <c r="D427" i="10" s="1"/>
  <c r="C428" i="10"/>
  <c r="D428" i="10" s="1"/>
  <c r="C429" i="10"/>
  <c r="D429" i="10" s="1"/>
  <c r="C430" i="10"/>
  <c r="D430" i="10" s="1"/>
  <c r="C431" i="10"/>
  <c r="D431" i="10" s="1"/>
  <c r="C432" i="10"/>
  <c r="D432" i="10" s="1"/>
  <c r="C433" i="10"/>
  <c r="D433" i="10" s="1"/>
  <c r="C434" i="10"/>
  <c r="D434" i="10" s="1"/>
  <c r="C435" i="10"/>
  <c r="D435" i="10" s="1"/>
  <c r="C436" i="10"/>
  <c r="D436" i="10" s="1"/>
  <c r="C437" i="10"/>
  <c r="D437" i="10" s="1"/>
  <c r="C438" i="10"/>
  <c r="D438" i="10" s="1"/>
  <c r="C439" i="10"/>
  <c r="D439" i="10" s="1"/>
  <c r="C440" i="10"/>
  <c r="D440" i="10" s="1"/>
  <c r="C441" i="10"/>
  <c r="D441" i="10" s="1"/>
  <c r="C442" i="10"/>
  <c r="D442" i="10" s="1"/>
  <c r="C443" i="10"/>
  <c r="D443" i="10" s="1"/>
  <c r="C444" i="10"/>
  <c r="D444" i="10" s="1"/>
  <c r="C445" i="10"/>
  <c r="D445" i="10" s="1"/>
  <c r="C446" i="10"/>
  <c r="D446" i="10" s="1"/>
  <c r="C447" i="10"/>
  <c r="D447" i="10" s="1"/>
  <c r="C448" i="10"/>
  <c r="D448" i="10" s="1"/>
  <c r="C449" i="10"/>
  <c r="D449" i="10" s="1"/>
  <c r="C450" i="10"/>
  <c r="D450" i="10" s="1"/>
  <c r="C451" i="10"/>
  <c r="D451" i="10" s="1"/>
  <c r="C452" i="10"/>
  <c r="D452" i="10" s="1"/>
  <c r="C453" i="10"/>
  <c r="D453" i="10" s="1"/>
  <c r="C454" i="10"/>
  <c r="D454" i="10" s="1"/>
  <c r="C455" i="10"/>
  <c r="D455" i="10" s="1"/>
  <c r="C456" i="10"/>
  <c r="D456" i="10" s="1"/>
  <c r="C457" i="10"/>
  <c r="D457" i="10" s="1"/>
  <c r="C458" i="10"/>
  <c r="D458" i="10" s="1"/>
  <c r="C459" i="10"/>
  <c r="D459" i="10" s="1"/>
  <c r="C460" i="10"/>
  <c r="D460" i="10" s="1"/>
  <c r="C461" i="10"/>
  <c r="D461" i="10" s="1"/>
  <c r="C462" i="10"/>
  <c r="D462" i="10" s="1"/>
  <c r="C463" i="10"/>
  <c r="D463" i="10" s="1"/>
  <c r="C464" i="10"/>
  <c r="D464" i="10" s="1"/>
  <c r="C465" i="10"/>
  <c r="D465" i="10" s="1"/>
  <c r="C466" i="10"/>
  <c r="D466" i="10" s="1"/>
  <c r="C467" i="10"/>
  <c r="D467" i="10" s="1"/>
  <c r="C468" i="10"/>
  <c r="D468" i="10" s="1"/>
  <c r="C469" i="10"/>
  <c r="D469" i="10" s="1"/>
  <c r="C470" i="10"/>
  <c r="D470" i="10" s="1"/>
  <c r="C471" i="10"/>
  <c r="D471" i="10" s="1"/>
  <c r="C472" i="10"/>
  <c r="D472" i="10" s="1"/>
  <c r="C473" i="10"/>
  <c r="D473" i="10" s="1"/>
  <c r="C474" i="10"/>
  <c r="D474" i="10" s="1"/>
  <c r="C475" i="10"/>
  <c r="D475" i="10" s="1"/>
  <c r="C476" i="10"/>
  <c r="D476" i="10" s="1"/>
  <c r="C477" i="10"/>
  <c r="D477" i="10" s="1"/>
  <c r="C478" i="10"/>
  <c r="D478" i="10" s="1"/>
  <c r="C479" i="10"/>
  <c r="D479" i="10" s="1"/>
  <c r="C480" i="10"/>
  <c r="D480" i="10" s="1"/>
  <c r="C481" i="10"/>
  <c r="D481" i="10" s="1"/>
  <c r="C482" i="10"/>
  <c r="D482" i="10" s="1"/>
  <c r="C483" i="10"/>
  <c r="D483" i="10" s="1"/>
  <c r="C484" i="10"/>
  <c r="D484" i="10" s="1"/>
  <c r="C485" i="10"/>
  <c r="D485" i="10" s="1"/>
  <c r="C486" i="10"/>
  <c r="D486" i="10" s="1"/>
  <c r="C487" i="10"/>
  <c r="D487" i="10" s="1"/>
  <c r="C488" i="10"/>
  <c r="D488" i="10" s="1"/>
  <c r="C489" i="10"/>
  <c r="D489" i="10" s="1"/>
  <c r="C490" i="10"/>
  <c r="D490" i="10" s="1"/>
  <c r="C491" i="10"/>
  <c r="D491" i="10" s="1"/>
  <c r="C492" i="10"/>
  <c r="D492" i="10" s="1"/>
  <c r="C493" i="10"/>
  <c r="D493" i="10" s="1"/>
  <c r="C494" i="10"/>
  <c r="D494" i="10" s="1"/>
  <c r="C495" i="10"/>
  <c r="D495" i="10" s="1"/>
  <c r="C496" i="10"/>
  <c r="D496" i="10" s="1"/>
  <c r="C497" i="10"/>
  <c r="D497" i="10" s="1"/>
  <c r="C498" i="10"/>
  <c r="D498" i="10" s="1"/>
  <c r="C499" i="10"/>
  <c r="D499" i="10" s="1"/>
  <c r="C500" i="10"/>
  <c r="D500" i="10" s="1"/>
  <c r="C501" i="10"/>
  <c r="D501" i="10" s="1"/>
  <c r="C2" i="10"/>
  <c r="D2" i="10" s="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G3" i="9"/>
  <c r="G4" i="9"/>
  <c r="G2" i="9"/>
  <c r="E3" i="9"/>
  <c r="E4" i="9"/>
  <c r="E2" i="9"/>
  <c r="D3" i="6"/>
  <c r="E3" i="6" s="1"/>
  <c r="D4" i="6"/>
  <c r="E4" i="6" s="1"/>
  <c r="D5" i="6"/>
  <c r="E5" i="6" s="1"/>
  <c r="D6" i="6"/>
  <c r="E6" i="6" s="1"/>
  <c r="D7" i="6"/>
  <c r="E7" i="6" s="1"/>
  <c r="D8" i="6"/>
  <c r="E8" i="6" s="1"/>
  <c r="D9" i="6"/>
  <c r="E9" i="6" s="1"/>
  <c r="D10" i="6"/>
  <c r="E10" i="6" s="1"/>
  <c r="D11" i="6"/>
  <c r="E11" i="6" s="1"/>
  <c r="D12" i="6"/>
  <c r="E12" i="6" s="1"/>
  <c r="D13" i="6"/>
  <c r="E13" i="6" s="1"/>
  <c r="D14" i="6"/>
  <c r="E14" i="6" s="1"/>
  <c r="D15" i="6"/>
  <c r="E15" i="6" s="1"/>
  <c r="D16" i="6"/>
  <c r="E16" i="6" s="1"/>
  <c r="D17" i="6"/>
  <c r="E17" i="6" s="1"/>
  <c r="D18" i="6"/>
  <c r="E18" i="6" s="1"/>
  <c r="D19" i="6"/>
  <c r="E19" i="6" s="1"/>
  <c r="D20" i="6"/>
  <c r="E20" i="6" s="1"/>
  <c r="D21" i="6"/>
  <c r="E21" i="6" s="1"/>
  <c r="D22" i="6"/>
  <c r="E22" i="6" s="1"/>
  <c r="D2" i="6"/>
  <c r="E2" i="6" s="1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" i="6"/>
  <c r="M3" i="5"/>
  <c r="M4" i="5"/>
  <c r="M5" i="5"/>
  <c r="M6" i="5"/>
  <c r="M7" i="5"/>
  <c r="M8" i="5"/>
  <c r="M9" i="5"/>
  <c r="M2" i="5"/>
  <c r="D3" i="5"/>
  <c r="D4" i="5"/>
  <c r="D5" i="5"/>
  <c r="D6" i="5"/>
  <c r="D7" i="5"/>
  <c r="D8" i="5"/>
  <c r="D9" i="5"/>
  <c r="D2" i="5"/>
  <c r="I3" i="1"/>
  <c r="I4" i="1"/>
  <c r="I5" i="1"/>
  <c r="I6" i="1"/>
  <c r="I7" i="1"/>
  <c r="I2" i="1"/>
  <c r="H3" i="1"/>
  <c r="H4" i="1"/>
  <c r="H5" i="1"/>
  <c r="H6" i="1"/>
  <c r="H7" i="1"/>
  <c r="H2" i="1"/>
  <c r="G3" i="1"/>
  <c r="G4" i="1"/>
  <c r="G5" i="1"/>
  <c r="G6" i="1"/>
  <c r="G7" i="1"/>
  <c r="G2" i="1"/>
  <c r="F3" i="1"/>
  <c r="F4" i="1"/>
  <c r="F5" i="1"/>
  <c r="F6" i="1"/>
  <c r="F7" i="1"/>
  <c r="F2" i="1"/>
  <c r="E3" i="1"/>
  <c r="E4" i="1"/>
  <c r="E5" i="1"/>
  <c r="E6" i="1"/>
  <c r="E7" i="1"/>
  <c r="E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<sst xmlns="http://schemas.openxmlformats.org/spreadsheetml/2006/main" count="19424" uniqueCount="1844">
  <si>
    <t>Sub 1</t>
  </si>
  <si>
    <t>Sub 2</t>
  </si>
  <si>
    <t>Sub 3</t>
  </si>
  <si>
    <t>Sub 4</t>
  </si>
  <si>
    <t>Total</t>
  </si>
  <si>
    <t>Max</t>
  </si>
  <si>
    <t>Min</t>
  </si>
  <si>
    <t>Average</t>
  </si>
  <si>
    <t>Count</t>
  </si>
  <si>
    <t>Employee ID</t>
  </si>
  <si>
    <t>Name</t>
  </si>
  <si>
    <t>Department</t>
  </si>
  <si>
    <t>Salary</t>
  </si>
  <si>
    <t>Joining Date</t>
  </si>
  <si>
    <t>EMP001</t>
  </si>
  <si>
    <t>Employee_1</t>
  </si>
  <si>
    <t>Finance</t>
  </si>
  <si>
    <t>EMP002</t>
  </si>
  <si>
    <t>Employee_2</t>
  </si>
  <si>
    <t>Operations</t>
  </si>
  <si>
    <t>EMP003</t>
  </si>
  <si>
    <t>Employee_3</t>
  </si>
  <si>
    <t>Sales</t>
  </si>
  <si>
    <t>EMP004</t>
  </si>
  <si>
    <t>Employee_4</t>
  </si>
  <si>
    <t>EMP005</t>
  </si>
  <si>
    <t>Employee_5</t>
  </si>
  <si>
    <t>EMP006</t>
  </si>
  <si>
    <t>EMP007</t>
  </si>
  <si>
    <t>Employee_7</t>
  </si>
  <si>
    <t>EMP008</t>
  </si>
  <si>
    <t>Employee_8</t>
  </si>
  <si>
    <t>EMP009</t>
  </si>
  <si>
    <t>Employee_9</t>
  </si>
  <si>
    <t>EMP010</t>
  </si>
  <si>
    <t>Employee_10</t>
  </si>
  <si>
    <t>EMP011</t>
  </si>
  <si>
    <t>Employee_11</t>
  </si>
  <si>
    <t>EMP012</t>
  </si>
  <si>
    <t>Employee_12</t>
  </si>
  <si>
    <t>Conditional Formatting</t>
  </si>
  <si>
    <t>Greater Than</t>
  </si>
  <si>
    <t>Less Than</t>
  </si>
  <si>
    <t>New Rule</t>
  </si>
  <si>
    <t>Remove Duplicates</t>
  </si>
  <si>
    <t>Remove Blank Rows</t>
  </si>
  <si>
    <t>Remove Blank Spaces</t>
  </si>
  <si>
    <t>Change Case using Formula</t>
  </si>
  <si>
    <t>Fix negative stock Values</t>
  </si>
  <si>
    <t>Split Data</t>
  </si>
  <si>
    <t>Product_ID</t>
  </si>
  <si>
    <t>Product_Name</t>
  </si>
  <si>
    <t>Category</t>
  </si>
  <si>
    <t>Price</t>
  </si>
  <si>
    <t>Quantity_Available</t>
  </si>
  <si>
    <t>Rating</t>
  </si>
  <si>
    <t>Seller</t>
  </si>
  <si>
    <t>Apple iPhone 14</t>
  </si>
  <si>
    <t xml:space="preserve">Mobile    </t>
  </si>
  <si>
    <t>Tech World</t>
  </si>
  <si>
    <t>Samsung Galaxy S23</t>
  </si>
  <si>
    <t xml:space="preserve">Mobile           </t>
  </si>
  <si>
    <t>Gadget Hub</t>
  </si>
  <si>
    <t>Sony WH-1000XM5</t>
  </si>
  <si>
    <t xml:space="preserve">Headphones   </t>
  </si>
  <si>
    <t>Sound Pro</t>
  </si>
  <si>
    <t>Dell XPS 13</t>
  </si>
  <si>
    <t xml:space="preserve">      Laptop</t>
  </si>
  <si>
    <t>Laptop Store</t>
  </si>
  <si>
    <t xml:space="preserve">     Mobile</t>
  </si>
  <si>
    <t>HP Spectre x360</t>
  </si>
  <si>
    <t xml:space="preserve">Laptop  </t>
  </si>
  <si>
    <t>HP Store</t>
  </si>
  <si>
    <t>Bose QuietComfort 45</t>
  </si>
  <si>
    <t xml:space="preserve">  Headphones</t>
  </si>
  <si>
    <t xml:space="preserve">        Headphones</t>
  </si>
  <si>
    <t>Lenovo ThinkPad X1</t>
  </si>
  <si>
    <t xml:space="preserve">  Laptop</t>
  </si>
  <si>
    <t xml:space="preserve">       Headphones</t>
  </si>
  <si>
    <t>Product Code</t>
  </si>
  <si>
    <t>Product Name</t>
  </si>
  <si>
    <t>Stock</t>
  </si>
  <si>
    <t>Product Description</t>
  </si>
  <si>
    <t>P0001</t>
  </si>
  <si>
    <t>Product_1</t>
  </si>
  <si>
    <t>ElecTronics</t>
  </si>
  <si>
    <t>Use Data Validation under the Data tab to restrict input types.</t>
  </si>
  <si>
    <t>P0002</t>
  </si>
  <si>
    <t>Product_2</t>
  </si>
  <si>
    <t>Electronics</t>
  </si>
  <si>
    <r>
      <t xml:space="preserve">Ensure </t>
    </r>
    <r>
      <rPr>
        <sz val="10"/>
        <color theme="1"/>
        <rFont val="Arial Unicode MS"/>
      </rPr>
      <t>Price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Quantity_Available</t>
    </r>
    <r>
      <rPr>
        <sz val="11"/>
        <color theme="1"/>
        <rFont val="Calibri"/>
        <family val="2"/>
        <scheme val="minor"/>
      </rPr>
      <t xml:space="preserve"> are numeric, and </t>
    </r>
    <r>
      <rPr>
        <sz val="10"/>
        <color theme="1"/>
        <rFont val="Arial Unicode MS"/>
      </rPr>
      <t>Rating</t>
    </r>
    <r>
      <rPr>
        <sz val="11"/>
        <color theme="1"/>
        <rFont val="Calibri"/>
        <family val="2"/>
        <scheme val="minor"/>
      </rPr>
      <t xml:space="preserve"> is a decimal.</t>
    </r>
  </si>
  <si>
    <t>P0003</t>
  </si>
  <si>
    <t>Product_3</t>
  </si>
  <si>
    <t>FOOD</t>
  </si>
  <si>
    <t>Highlight unnecessary columns and delete them or hide them if required for later use.</t>
  </si>
  <si>
    <t>P0004</t>
  </si>
  <si>
    <t>Product_4</t>
  </si>
  <si>
    <t>Clothing</t>
  </si>
  <si>
    <t>Let me know if you’d like further guidance on implementing these steps!</t>
  </si>
  <si>
    <t>P0005</t>
  </si>
  <si>
    <t>Product_5</t>
  </si>
  <si>
    <t>Furniture</t>
  </si>
  <si>
    <r>
      <t xml:space="preserve">Use conditional formatting to highlight outliers or filter using </t>
    </r>
    <r>
      <rPr>
        <sz val="10"/>
        <color theme="1"/>
        <rFont val="Arial Unicode MS"/>
      </rPr>
      <t>IF</t>
    </r>
    <r>
      <rPr>
        <sz val="11"/>
        <color theme="1"/>
        <rFont val="Calibri"/>
        <family val="2"/>
        <scheme val="minor"/>
      </rPr>
      <t xml:space="preserve"> formulas or slicers.</t>
    </r>
  </si>
  <si>
    <t>P0006</t>
  </si>
  <si>
    <t>Product_6</t>
  </si>
  <si>
    <t>Correct spelling or category mismatches (e.g., "Laptops" vs. "Laptop").</t>
  </si>
  <si>
    <t>P0007</t>
  </si>
  <si>
    <t>Product_7</t>
  </si>
  <si>
    <r>
      <t xml:space="preserve">Ensure consistent case for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 xml:space="preserve"> (e.g., capitalize each word).</t>
    </r>
  </si>
  <si>
    <t>P0008</t>
  </si>
  <si>
    <t>Product_8</t>
  </si>
  <si>
    <t>Fill missing values with appropriate replacements (e.g., average price or a placeholder).</t>
  </si>
  <si>
    <t>P0009</t>
  </si>
  <si>
    <t>Product_9</t>
  </si>
  <si>
    <t>Stationery</t>
  </si>
  <si>
    <t>In Excel, go to Data &gt; Remove Duplicates.</t>
  </si>
  <si>
    <t>P0010</t>
  </si>
  <si>
    <t>Product_10</t>
  </si>
  <si>
    <r>
      <t xml:space="preserve">Identify duplicate rows based on </t>
    </r>
    <r>
      <rPr>
        <sz val="10"/>
        <color theme="1"/>
        <rFont val="Arial Unicode MS"/>
      </rPr>
      <t>Product_ID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>.</t>
    </r>
  </si>
  <si>
    <t>P0011</t>
  </si>
  <si>
    <t>Product_11</t>
  </si>
  <si>
    <t>P0012</t>
  </si>
  <si>
    <t>Product_12</t>
  </si>
  <si>
    <t>P0013</t>
  </si>
  <si>
    <t>Product_13</t>
  </si>
  <si>
    <t>StationeRY</t>
  </si>
  <si>
    <t>P0014</t>
  </si>
  <si>
    <t>Product_14</t>
  </si>
  <si>
    <t>P0015</t>
  </si>
  <si>
    <t>Product_15</t>
  </si>
  <si>
    <t>P0016</t>
  </si>
  <si>
    <t>Product_16</t>
  </si>
  <si>
    <t>P0017</t>
  </si>
  <si>
    <t>Product_17</t>
  </si>
  <si>
    <t>P0018</t>
  </si>
  <si>
    <t>Product_18</t>
  </si>
  <si>
    <t>P0019</t>
  </si>
  <si>
    <t>Product_19</t>
  </si>
  <si>
    <t>P0020</t>
  </si>
  <si>
    <t>Product_20</t>
  </si>
  <si>
    <t>P0021</t>
  </si>
  <si>
    <t>Product_21</t>
  </si>
  <si>
    <t>P0022</t>
  </si>
  <si>
    <t>Product_22</t>
  </si>
  <si>
    <t>P0023</t>
  </si>
  <si>
    <t>Product_23</t>
  </si>
  <si>
    <t>P0024</t>
  </si>
  <si>
    <t>Product_24</t>
  </si>
  <si>
    <t>P0025</t>
  </si>
  <si>
    <t>Product_25</t>
  </si>
  <si>
    <t>P0026</t>
  </si>
  <si>
    <t>Product_26</t>
  </si>
  <si>
    <t>P0027</t>
  </si>
  <si>
    <t>Product_27</t>
  </si>
  <si>
    <t>P0028</t>
  </si>
  <si>
    <t>Product_28</t>
  </si>
  <si>
    <t>Food</t>
  </si>
  <si>
    <t>P0029</t>
  </si>
  <si>
    <t>Product_29</t>
  </si>
  <si>
    <t>P0030</t>
  </si>
  <si>
    <t>Product_30</t>
  </si>
  <si>
    <t>P0031</t>
  </si>
  <si>
    <t>Product_31</t>
  </si>
  <si>
    <t>P0032</t>
  </si>
  <si>
    <t>Product_32</t>
  </si>
  <si>
    <t>P0033</t>
  </si>
  <si>
    <t>Product_33</t>
  </si>
  <si>
    <t>P0034</t>
  </si>
  <si>
    <t>Product_34</t>
  </si>
  <si>
    <t>P0035</t>
  </si>
  <si>
    <t>Product_35</t>
  </si>
  <si>
    <t>P0036</t>
  </si>
  <si>
    <t>Product_36</t>
  </si>
  <si>
    <t>P0037</t>
  </si>
  <si>
    <t>Product_37</t>
  </si>
  <si>
    <t>P0038</t>
  </si>
  <si>
    <t>Product_38</t>
  </si>
  <si>
    <t>P0039</t>
  </si>
  <si>
    <t>Product_39</t>
  </si>
  <si>
    <t>P0040</t>
  </si>
  <si>
    <t>Product_40</t>
  </si>
  <si>
    <t>P0041</t>
  </si>
  <si>
    <t>Product_41</t>
  </si>
  <si>
    <t>P0042</t>
  </si>
  <si>
    <t>Product_42</t>
  </si>
  <si>
    <t>P0043</t>
  </si>
  <si>
    <t>Product_43</t>
  </si>
  <si>
    <t>P0044</t>
  </si>
  <si>
    <t>Product_44</t>
  </si>
  <si>
    <t>P0045</t>
  </si>
  <si>
    <t>Product_45</t>
  </si>
  <si>
    <t>P0046</t>
  </si>
  <si>
    <t>Product_46</t>
  </si>
  <si>
    <t>P0047</t>
  </si>
  <si>
    <t>Product_47</t>
  </si>
  <si>
    <t>P0048</t>
  </si>
  <si>
    <t>Product_48</t>
  </si>
  <si>
    <t>P0049</t>
  </si>
  <si>
    <t>Product_49</t>
  </si>
  <si>
    <t>P0050</t>
  </si>
  <si>
    <t>Product_50</t>
  </si>
  <si>
    <t>P0051</t>
  </si>
  <si>
    <t>Product_51</t>
  </si>
  <si>
    <t>P0052</t>
  </si>
  <si>
    <t>Product_52</t>
  </si>
  <si>
    <t>P0053</t>
  </si>
  <si>
    <t>Product_53</t>
  </si>
  <si>
    <t>P0054</t>
  </si>
  <si>
    <t>Product_54</t>
  </si>
  <si>
    <t>P0055</t>
  </si>
  <si>
    <t>Product_55</t>
  </si>
  <si>
    <t>P0056</t>
  </si>
  <si>
    <t>Product_56</t>
  </si>
  <si>
    <t>P0057</t>
  </si>
  <si>
    <t>Product_57</t>
  </si>
  <si>
    <t>P0058</t>
  </si>
  <si>
    <t>Product_58</t>
  </si>
  <si>
    <t>P0059</t>
  </si>
  <si>
    <t>Product_59</t>
  </si>
  <si>
    <t>P0060</t>
  </si>
  <si>
    <t>Product_60</t>
  </si>
  <si>
    <t>P0061</t>
  </si>
  <si>
    <t>Product_61</t>
  </si>
  <si>
    <t>P0062</t>
  </si>
  <si>
    <t>Product_62</t>
  </si>
  <si>
    <t>P0063</t>
  </si>
  <si>
    <t>Product_63</t>
  </si>
  <si>
    <t>P0064</t>
  </si>
  <si>
    <t>Product_64</t>
  </si>
  <si>
    <t>P0065</t>
  </si>
  <si>
    <t>Product_65</t>
  </si>
  <si>
    <t>P0066</t>
  </si>
  <si>
    <t>Product_66</t>
  </si>
  <si>
    <t>P0067</t>
  </si>
  <si>
    <t>Product_67</t>
  </si>
  <si>
    <t>P0068</t>
  </si>
  <si>
    <t>Product_68</t>
  </si>
  <si>
    <t>P0069</t>
  </si>
  <si>
    <t>Product_69</t>
  </si>
  <si>
    <t>P0070</t>
  </si>
  <si>
    <t>Product_70</t>
  </si>
  <si>
    <t>P0071</t>
  </si>
  <si>
    <t>Product_71</t>
  </si>
  <si>
    <t>P0072</t>
  </si>
  <si>
    <t>Product_72</t>
  </si>
  <si>
    <t>P0073</t>
  </si>
  <si>
    <t>Product_73</t>
  </si>
  <si>
    <t>P0074</t>
  </si>
  <si>
    <t>Product_74</t>
  </si>
  <si>
    <t>P0075</t>
  </si>
  <si>
    <t>Product_75</t>
  </si>
  <si>
    <t>P0076</t>
  </si>
  <si>
    <t>Product_76</t>
  </si>
  <si>
    <t>P0077</t>
  </si>
  <si>
    <t>Product_77</t>
  </si>
  <si>
    <t>P0078</t>
  </si>
  <si>
    <t>Product_78</t>
  </si>
  <si>
    <t>P0079</t>
  </si>
  <si>
    <t>Product_79</t>
  </si>
  <si>
    <t>P0080</t>
  </si>
  <si>
    <t>Product_80</t>
  </si>
  <si>
    <t>P0081</t>
  </si>
  <si>
    <t>Product_81</t>
  </si>
  <si>
    <t>P0082</t>
  </si>
  <si>
    <t>Product_82</t>
  </si>
  <si>
    <t>P0083</t>
  </si>
  <si>
    <t>Product_83</t>
  </si>
  <si>
    <t>P0084</t>
  </si>
  <si>
    <t>Product_84</t>
  </si>
  <si>
    <t>P0085</t>
  </si>
  <si>
    <t>Product_85</t>
  </si>
  <si>
    <t>P0086</t>
  </si>
  <si>
    <t>Product_86</t>
  </si>
  <si>
    <t>P0087</t>
  </si>
  <si>
    <t>Product_87</t>
  </si>
  <si>
    <t>P0088</t>
  </si>
  <si>
    <t>Product_88</t>
  </si>
  <si>
    <t>P0089</t>
  </si>
  <si>
    <t>Product_89</t>
  </si>
  <si>
    <t>P0090</t>
  </si>
  <si>
    <t>Product_90</t>
  </si>
  <si>
    <t>P0091</t>
  </si>
  <si>
    <t>Product_91</t>
  </si>
  <si>
    <t>P0092</t>
  </si>
  <si>
    <t>Product_92</t>
  </si>
  <si>
    <t>P0093</t>
  </si>
  <si>
    <t>Product_93</t>
  </si>
  <si>
    <t>P0094</t>
  </si>
  <si>
    <t>Product_94</t>
  </si>
  <si>
    <t>P0095</t>
  </si>
  <si>
    <t>Product_95</t>
  </si>
  <si>
    <t>P0096</t>
  </si>
  <si>
    <t>Product_96</t>
  </si>
  <si>
    <t>P0097</t>
  </si>
  <si>
    <t>Product_97</t>
  </si>
  <si>
    <t>P0098</t>
  </si>
  <si>
    <t>Product_98</t>
  </si>
  <si>
    <t>P0099</t>
  </si>
  <si>
    <t>Product_99</t>
  </si>
  <si>
    <t>P0100</t>
  </si>
  <si>
    <t>Product_100</t>
  </si>
  <si>
    <t>P0101</t>
  </si>
  <si>
    <t>Product_101</t>
  </si>
  <si>
    <t>P0102</t>
  </si>
  <si>
    <t>Product_102</t>
  </si>
  <si>
    <t>P0103</t>
  </si>
  <si>
    <t>Product_103</t>
  </si>
  <si>
    <t>P0104</t>
  </si>
  <si>
    <t>Product_104</t>
  </si>
  <si>
    <t>P0105</t>
  </si>
  <si>
    <t>Product_105</t>
  </si>
  <si>
    <t>P0106</t>
  </si>
  <si>
    <t>Product_106</t>
  </si>
  <si>
    <t>P0107</t>
  </si>
  <si>
    <t>Product_107</t>
  </si>
  <si>
    <t>P0108</t>
  </si>
  <si>
    <t>Product_108</t>
  </si>
  <si>
    <t>P0109</t>
  </si>
  <si>
    <t>Product_109</t>
  </si>
  <si>
    <t>P0110</t>
  </si>
  <si>
    <t>Product_110</t>
  </si>
  <si>
    <t>P0111</t>
  </si>
  <si>
    <t>Product_111</t>
  </si>
  <si>
    <t>P0112</t>
  </si>
  <si>
    <t>Product_112</t>
  </si>
  <si>
    <t>P0113</t>
  </si>
  <si>
    <t>Product_113</t>
  </si>
  <si>
    <t>P0114</t>
  </si>
  <si>
    <t>Product_114</t>
  </si>
  <si>
    <t>P0115</t>
  </si>
  <si>
    <t>Product_115</t>
  </si>
  <si>
    <t>P0116</t>
  </si>
  <si>
    <t>Product_116</t>
  </si>
  <si>
    <t>P0117</t>
  </si>
  <si>
    <t>Product_117</t>
  </si>
  <si>
    <t>P0118</t>
  </si>
  <si>
    <t>Product_118</t>
  </si>
  <si>
    <t>P0119</t>
  </si>
  <si>
    <t>Product_119</t>
  </si>
  <si>
    <t>P0120</t>
  </si>
  <si>
    <t>Product_120</t>
  </si>
  <si>
    <t>P0121</t>
  </si>
  <si>
    <t>Product_121</t>
  </si>
  <si>
    <t>P0122</t>
  </si>
  <si>
    <t>Product_122</t>
  </si>
  <si>
    <t>P0123</t>
  </si>
  <si>
    <t>Product_123</t>
  </si>
  <si>
    <t>P0124</t>
  </si>
  <si>
    <t>Product_124</t>
  </si>
  <si>
    <t>P0125</t>
  </si>
  <si>
    <t>Product_125</t>
  </si>
  <si>
    <t>P0126</t>
  </si>
  <si>
    <t>Product_126</t>
  </si>
  <si>
    <t>P0127</t>
  </si>
  <si>
    <t>Product_127</t>
  </si>
  <si>
    <t>P0128</t>
  </si>
  <si>
    <t>Product_128</t>
  </si>
  <si>
    <t>P0129</t>
  </si>
  <si>
    <t>Product_129</t>
  </si>
  <si>
    <t>P0130</t>
  </si>
  <si>
    <t>Product_130</t>
  </si>
  <si>
    <t>P0131</t>
  </si>
  <si>
    <t>Product_131</t>
  </si>
  <si>
    <t>P0132</t>
  </si>
  <si>
    <t>Product_132</t>
  </si>
  <si>
    <t>P0133</t>
  </si>
  <si>
    <t>Product_133</t>
  </si>
  <si>
    <t>P0134</t>
  </si>
  <si>
    <t>Product_134</t>
  </si>
  <si>
    <t>P0135</t>
  </si>
  <si>
    <t>Product_135</t>
  </si>
  <si>
    <t>P0136</t>
  </si>
  <si>
    <t>Product_136</t>
  </si>
  <si>
    <t>P0137</t>
  </si>
  <si>
    <t>Product_137</t>
  </si>
  <si>
    <t>P0138</t>
  </si>
  <si>
    <t>Product_138</t>
  </si>
  <si>
    <t>P0139</t>
  </si>
  <si>
    <t>Product_139</t>
  </si>
  <si>
    <t>P0140</t>
  </si>
  <si>
    <t>Product_140</t>
  </si>
  <si>
    <t>P0141</t>
  </si>
  <si>
    <t>Product_141</t>
  </si>
  <si>
    <t>P0142</t>
  </si>
  <si>
    <t>Product_142</t>
  </si>
  <si>
    <t>P0143</t>
  </si>
  <si>
    <t>Product_143</t>
  </si>
  <si>
    <t>P0144</t>
  </si>
  <si>
    <t>Product_144</t>
  </si>
  <si>
    <t>P0145</t>
  </si>
  <si>
    <t>Product_145</t>
  </si>
  <si>
    <t>P0146</t>
  </si>
  <si>
    <t>Product_146</t>
  </si>
  <si>
    <t>P0147</t>
  </si>
  <si>
    <t>Product_147</t>
  </si>
  <si>
    <t>P0148</t>
  </si>
  <si>
    <t>Product_148</t>
  </si>
  <si>
    <t>P0149</t>
  </si>
  <si>
    <t>Product_149</t>
  </si>
  <si>
    <t>P0150</t>
  </si>
  <si>
    <t>Product_150</t>
  </si>
  <si>
    <t>P0151</t>
  </si>
  <si>
    <t>Product_151</t>
  </si>
  <si>
    <t>P0152</t>
  </si>
  <si>
    <t>Product_152</t>
  </si>
  <si>
    <t>P0153</t>
  </si>
  <si>
    <t>Product_153</t>
  </si>
  <si>
    <t>P0154</t>
  </si>
  <si>
    <t>Product_154</t>
  </si>
  <si>
    <t>P0155</t>
  </si>
  <si>
    <t>Product_155</t>
  </si>
  <si>
    <t>P0156</t>
  </si>
  <si>
    <t>Product_156</t>
  </si>
  <si>
    <t>P0157</t>
  </si>
  <si>
    <t>Product_157</t>
  </si>
  <si>
    <t>P0158</t>
  </si>
  <si>
    <t>Product_158</t>
  </si>
  <si>
    <t>P0159</t>
  </si>
  <si>
    <t>Product_159</t>
  </si>
  <si>
    <t>P0160</t>
  </si>
  <si>
    <t>Product_160</t>
  </si>
  <si>
    <t>P0161</t>
  </si>
  <si>
    <t>Product_161</t>
  </si>
  <si>
    <t>P0162</t>
  </si>
  <si>
    <t>Product_162</t>
  </si>
  <si>
    <t>P0163</t>
  </si>
  <si>
    <t>Product_163</t>
  </si>
  <si>
    <t>P0164</t>
  </si>
  <si>
    <t>Product_164</t>
  </si>
  <si>
    <t>P0165</t>
  </si>
  <si>
    <t>Product_165</t>
  </si>
  <si>
    <t>P0166</t>
  </si>
  <si>
    <t>Product_166</t>
  </si>
  <si>
    <t>P0167</t>
  </si>
  <si>
    <t>Product_167</t>
  </si>
  <si>
    <t>P0168</t>
  </si>
  <si>
    <t>Product_168</t>
  </si>
  <si>
    <t>P0169</t>
  </si>
  <si>
    <t>Product_169</t>
  </si>
  <si>
    <t>P0170</t>
  </si>
  <si>
    <t>Product_170</t>
  </si>
  <si>
    <t>P0171</t>
  </si>
  <si>
    <t>Product_171</t>
  </si>
  <si>
    <t>P0172</t>
  </si>
  <si>
    <t>Product_172</t>
  </si>
  <si>
    <t>P0173</t>
  </si>
  <si>
    <t>Product_173</t>
  </si>
  <si>
    <t>P0174</t>
  </si>
  <si>
    <t>Product_174</t>
  </si>
  <si>
    <t>P0175</t>
  </si>
  <si>
    <t>Product_175</t>
  </si>
  <si>
    <t>P0176</t>
  </si>
  <si>
    <t>Product_176</t>
  </si>
  <si>
    <t>P0177</t>
  </si>
  <si>
    <t>Product_177</t>
  </si>
  <si>
    <t>P0178</t>
  </si>
  <si>
    <t>Product_178</t>
  </si>
  <si>
    <t>P0179</t>
  </si>
  <si>
    <t>Product_179</t>
  </si>
  <si>
    <t>P0180</t>
  </si>
  <si>
    <t>Product_180</t>
  </si>
  <si>
    <t>P0181</t>
  </si>
  <si>
    <t>Product_181</t>
  </si>
  <si>
    <t>P0182</t>
  </si>
  <si>
    <t>Product_182</t>
  </si>
  <si>
    <t>P0183</t>
  </si>
  <si>
    <t>Product_183</t>
  </si>
  <si>
    <t>P0184</t>
  </si>
  <si>
    <t>Product_184</t>
  </si>
  <si>
    <t>P0185</t>
  </si>
  <si>
    <t>Product_185</t>
  </si>
  <si>
    <t>P0186</t>
  </si>
  <si>
    <t>Product_186</t>
  </si>
  <si>
    <t>P0187</t>
  </si>
  <si>
    <t>Product_187</t>
  </si>
  <si>
    <t>P0188</t>
  </si>
  <si>
    <t>Product_188</t>
  </si>
  <si>
    <t>P0189</t>
  </si>
  <si>
    <t>Product_189</t>
  </si>
  <si>
    <t>P0190</t>
  </si>
  <si>
    <t>Product_190</t>
  </si>
  <si>
    <t>P0191</t>
  </si>
  <si>
    <t>Product_191</t>
  </si>
  <si>
    <t>P0192</t>
  </si>
  <si>
    <t>Product_192</t>
  </si>
  <si>
    <t>P0193</t>
  </si>
  <si>
    <t>Product_193</t>
  </si>
  <si>
    <t>P0194</t>
  </si>
  <si>
    <t>Product_194</t>
  </si>
  <si>
    <t>P0195</t>
  </si>
  <si>
    <t>Product_195</t>
  </si>
  <si>
    <t>P0196</t>
  </si>
  <si>
    <t>Product_196</t>
  </si>
  <si>
    <t>P0197</t>
  </si>
  <si>
    <t>Product_197</t>
  </si>
  <si>
    <t>P0198</t>
  </si>
  <si>
    <t>Product_198</t>
  </si>
  <si>
    <t>P0199</t>
  </si>
  <si>
    <t>Product_199</t>
  </si>
  <si>
    <t>P0200</t>
  </si>
  <si>
    <t>Product_200</t>
  </si>
  <si>
    <t>P0201</t>
  </si>
  <si>
    <t>Product_201</t>
  </si>
  <si>
    <t>P0202</t>
  </si>
  <si>
    <t>Product_202</t>
  </si>
  <si>
    <t>P0203</t>
  </si>
  <si>
    <t>Product_203</t>
  </si>
  <si>
    <t>P0204</t>
  </si>
  <si>
    <t>Product_204</t>
  </si>
  <si>
    <t>P0205</t>
  </si>
  <si>
    <t>Product_205</t>
  </si>
  <si>
    <t>P0206</t>
  </si>
  <si>
    <t>Product_206</t>
  </si>
  <si>
    <t>P0207</t>
  </si>
  <si>
    <t>Product_207</t>
  </si>
  <si>
    <t>P0208</t>
  </si>
  <si>
    <t>Product_208</t>
  </si>
  <si>
    <t>P0209</t>
  </si>
  <si>
    <t>Product_209</t>
  </si>
  <si>
    <t>P0210</t>
  </si>
  <si>
    <t>Product_210</t>
  </si>
  <si>
    <t>P0211</t>
  </si>
  <si>
    <t>Product_211</t>
  </si>
  <si>
    <t>P0212</t>
  </si>
  <si>
    <t>Product_212</t>
  </si>
  <si>
    <t>P0213</t>
  </si>
  <si>
    <t>Product_213</t>
  </si>
  <si>
    <t>P0214</t>
  </si>
  <si>
    <t>Product_214</t>
  </si>
  <si>
    <t>P0215</t>
  </si>
  <si>
    <t>Product_215</t>
  </si>
  <si>
    <t>P0216</t>
  </si>
  <si>
    <t>Product_216</t>
  </si>
  <si>
    <t>P0217</t>
  </si>
  <si>
    <t>Product_217</t>
  </si>
  <si>
    <t>P0218</t>
  </si>
  <si>
    <t>Product_218</t>
  </si>
  <si>
    <t>P0219</t>
  </si>
  <si>
    <t>Product_219</t>
  </si>
  <si>
    <t>P0220</t>
  </si>
  <si>
    <t>Product_220</t>
  </si>
  <si>
    <t>P0221</t>
  </si>
  <si>
    <t>Product_221</t>
  </si>
  <si>
    <t>P0222</t>
  </si>
  <si>
    <t>Product_222</t>
  </si>
  <si>
    <t>P0223</t>
  </si>
  <si>
    <t>Product_223</t>
  </si>
  <si>
    <t>P0224</t>
  </si>
  <si>
    <t>Product_224</t>
  </si>
  <si>
    <t>P0225</t>
  </si>
  <si>
    <t>Product_225</t>
  </si>
  <si>
    <t>P0226</t>
  </si>
  <si>
    <t>Product_226</t>
  </si>
  <si>
    <t>P0227</t>
  </si>
  <si>
    <t>Product_227</t>
  </si>
  <si>
    <t>P0228</t>
  </si>
  <si>
    <t>Product_228</t>
  </si>
  <si>
    <t>P0229</t>
  </si>
  <si>
    <t>Product_229</t>
  </si>
  <si>
    <t>P0230</t>
  </si>
  <si>
    <t>Product_230</t>
  </si>
  <si>
    <t>P0231</t>
  </si>
  <si>
    <t>Product_231</t>
  </si>
  <si>
    <t>P0232</t>
  </si>
  <si>
    <t>Product_232</t>
  </si>
  <si>
    <t>P0233</t>
  </si>
  <si>
    <t>Product_233</t>
  </si>
  <si>
    <t>P0234</t>
  </si>
  <si>
    <t>Product_234</t>
  </si>
  <si>
    <t>P0235</t>
  </si>
  <si>
    <t>Product_235</t>
  </si>
  <si>
    <t>P0236</t>
  </si>
  <si>
    <t>Product_236</t>
  </si>
  <si>
    <t>P0237</t>
  </si>
  <si>
    <t>Product_237</t>
  </si>
  <si>
    <t>P0238</t>
  </si>
  <si>
    <t>Product_238</t>
  </si>
  <si>
    <t>P0239</t>
  </si>
  <si>
    <t>Product_239</t>
  </si>
  <si>
    <t>P0240</t>
  </si>
  <si>
    <t>Product_240</t>
  </si>
  <si>
    <t>P0241</t>
  </si>
  <si>
    <t>Product_241</t>
  </si>
  <si>
    <t>P0242</t>
  </si>
  <si>
    <t>Product_242</t>
  </si>
  <si>
    <t>P0243</t>
  </si>
  <si>
    <t>Product_243</t>
  </si>
  <si>
    <t>P0244</t>
  </si>
  <si>
    <t>Product_244</t>
  </si>
  <si>
    <t>P0245</t>
  </si>
  <si>
    <t>Product_245</t>
  </si>
  <si>
    <t>P0246</t>
  </si>
  <si>
    <t>Product_246</t>
  </si>
  <si>
    <t>P0247</t>
  </si>
  <si>
    <t>Product_247</t>
  </si>
  <si>
    <t>P0248</t>
  </si>
  <si>
    <t>Product_248</t>
  </si>
  <si>
    <t>P0249</t>
  </si>
  <si>
    <t>Product_249</t>
  </si>
  <si>
    <t>P0250</t>
  </si>
  <si>
    <t>Product_250</t>
  </si>
  <si>
    <t>P0251</t>
  </si>
  <si>
    <t>Product_251</t>
  </si>
  <si>
    <t>P0252</t>
  </si>
  <si>
    <t>Product_252</t>
  </si>
  <si>
    <t>P0253</t>
  </si>
  <si>
    <t>Product_253</t>
  </si>
  <si>
    <t>P0254</t>
  </si>
  <si>
    <t>Product_254</t>
  </si>
  <si>
    <t>P0255</t>
  </si>
  <si>
    <t>Product_255</t>
  </si>
  <si>
    <t>P0256</t>
  </si>
  <si>
    <t>Product_256</t>
  </si>
  <si>
    <t>P0257</t>
  </si>
  <si>
    <t>Product_257</t>
  </si>
  <si>
    <t>P0258</t>
  </si>
  <si>
    <t>Product_258</t>
  </si>
  <si>
    <t>P0259</t>
  </si>
  <si>
    <t>Product_259</t>
  </si>
  <si>
    <t>P0260</t>
  </si>
  <si>
    <t>Product_260</t>
  </si>
  <si>
    <t>P0261</t>
  </si>
  <si>
    <t>Product_261</t>
  </si>
  <si>
    <t>P0262</t>
  </si>
  <si>
    <t>Product_262</t>
  </si>
  <si>
    <t>P0263</t>
  </si>
  <si>
    <t>Product_263</t>
  </si>
  <si>
    <t>P0264</t>
  </si>
  <si>
    <t>Product_264</t>
  </si>
  <si>
    <t>P0265</t>
  </si>
  <si>
    <t>Product_265</t>
  </si>
  <si>
    <t>P0266</t>
  </si>
  <si>
    <t>Product_266</t>
  </si>
  <si>
    <t>P0267</t>
  </si>
  <si>
    <t>Product_267</t>
  </si>
  <si>
    <t>P0268</t>
  </si>
  <si>
    <t>Product_268</t>
  </si>
  <si>
    <t>P0269</t>
  </si>
  <si>
    <t>Product_269</t>
  </si>
  <si>
    <t>P0270</t>
  </si>
  <si>
    <t>Product_270</t>
  </si>
  <si>
    <t>P0271</t>
  </si>
  <si>
    <t>Product_271</t>
  </si>
  <si>
    <t>P0272</t>
  </si>
  <si>
    <t>Product_272</t>
  </si>
  <si>
    <t>P0273</t>
  </si>
  <si>
    <t>Product_273</t>
  </si>
  <si>
    <t>P0274</t>
  </si>
  <si>
    <t>Product_274</t>
  </si>
  <si>
    <t>P0275</t>
  </si>
  <si>
    <t>Product_275</t>
  </si>
  <si>
    <t>P0276</t>
  </si>
  <si>
    <t>Product_276</t>
  </si>
  <si>
    <t>P0277</t>
  </si>
  <si>
    <t>Product_277</t>
  </si>
  <si>
    <t>P0278</t>
  </si>
  <si>
    <t>Product_278</t>
  </si>
  <si>
    <t>P0279</t>
  </si>
  <si>
    <t>Product_279</t>
  </si>
  <si>
    <t>P0280</t>
  </si>
  <si>
    <t>Product_280</t>
  </si>
  <si>
    <t>P0281</t>
  </si>
  <si>
    <t>Product_281</t>
  </si>
  <si>
    <t>P0282</t>
  </si>
  <si>
    <t>Product_282</t>
  </si>
  <si>
    <t>P0283</t>
  </si>
  <si>
    <t>Product_283</t>
  </si>
  <si>
    <t>P0284</t>
  </si>
  <si>
    <t>Product_284</t>
  </si>
  <si>
    <t>P0285</t>
  </si>
  <si>
    <t>Product_285</t>
  </si>
  <si>
    <t>P0286</t>
  </si>
  <si>
    <t>Product_286</t>
  </si>
  <si>
    <t>P0287</t>
  </si>
  <si>
    <t>Product_287</t>
  </si>
  <si>
    <t>P0288</t>
  </si>
  <si>
    <t>Product_288</t>
  </si>
  <si>
    <t>P0289</t>
  </si>
  <si>
    <t>Product_289</t>
  </si>
  <si>
    <t>P0290</t>
  </si>
  <si>
    <t>Product_290</t>
  </si>
  <si>
    <t>P0291</t>
  </si>
  <si>
    <t>Product_291</t>
  </si>
  <si>
    <t>P0292</t>
  </si>
  <si>
    <t>Product_292</t>
  </si>
  <si>
    <t>P0293</t>
  </si>
  <si>
    <t>Product_293</t>
  </si>
  <si>
    <t>P0294</t>
  </si>
  <si>
    <t>Product_294</t>
  </si>
  <si>
    <t>P0295</t>
  </si>
  <si>
    <t>Product_295</t>
  </si>
  <si>
    <t>P0296</t>
  </si>
  <si>
    <t>Product_296</t>
  </si>
  <si>
    <t>P0297</t>
  </si>
  <si>
    <t>Product_297</t>
  </si>
  <si>
    <t>P0298</t>
  </si>
  <si>
    <t>Product_298</t>
  </si>
  <si>
    <t>P0299</t>
  </si>
  <si>
    <t>Product_299</t>
  </si>
  <si>
    <t>P0300</t>
  </si>
  <si>
    <t>Product_300</t>
  </si>
  <si>
    <t>P0301</t>
  </si>
  <si>
    <t>Product_301</t>
  </si>
  <si>
    <t>P0302</t>
  </si>
  <si>
    <t>Product_302</t>
  </si>
  <si>
    <t>P0303</t>
  </si>
  <si>
    <t>Product_303</t>
  </si>
  <si>
    <t>P0304</t>
  </si>
  <si>
    <t>Product_304</t>
  </si>
  <si>
    <t>P0305</t>
  </si>
  <si>
    <t>Product_305</t>
  </si>
  <si>
    <t>P0306</t>
  </si>
  <si>
    <t>Product_306</t>
  </si>
  <si>
    <t>P0307</t>
  </si>
  <si>
    <t>Product_307</t>
  </si>
  <si>
    <t>P0308</t>
  </si>
  <si>
    <t>Product_308</t>
  </si>
  <si>
    <t>P0309</t>
  </si>
  <si>
    <t>Product_309</t>
  </si>
  <si>
    <t>P0310</t>
  </si>
  <si>
    <t>Product_310</t>
  </si>
  <si>
    <t>P0311</t>
  </si>
  <si>
    <t>Product_311</t>
  </si>
  <si>
    <t>P0312</t>
  </si>
  <si>
    <t>Product_312</t>
  </si>
  <si>
    <t>P0313</t>
  </si>
  <si>
    <t>Product_313</t>
  </si>
  <si>
    <t>P0314</t>
  </si>
  <si>
    <t>Product_314</t>
  </si>
  <si>
    <t>P0315</t>
  </si>
  <si>
    <t>Product_315</t>
  </si>
  <si>
    <t>P0316</t>
  </si>
  <si>
    <t>Product_316</t>
  </si>
  <si>
    <t>P0317</t>
  </si>
  <si>
    <t>Product_317</t>
  </si>
  <si>
    <t>P0318</t>
  </si>
  <si>
    <t>Product_318</t>
  </si>
  <si>
    <t>P0319</t>
  </si>
  <si>
    <t>Product_319</t>
  </si>
  <si>
    <t>P0320</t>
  </si>
  <si>
    <t>Product_320</t>
  </si>
  <si>
    <t>P0321</t>
  </si>
  <si>
    <t>Product_321</t>
  </si>
  <si>
    <t>P0322</t>
  </si>
  <si>
    <t>Product_322</t>
  </si>
  <si>
    <t>P0323</t>
  </si>
  <si>
    <t>Product_323</t>
  </si>
  <si>
    <t>P0324</t>
  </si>
  <si>
    <t>Product_324</t>
  </si>
  <si>
    <t>P0325</t>
  </si>
  <si>
    <t>Product_325</t>
  </si>
  <si>
    <t>P0326</t>
  </si>
  <si>
    <t>Product_326</t>
  </si>
  <si>
    <t>P0327</t>
  </si>
  <si>
    <t>Product_327</t>
  </si>
  <si>
    <t>P0328</t>
  </si>
  <si>
    <t>Product_328</t>
  </si>
  <si>
    <t>P0329</t>
  </si>
  <si>
    <t>Product_329</t>
  </si>
  <si>
    <t>P0330</t>
  </si>
  <si>
    <t>Product_330</t>
  </si>
  <si>
    <t>P0331</t>
  </si>
  <si>
    <t>Product_331</t>
  </si>
  <si>
    <t>P0332</t>
  </si>
  <si>
    <t>Product_332</t>
  </si>
  <si>
    <t>P0333</t>
  </si>
  <si>
    <t>Product_333</t>
  </si>
  <si>
    <t>P0334</t>
  </si>
  <si>
    <t>Product_334</t>
  </si>
  <si>
    <t>P0335</t>
  </si>
  <si>
    <t>Product_335</t>
  </si>
  <si>
    <t>P0336</t>
  </si>
  <si>
    <t>Product_336</t>
  </si>
  <si>
    <t>P0337</t>
  </si>
  <si>
    <t>Product_337</t>
  </si>
  <si>
    <t>P0338</t>
  </si>
  <si>
    <t>Product_338</t>
  </si>
  <si>
    <t>P0339</t>
  </si>
  <si>
    <t>Product_339</t>
  </si>
  <si>
    <t>P0340</t>
  </si>
  <si>
    <t>Product_340</t>
  </si>
  <si>
    <t>P0341</t>
  </si>
  <si>
    <t>Product_341</t>
  </si>
  <si>
    <t>P0342</t>
  </si>
  <si>
    <t>Product_342</t>
  </si>
  <si>
    <t>P0343</t>
  </si>
  <si>
    <t>Product_343</t>
  </si>
  <si>
    <t>P0344</t>
  </si>
  <si>
    <t>Product_344</t>
  </si>
  <si>
    <t>P0345</t>
  </si>
  <si>
    <t>Product_345</t>
  </si>
  <si>
    <t>P0346</t>
  </si>
  <si>
    <t>Product_346</t>
  </si>
  <si>
    <t>P0347</t>
  </si>
  <si>
    <t>Product_347</t>
  </si>
  <si>
    <t>P0348</t>
  </si>
  <si>
    <t>Product_348</t>
  </si>
  <si>
    <t>P0349</t>
  </si>
  <si>
    <t>Product_349</t>
  </si>
  <si>
    <t>P0350</t>
  </si>
  <si>
    <t>Product_350</t>
  </si>
  <si>
    <t>P0351</t>
  </si>
  <si>
    <t>Product_351</t>
  </si>
  <si>
    <t>P0352</t>
  </si>
  <si>
    <t>Product_352</t>
  </si>
  <si>
    <t>P0353</t>
  </si>
  <si>
    <t>Product_353</t>
  </si>
  <si>
    <t>P0354</t>
  </si>
  <si>
    <t>Product_354</t>
  </si>
  <si>
    <t>P0355</t>
  </si>
  <si>
    <t>Product_355</t>
  </si>
  <si>
    <t>P0356</t>
  </si>
  <si>
    <t>Product_356</t>
  </si>
  <si>
    <t>P0357</t>
  </si>
  <si>
    <t>Product_357</t>
  </si>
  <si>
    <t>P0358</t>
  </si>
  <si>
    <t>Product_358</t>
  </si>
  <si>
    <t>P0359</t>
  </si>
  <si>
    <t>Product_359</t>
  </si>
  <si>
    <t>P0360</t>
  </si>
  <si>
    <t>Product_360</t>
  </si>
  <si>
    <t>P0361</t>
  </si>
  <si>
    <t>Product_361</t>
  </si>
  <si>
    <t>P0362</t>
  </si>
  <si>
    <t>Product_362</t>
  </si>
  <si>
    <t>P0363</t>
  </si>
  <si>
    <t>Product_363</t>
  </si>
  <si>
    <t>P0364</t>
  </si>
  <si>
    <t>Product_364</t>
  </si>
  <si>
    <t>P0365</t>
  </si>
  <si>
    <t>Product_365</t>
  </si>
  <si>
    <t>P0366</t>
  </si>
  <si>
    <t>Product_366</t>
  </si>
  <si>
    <t>P0367</t>
  </si>
  <si>
    <t>Product_367</t>
  </si>
  <si>
    <t>P0368</t>
  </si>
  <si>
    <t>Product_368</t>
  </si>
  <si>
    <t>P0369</t>
  </si>
  <si>
    <t>Product_369</t>
  </si>
  <si>
    <t>P0370</t>
  </si>
  <si>
    <t>Product_370</t>
  </si>
  <si>
    <t>P0371</t>
  </si>
  <si>
    <t>Product_371</t>
  </si>
  <si>
    <t>P0372</t>
  </si>
  <si>
    <t>Product_372</t>
  </si>
  <si>
    <t>P0373</t>
  </si>
  <si>
    <t>Product_373</t>
  </si>
  <si>
    <t>P0374</t>
  </si>
  <si>
    <t>Product_374</t>
  </si>
  <si>
    <t>P0375</t>
  </si>
  <si>
    <t>Product_375</t>
  </si>
  <si>
    <t>P0376</t>
  </si>
  <si>
    <t>Product_376</t>
  </si>
  <si>
    <t>P0377</t>
  </si>
  <si>
    <t>Product_377</t>
  </si>
  <si>
    <t>P0378</t>
  </si>
  <si>
    <t>Product_378</t>
  </si>
  <si>
    <t>P0379</t>
  </si>
  <si>
    <t>Product_379</t>
  </si>
  <si>
    <t>P0380</t>
  </si>
  <si>
    <t>Product_380</t>
  </si>
  <si>
    <t>P0381</t>
  </si>
  <si>
    <t>Product_381</t>
  </si>
  <si>
    <t>P0382</t>
  </si>
  <si>
    <t>Product_382</t>
  </si>
  <si>
    <t>P0383</t>
  </si>
  <si>
    <t>Product_383</t>
  </si>
  <si>
    <t>P0384</t>
  </si>
  <si>
    <t>Product_384</t>
  </si>
  <si>
    <t>P0385</t>
  </si>
  <si>
    <t>Product_385</t>
  </si>
  <si>
    <t>P0386</t>
  </si>
  <si>
    <t>Product_386</t>
  </si>
  <si>
    <t>P0387</t>
  </si>
  <si>
    <t>Product_387</t>
  </si>
  <si>
    <t>P0388</t>
  </si>
  <si>
    <t>Product_388</t>
  </si>
  <si>
    <t>P0389</t>
  </si>
  <si>
    <t>Product_389</t>
  </si>
  <si>
    <t>P0390</t>
  </si>
  <si>
    <t>Product_390</t>
  </si>
  <si>
    <t>P0391</t>
  </si>
  <si>
    <t>Product_391</t>
  </si>
  <si>
    <t>P0392</t>
  </si>
  <si>
    <t>Product_392</t>
  </si>
  <si>
    <t>P0393</t>
  </si>
  <si>
    <t>Product_393</t>
  </si>
  <si>
    <t>P0394</t>
  </si>
  <si>
    <t>Product_394</t>
  </si>
  <si>
    <t>P0395</t>
  </si>
  <si>
    <t>Product_395</t>
  </si>
  <si>
    <t>P0396</t>
  </si>
  <si>
    <t>Product_396</t>
  </si>
  <si>
    <t>P0397</t>
  </si>
  <si>
    <t>Product_397</t>
  </si>
  <si>
    <t>P0398</t>
  </si>
  <si>
    <t>Product_398</t>
  </si>
  <si>
    <t>P0399</t>
  </si>
  <si>
    <t>Product_399</t>
  </si>
  <si>
    <t>P0400</t>
  </si>
  <si>
    <t>Product_400</t>
  </si>
  <si>
    <t>P0401</t>
  </si>
  <si>
    <t>Product_401</t>
  </si>
  <si>
    <t>P0402</t>
  </si>
  <si>
    <t>Product_402</t>
  </si>
  <si>
    <t>P0403</t>
  </si>
  <si>
    <t>Product_403</t>
  </si>
  <si>
    <t>P0404</t>
  </si>
  <si>
    <t>Product_404</t>
  </si>
  <si>
    <t>P0405</t>
  </si>
  <si>
    <t>Product_405</t>
  </si>
  <si>
    <t>P0406</t>
  </si>
  <si>
    <t>Product_406</t>
  </si>
  <si>
    <t>P0407</t>
  </si>
  <si>
    <t>Product_407</t>
  </si>
  <si>
    <t>P0408</t>
  </si>
  <si>
    <t>Product_408</t>
  </si>
  <si>
    <t>P0409</t>
  </si>
  <si>
    <t>Product_409</t>
  </si>
  <si>
    <t>P0410</t>
  </si>
  <si>
    <t>Product_410</t>
  </si>
  <si>
    <t>P0411</t>
  </si>
  <si>
    <t>Product_411</t>
  </si>
  <si>
    <t>P0412</t>
  </si>
  <si>
    <t>Product_412</t>
  </si>
  <si>
    <t>P0413</t>
  </si>
  <si>
    <t>Product_413</t>
  </si>
  <si>
    <t>P0414</t>
  </si>
  <si>
    <t>Product_414</t>
  </si>
  <si>
    <t>P0415</t>
  </si>
  <si>
    <t>Product_415</t>
  </si>
  <si>
    <t>P0416</t>
  </si>
  <si>
    <t>Product_416</t>
  </si>
  <si>
    <t>P0417</t>
  </si>
  <si>
    <t>Product_417</t>
  </si>
  <si>
    <t>P0418</t>
  </si>
  <si>
    <t>Product_418</t>
  </si>
  <si>
    <t>P0419</t>
  </si>
  <si>
    <t>Product_419</t>
  </si>
  <si>
    <t>P0420</t>
  </si>
  <si>
    <t>Product_420</t>
  </si>
  <si>
    <t>P0421</t>
  </si>
  <si>
    <t>Product_421</t>
  </si>
  <si>
    <t>P0422</t>
  </si>
  <si>
    <t>Product_422</t>
  </si>
  <si>
    <t>P0423</t>
  </si>
  <si>
    <t>Product_423</t>
  </si>
  <si>
    <t>P0424</t>
  </si>
  <si>
    <t>Product_424</t>
  </si>
  <si>
    <t>P0425</t>
  </si>
  <si>
    <t>Product_425</t>
  </si>
  <si>
    <t>P0426</t>
  </si>
  <si>
    <t>Product_426</t>
  </si>
  <si>
    <t>P0427</t>
  </si>
  <si>
    <t>Product_427</t>
  </si>
  <si>
    <t>P0428</t>
  </si>
  <si>
    <t>Product_428</t>
  </si>
  <si>
    <t>P0429</t>
  </si>
  <si>
    <t>Product_429</t>
  </si>
  <si>
    <t>P0430</t>
  </si>
  <si>
    <t>Product_430</t>
  </si>
  <si>
    <t>P0431</t>
  </si>
  <si>
    <t>Product_431</t>
  </si>
  <si>
    <t>P0432</t>
  </si>
  <si>
    <t>Product_432</t>
  </si>
  <si>
    <t>P0433</t>
  </si>
  <si>
    <t>Product_433</t>
  </si>
  <si>
    <t>P0434</t>
  </si>
  <si>
    <t>Product_434</t>
  </si>
  <si>
    <t>P0435</t>
  </si>
  <si>
    <t>Product_435</t>
  </si>
  <si>
    <t>P0436</t>
  </si>
  <si>
    <t>Product_436</t>
  </si>
  <si>
    <t>P0437</t>
  </si>
  <si>
    <t>Product_437</t>
  </si>
  <si>
    <t>P0438</t>
  </si>
  <si>
    <t>Product_438</t>
  </si>
  <si>
    <t>P0439</t>
  </si>
  <si>
    <t>Product_439</t>
  </si>
  <si>
    <t>P0440</t>
  </si>
  <si>
    <t>Product_440</t>
  </si>
  <si>
    <t>P0441</t>
  </si>
  <si>
    <t>Product_441</t>
  </si>
  <si>
    <t>P0442</t>
  </si>
  <si>
    <t>Product_442</t>
  </si>
  <si>
    <t>P0443</t>
  </si>
  <si>
    <t>Product_443</t>
  </si>
  <si>
    <t>P0444</t>
  </si>
  <si>
    <t>Product_444</t>
  </si>
  <si>
    <t>P0445</t>
  </si>
  <si>
    <t>Product_445</t>
  </si>
  <si>
    <t>P0446</t>
  </si>
  <si>
    <t>Product_446</t>
  </si>
  <si>
    <t>P0447</t>
  </si>
  <si>
    <t>Product_447</t>
  </si>
  <si>
    <t>P0448</t>
  </si>
  <si>
    <t>Product_448</t>
  </si>
  <si>
    <t>P0449</t>
  </si>
  <si>
    <t>Product_449</t>
  </si>
  <si>
    <t>P0450</t>
  </si>
  <si>
    <t>Product_450</t>
  </si>
  <si>
    <t>P0451</t>
  </si>
  <si>
    <t>Product_451</t>
  </si>
  <si>
    <t>P0452</t>
  </si>
  <si>
    <t>Product_452</t>
  </si>
  <si>
    <t>P0453</t>
  </si>
  <si>
    <t>Product_453</t>
  </si>
  <si>
    <t>P0454</t>
  </si>
  <si>
    <t>Product_454</t>
  </si>
  <si>
    <t>P0455</t>
  </si>
  <si>
    <t>Product_455</t>
  </si>
  <si>
    <t>P0456</t>
  </si>
  <si>
    <t>Product_456</t>
  </si>
  <si>
    <t>P0457</t>
  </si>
  <si>
    <t>Product_457</t>
  </si>
  <si>
    <t>P0458</t>
  </si>
  <si>
    <t>Product_458</t>
  </si>
  <si>
    <t>P0459</t>
  </si>
  <si>
    <t>Product_459</t>
  </si>
  <si>
    <t>P0460</t>
  </si>
  <si>
    <t>Product_460</t>
  </si>
  <si>
    <t>P0461</t>
  </si>
  <si>
    <t>Product_461</t>
  </si>
  <si>
    <t>P0462</t>
  </si>
  <si>
    <t>Product_462</t>
  </si>
  <si>
    <t>P0463</t>
  </si>
  <si>
    <t>Product_463</t>
  </si>
  <si>
    <t>P0464</t>
  </si>
  <si>
    <t>Product_464</t>
  </si>
  <si>
    <t>P0465</t>
  </si>
  <si>
    <t>Product_465</t>
  </si>
  <si>
    <t>P0466</t>
  </si>
  <si>
    <t>Product_466</t>
  </si>
  <si>
    <t>P0467</t>
  </si>
  <si>
    <t>Product_467</t>
  </si>
  <si>
    <t>P0468</t>
  </si>
  <si>
    <t>Product_468</t>
  </si>
  <si>
    <t>P0469</t>
  </si>
  <si>
    <t>Product_469</t>
  </si>
  <si>
    <t>P0470</t>
  </si>
  <si>
    <t>Product_470</t>
  </si>
  <si>
    <t>P0471</t>
  </si>
  <si>
    <t>Product_471</t>
  </si>
  <si>
    <t>P0472</t>
  </si>
  <si>
    <t>Product_472</t>
  </si>
  <si>
    <t>P0473</t>
  </si>
  <si>
    <t>Product_473</t>
  </si>
  <si>
    <t>P0474</t>
  </si>
  <si>
    <t>Product_474</t>
  </si>
  <si>
    <t>P0475</t>
  </si>
  <si>
    <t>Product_475</t>
  </si>
  <si>
    <t>P0476</t>
  </si>
  <si>
    <t>Product_476</t>
  </si>
  <si>
    <t>P0477</t>
  </si>
  <si>
    <t>Product_477</t>
  </si>
  <si>
    <t>P0478</t>
  </si>
  <si>
    <t>Product_478</t>
  </si>
  <si>
    <t>P0479</t>
  </si>
  <si>
    <t>Product_479</t>
  </si>
  <si>
    <t>P0480</t>
  </si>
  <si>
    <t>Product_480</t>
  </si>
  <si>
    <t>P0481</t>
  </si>
  <si>
    <t>Product_481</t>
  </si>
  <si>
    <t>P0482</t>
  </si>
  <si>
    <t>Product_482</t>
  </si>
  <si>
    <t>P0483</t>
  </si>
  <si>
    <t>Product_483</t>
  </si>
  <si>
    <t>P0484</t>
  </si>
  <si>
    <t>Product_484</t>
  </si>
  <si>
    <t>P0485</t>
  </si>
  <si>
    <t>Product_485</t>
  </si>
  <si>
    <t>P0486</t>
  </si>
  <si>
    <t>Product_486</t>
  </si>
  <si>
    <t>P0487</t>
  </si>
  <si>
    <t>Product_487</t>
  </si>
  <si>
    <t>P0488</t>
  </si>
  <si>
    <t>Product_488</t>
  </si>
  <si>
    <t>P0489</t>
  </si>
  <si>
    <t>Product_489</t>
  </si>
  <si>
    <t>P0490</t>
  </si>
  <si>
    <t>Product_490</t>
  </si>
  <si>
    <t>P0491</t>
  </si>
  <si>
    <t>Product_491</t>
  </si>
  <si>
    <t>P0492</t>
  </si>
  <si>
    <t>Product_492</t>
  </si>
  <si>
    <t>P0493</t>
  </si>
  <si>
    <t>Product_493</t>
  </si>
  <si>
    <t>P0494</t>
  </si>
  <si>
    <t>Product_494</t>
  </si>
  <si>
    <t>P0495</t>
  </si>
  <si>
    <t>Product_495</t>
  </si>
  <si>
    <t>P0496</t>
  </si>
  <si>
    <t>Product_496</t>
  </si>
  <si>
    <t>P0497</t>
  </si>
  <si>
    <t>Product_497</t>
  </si>
  <si>
    <t>P0498</t>
  </si>
  <si>
    <t>Product_498</t>
  </si>
  <si>
    <t>P0499</t>
  </si>
  <si>
    <t>Product_499</t>
  </si>
  <si>
    <t>P0500</t>
  </si>
  <si>
    <t>Product_500</t>
  </si>
  <si>
    <t>length</t>
  </si>
  <si>
    <t>Length</t>
  </si>
  <si>
    <t>Ctegory</t>
  </si>
  <si>
    <t>Mobile</t>
  </si>
  <si>
    <t>Headphones</t>
  </si>
  <si>
    <t>Laptop</t>
  </si>
  <si>
    <t>     Material      </t>
  </si>
  <si>
    <t>WH1881NL01         </t>
  </si>
  <si>
    <t>WH10017QM01        </t>
  </si>
  <si>
    <t>WH10017SL01        </t>
  </si>
  <si>
    <t>WH1043NM01         </t>
  </si>
  <si>
    <t>WH1043YL05         </t>
  </si>
  <si>
    <t>WH1043YM01         </t>
  </si>
  <si>
    <t>WH1044YM07         </t>
  </si>
  <si>
    <t>WH15952655WL01     </t>
  </si>
  <si>
    <t>WH1595NL01         </t>
  </si>
  <si>
    <t>WH1595NM01         </t>
  </si>
  <si>
    <t>WH1595SL03         </t>
  </si>
  <si>
    <t>WH1595SL06         </t>
  </si>
  <si>
    <t>WH1595SL505        </t>
  </si>
  <si>
    <t>WH1595WL01         </t>
  </si>
  <si>
    <t>WH1595WL09         </t>
  </si>
  <si>
    <t>WH1595WM01         </t>
  </si>
  <si>
    <t>WH1596NL01         </t>
  </si>
  <si>
    <t>WH1843NM01         </t>
  </si>
  <si>
    <t>WH1843QM02         </t>
  </si>
  <si>
    <t>WH1843WL01         </t>
  </si>
  <si>
    <t>WH2654WM01         </t>
  </si>
  <si>
    <t>Change case using Formula</t>
  </si>
  <si>
    <t>Fix Negative Stock Values</t>
  </si>
  <si>
    <t>City-Pincode</t>
  </si>
  <si>
    <t>Mumbai-400088</t>
  </si>
  <si>
    <t>Pune-412354</t>
  </si>
  <si>
    <t>Surat-235646</t>
  </si>
  <si>
    <t>Mumbai</t>
  </si>
  <si>
    <t>Pune</t>
  </si>
  <si>
    <t>Surat</t>
  </si>
  <si>
    <t>Ctrl+E</t>
  </si>
  <si>
    <t>Left and Find Formula</t>
  </si>
  <si>
    <t>Right, Len and Find Formula</t>
  </si>
  <si>
    <t>Student ID</t>
  </si>
  <si>
    <t>Marks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</si>
  <si>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</si>
  <si>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</si>
  <si>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</si>
  <si>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</si>
  <si>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</si>
  <si>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</si>
  <si>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</si>
  <si>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</si>
  <si>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</si>
  <si>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</si>
  <si>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</si>
  <si>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</si>
  <si>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</si>
  <si>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</si>
  <si>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</si>
  <si>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</si>
  <si>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</si>
  <si>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</si>
  <si>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</si>
  <si>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</si>
  <si>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</si>
  <si>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</si>
  <si>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</si>
  <si>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</si>
  <si>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</si>
  <si>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</si>
  <si>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</si>
  <si>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</si>
  <si>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</si>
  <si>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</si>
  <si>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</si>
  <si>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</si>
  <si>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</si>
  <si>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</si>
  <si>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</si>
  <si>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</si>
  <si>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</si>
  <si>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</si>
  <si>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</si>
  <si>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</si>
  <si>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</si>
  <si>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</si>
  <si>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</si>
  <si>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</si>
  <si>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</si>
  <si>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</si>
  <si>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</si>
  <si>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</si>
  <si>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</si>
  <si>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</si>
  <si>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</si>
  <si>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</si>
  <si>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</si>
  <si>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</si>
  <si>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</si>
  <si>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</si>
  <si>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</si>
  <si>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</si>
  <si>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</si>
  <si>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</si>
  <si>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</si>
  <si>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</si>
  <si>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</si>
  <si>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</si>
  <si>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</si>
  <si>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</si>
  <si>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</si>
  <si>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</si>
  <si>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</si>
  <si>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</si>
  <si>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</si>
  <si>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</si>
  <si>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</si>
  <si>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</si>
  <si>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</si>
  <si>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</si>
  <si>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</si>
  <si>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</si>
  <si>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</si>
  <si>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</si>
  <si>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</si>
  <si>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</si>
  <si>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</si>
  <si>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</si>
  <si>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</si>
  <si>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</si>
  <si>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</si>
  <si>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</si>
  <si>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</si>
  <si>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</si>
  <si>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</si>
  <si>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</si>
  <si>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</si>
  <si>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</si>
  <si>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</si>
  <si>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</si>
  <si>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</si>
  <si>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</si>
  <si>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</si>
  <si>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</si>
  <si>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</si>
  <si>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</si>
  <si>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</si>
  <si>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</si>
  <si>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</si>
  <si>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</si>
  <si>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</si>
  <si>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</si>
  <si>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</si>
  <si>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</si>
  <si>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</si>
  <si>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</si>
  <si>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</si>
  <si>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</si>
  <si>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</si>
  <si>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</si>
  <si>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</si>
  <si>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</si>
  <si>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</si>
  <si>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</si>
  <si>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</si>
  <si>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</si>
  <si>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</si>
  <si>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</si>
  <si>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</si>
  <si>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</si>
  <si>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</si>
  <si>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</si>
  <si>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</si>
  <si>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</si>
  <si>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</si>
  <si>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</si>
  <si>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</si>
  <si>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</si>
  <si>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</si>
  <si>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</si>
  <si>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</si>
  <si>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</si>
  <si>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</si>
  <si>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</si>
  <si>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</si>
  <si>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</si>
  <si>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</si>
  <si>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</si>
  <si>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</si>
  <si>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</si>
  <si>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</si>
  <si>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</si>
  <si>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</si>
  <si>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</si>
  <si>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</si>
  <si>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</si>
  <si>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</si>
  <si>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</si>
  <si>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</si>
  <si>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</si>
  <si>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</si>
  <si>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</si>
  <si>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</si>
  <si>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</si>
  <si>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</si>
  <si>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</si>
  <si>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</si>
  <si>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</si>
  <si>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</si>
  <si>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</si>
  <si>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</si>
  <si>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</si>
  <si>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</si>
  <si>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</si>
  <si>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</si>
  <si>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</si>
  <si>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</si>
  <si>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</si>
  <si>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</si>
  <si>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</si>
  <si>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</si>
  <si>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</si>
  <si>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</si>
  <si>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</si>
  <si>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</si>
  <si>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</si>
  <si>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</si>
  <si>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</si>
  <si>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</si>
  <si>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</si>
  <si>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</si>
  <si>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</si>
  <si>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</si>
  <si>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</si>
  <si>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</si>
  <si>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</si>
  <si>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</si>
  <si>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</si>
  <si>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</si>
  <si>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</si>
  <si>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</si>
  <si>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</si>
  <si>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</si>
  <si>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</si>
  <si>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</si>
  <si>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</si>
  <si>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</si>
  <si>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</si>
  <si>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</si>
  <si>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</si>
  <si>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</si>
  <si>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</si>
  <si>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</si>
  <si>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</si>
  <si>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</si>
  <si>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</si>
  <si>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</si>
  <si>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</si>
  <si>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</si>
  <si>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</si>
  <si>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</si>
  <si>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</si>
  <si>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</si>
  <si>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</si>
  <si>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</si>
  <si>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</si>
  <si>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</si>
  <si>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</si>
  <si>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</si>
  <si>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</si>
  <si>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</si>
  <si>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</si>
  <si>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</si>
  <si>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</si>
  <si>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</si>
  <si>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</si>
  <si>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</si>
  <si>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</si>
  <si>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</si>
  <si>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</si>
  <si>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</si>
  <si>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</si>
  <si>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</si>
  <si>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</si>
  <si>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</si>
  <si>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</si>
  <si>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</si>
  <si>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</si>
  <si>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</si>
  <si>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</si>
  <si>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</si>
  <si>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</si>
  <si>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</si>
  <si>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</si>
  <si>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</si>
  <si>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</si>
  <si>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</si>
  <si>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</si>
  <si>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</si>
  <si>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</si>
  <si>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</si>
  <si>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</si>
  <si>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</si>
  <si>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</si>
  <si>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</si>
  <si>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</si>
  <si>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</si>
  <si>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</si>
  <si>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</si>
  <si>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</si>
  <si>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</si>
  <si>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</si>
  <si>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</si>
  <si>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</si>
  <si>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</si>
  <si>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</si>
  <si>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</si>
  <si>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</si>
  <si>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</si>
  <si>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</si>
  <si>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</si>
  <si>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</si>
  <si>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</si>
  <si>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</si>
  <si>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</si>
  <si>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</si>
  <si>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</si>
  <si>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</si>
  <si>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</si>
  <si>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</si>
  <si>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</si>
  <si>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</si>
  <si>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</si>
  <si>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</si>
  <si>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</si>
  <si>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</si>
  <si>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</si>
  <si>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</si>
  <si>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</si>
  <si>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</si>
  <si>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</si>
  <si>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</si>
  <si>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</si>
  <si>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</si>
  <si>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</si>
  <si>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</si>
  <si>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</si>
  <si>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</si>
  <si>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</si>
  <si>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</si>
  <si>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</si>
  <si>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</si>
  <si>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</si>
  <si>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</si>
  <si>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</si>
  <si>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</si>
  <si>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</si>
  <si>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</si>
  <si>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</si>
  <si>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</si>
  <si>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</si>
  <si>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</si>
  <si>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</si>
  <si>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</si>
  <si>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</si>
  <si>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</si>
  <si>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</si>
  <si>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</si>
  <si>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</si>
  <si>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</si>
  <si>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</si>
  <si>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</si>
  <si>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</si>
  <si>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</si>
  <si>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</si>
  <si>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</si>
  <si>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</si>
  <si>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</si>
  <si>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</si>
  <si>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</si>
  <si>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</si>
  <si>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</si>
  <si>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</si>
  <si>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</si>
  <si>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</si>
  <si>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</si>
  <si>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</si>
  <si>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</si>
  <si>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</si>
  <si>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</si>
  <si>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</si>
  <si>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</si>
  <si>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</si>
  <si>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</si>
  <si>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</si>
  <si>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</si>
  <si>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</si>
  <si>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</si>
  <si>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</si>
  <si>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</si>
  <si>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</si>
  <si>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</si>
  <si>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</si>
  <si>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</si>
  <si>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</si>
  <si>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</si>
  <si>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</si>
  <si>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</si>
  <si>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</si>
  <si>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</si>
  <si>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</si>
  <si>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</si>
  <si>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</si>
  <si>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</si>
  <si>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</si>
  <si>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</si>
  <si>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</si>
  <si>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</si>
  <si>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</si>
  <si>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</si>
  <si>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</si>
  <si>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</si>
  <si>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</si>
  <si>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</si>
  <si>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</si>
  <si>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</si>
  <si>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</si>
  <si>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</si>
  <si>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</si>
  <si>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</si>
  <si>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</si>
  <si>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</si>
  <si>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</si>
  <si>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</si>
  <si>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</si>
  <si>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</si>
  <si>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</si>
  <si>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</si>
  <si>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</si>
  <si>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</si>
  <si>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</si>
  <si>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</si>
  <si>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</si>
  <si>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</si>
  <si>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</si>
  <si>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</si>
  <si>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</si>
  <si>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</si>
  <si>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</si>
  <si>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</si>
  <si>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</si>
  <si>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</si>
  <si>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</si>
  <si>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</si>
  <si>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</si>
  <si>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</si>
  <si>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</si>
  <si>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</si>
  <si>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</si>
  <si>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</si>
  <si>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</si>
  <si>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</si>
  <si>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</si>
  <si>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</si>
  <si>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</si>
  <si>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</si>
  <si>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</si>
  <si>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</si>
  <si>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</si>
  <si>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</si>
  <si>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</si>
  <si>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</si>
  <si>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</si>
  <si>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</si>
  <si>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</si>
  <si>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</si>
  <si>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</si>
  <si>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</si>
  <si>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</si>
  <si>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</si>
  <si>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</si>
  <si>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</si>
  <si>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</si>
  <si>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</si>
  <si>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</si>
  <si>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</si>
  <si>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</si>
  <si>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</si>
  <si>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</si>
  <si>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</si>
  <si>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</si>
  <si>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</si>
  <si>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</si>
  <si>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</si>
  <si>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</si>
  <si>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</si>
  <si>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</si>
  <si>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</si>
  <si>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</si>
  <si>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</si>
  <si>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</si>
  <si>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</si>
  <si>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</si>
  <si>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</si>
  <si>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</si>
  <si>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</si>
  <si>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</si>
  <si>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</si>
  <si>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</si>
  <si>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</si>
  <si>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</si>
  <si>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</si>
  <si>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</si>
  <si>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</si>
  <si>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</si>
  <si>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</si>
  <si>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</si>
  <si>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</si>
  <si>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</si>
  <si>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</si>
  <si>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</si>
  <si>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</si>
  <si>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</si>
  <si>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</si>
  <si>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</si>
  <si>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</si>
  <si>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</si>
  <si>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</si>
  <si>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</si>
  <si>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</si>
  <si>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</si>
  <si>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</si>
  <si>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</si>
  <si>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</si>
  <si>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</si>
  <si>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</si>
  <si>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</si>
  <si>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</si>
  <si>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</si>
  <si>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</si>
  <si>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</si>
  <si>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</si>
  <si>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</si>
  <si>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</si>
  <si>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Pass/Fail</t>
  </si>
  <si>
    <t>Grade (AND)</t>
  </si>
  <si>
    <t>Grade (OR)</t>
  </si>
  <si>
    <t>Emp ID</t>
  </si>
  <si>
    <t>Salesman</t>
  </si>
  <si>
    <t>Target status</t>
  </si>
  <si>
    <t>Incentive (ifs)</t>
  </si>
  <si>
    <t>Target Condition</t>
  </si>
  <si>
    <t>Sales Achieved</t>
  </si>
  <si>
    <t>Status</t>
  </si>
  <si>
    <t>&gt;=50000</t>
  </si>
  <si>
    <t xml:space="preserve">Completed </t>
  </si>
  <si>
    <t>&lt;50000</t>
  </si>
  <si>
    <t>Incomplete</t>
  </si>
  <si>
    <t>INCENTIVE CALCULATION</t>
  </si>
  <si>
    <t>Percentage</t>
  </si>
  <si>
    <t>75000&gt;</t>
  </si>
  <si>
    <t>50000&gt;</t>
  </si>
  <si>
    <t>Incentive (Nested if)</t>
  </si>
  <si>
    <t>Sale Date</t>
  </si>
  <si>
    <t>Region</t>
  </si>
  <si>
    <t>State</t>
  </si>
  <si>
    <t>City</t>
  </si>
  <si>
    <t>Quantity</t>
  </si>
  <si>
    <t>Price per Unit</t>
  </si>
  <si>
    <t>Sales Amount</t>
  </si>
  <si>
    <t>Customer Name</t>
  </si>
  <si>
    <t>Product Category</t>
  </si>
  <si>
    <t>Meera</t>
  </si>
  <si>
    <t>Nagpur</t>
  </si>
  <si>
    <t>Maharashtra</t>
  </si>
  <si>
    <t>West</t>
  </si>
  <si>
    <t>Table</t>
  </si>
  <si>
    <t>Vihaan</t>
  </si>
  <si>
    <t>Coimbatore</t>
  </si>
  <si>
    <t>Tamil Nadu</t>
  </si>
  <si>
    <t>South</t>
  </si>
  <si>
    <t>Ruler</t>
  </si>
  <si>
    <t>Nishant</t>
  </si>
  <si>
    <t>Bengaluru</t>
  </si>
  <si>
    <t>Karnataka</t>
  </si>
  <si>
    <t>Madurai</t>
  </si>
  <si>
    <t>Dress</t>
  </si>
  <si>
    <t>Aditi</t>
  </si>
  <si>
    <t>Groceries</t>
  </si>
  <si>
    <t>Lentils</t>
  </si>
  <si>
    <t>Ishita</t>
  </si>
  <si>
    <t>Chennai</t>
  </si>
  <si>
    <t>Eraser</t>
  </si>
  <si>
    <t>Aarav</t>
  </si>
  <si>
    <t>Mysuru</t>
  </si>
  <si>
    <t>Riya</t>
  </si>
  <si>
    <t>Ahmedabad</t>
  </si>
  <si>
    <t>Gujarat</t>
  </si>
  <si>
    <t>Pants</t>
  </si>
  <si>
    <t>Aryan</t>
  </si>
  <si>
    <t>Shirt</t>
  </si>
  <si>
    <t>Ananya</t>
  </si>
  <si>
    <t>Dwarka</t>
  </si>
  <si>
    <t>Delhi</t>
  </si>
  <si>
    <t>North</t>
  </si>
  <si>
    <t>Rice</t>
  </si>
  <si>
    <t>Kabir</t>
  </si>
  <si>
    <t>Karol Bagh</t>
  </si>
  <si>
    <t>Hubli</t>
  </si>
  <si>
    <t>Sugar</t>
  </si>
  <si>
    <t>Bed</t>
  </si>
  <si>
    <t>Oil</t>
  </si>
  <si>
    <t>Jacket</t>
  </si>
  <si>
    <t>Pen</t>
  </si>
  <si>
    <t>Smartphone</t>
  </si>
  <si>
    <t>Tablet</t>
  </si>
  <si>
    <t>Sofa</t>
  </si>
  <si>
    <t>New Delhi</t>
  </si>
  <si>
    <t>Vadodara</t>
  </si>
  <si>
    <t>Notebook</t>
  </si>
  <si>
    <t>Chair</t>
  </si>
  <si>
    <t>Emp_type</t>
  </si>
  <si>
    <t>Grade 6</t>
  </si>
  <si>
    <t>Grade 5</t>
  </si>
  <si>
    <t>Grade 4</t>
  </si>
  <si>
    <t>Grade 3</t>
  </si>
  <si>
    <t>Grade 2</t>
  </si>
  <si>
    <t>Grade 1</t>
  </si>
  <si>
    <t>Class/Subjects</t>
  </si>
  <si>
    <t>8:00 AM - 8:45 AM</t>
  </si>
  <si>
    <t>8:45 AM - 9:30 AM</t>
  </si>
  <si>
    <t>9:30 AM - 10:15 AM</t>
  </si>
  <si>
    <t>10:15 AM - 11:00 AM</t>
  </si>
  <si>
    <t>11:00 AM - 11:15 AM (Break)</t>
  </si>
  <si>
    <t>11:15 AM - 12:00 PM</t>
  </si>
  <si>
    <t>12:00 PM - 12:45 PM</t>
  </si>
  <si>
    <t>12:45 PM - 1:30 PM</t>
  </si>
  <si>
    <t>1:30 PM - 2:15 PM</t>
  </si>
  <si>
    <t>Mathematics</t>
  </si>
  <si>
    <t>Mathematics (Ms. Johnson)</t>
  </si>
  <si>
    <t>Mathematics (Mr. Smith)</t>
  </si>
  <si>
    <t>Mathematics (Mrs. Lee)</t>
  </si>
  <si>
    <t>Mathematics (Mr. Brown)</t>
  </si>
  <si>
    <t>Break</t>
  </si>
  <si>
    <t>Mathematics (Mr. Wilson)</t>
  </si>
  <si>
    <t>Mathematics (Ms. Taylor)</t>
  </si>
  <si>
    <t>Mathematics (Mr. White)</t>
  </si>
  <si>
    <t>Science</t>
  </si>
  <si>
    <t>Science (Mr. Smith)</t>
  </si>
  <si>
    <t>Science (Mrs. Lee)</t>
  </si>
  <si>
    <t>Science (Mr. Brown)</t>
  </si>
  <si>
    <t>Science (Ms. Davis)</t>
  </si>
  <si>
    <t>Science (Ms. Taylor)</t>
  </si>
  <si>
    <t>Science (Mr. White)</t>
  </si>
  <si>
    <t>Science (Ms. Johnson)</t>
  </si>
  <si>
    <t>English</t>
  </si>
  <si>
    <t>English (Mrs. Lee)</t>
  </si>
  <si>
    <t>English (Mr. Brown)</t>
  </si>
  <si>
    <t>English (Ms. Davis)</t>
  </si>
  <si>
    <t>English (Mr. Wilson)</t>
  </si>
  <si>
    <t>English (Mr. White)</t>
  </si>
  <si>
    <t>English (Ms. Johnson)</t>
  </si>
  <si>
    <t>English (Mr. Smith)</t>
  </si>
  <si>
    <t>History</t>
  </si>
  <si>
    <t>History (Mr. Brown)</t>
  </si>
  <si>
    <t>History (Ms. Davis)</t>
  </si>
  <si>
    <t>History (Mr. Wilson)</t>
  </si>
  <si>
    <t>History (Ms. Taylor)</t>
  </si>
  <si>
    <t>History (Ms. Johnson)</t>
  </si>
  <si>
    <t>History (Mr. Smith)</t>
  </si>
  <si>
    <t>History (Mrs. Lee)</t>
  </si>
  <si>
    <t>Geography</t>
  </si>
  <si>
    <t>Geography (Ms. Davis)</t>
  </si>
  <si>
    <t>Geography (Mr. Wilson)</t>
  </si>
  <si>
    <t>Geography (Ms. Taylor)</t>
  </si>
  <si>
    <t>Geography (Mr. White)</t>
  </si>
  <si>
    <t>Geography (Mr. Smith)</t>
  </si>
  <si>
    <t>Geography (Mrs. Lee)</t>
  </si>
  <si>
    <t>Geography (Mr. Brown)</t>
  </si>
  <si>
    <t>Physical Education</t>
  </si>
  <si>
    <t>Physical Education (Mr. Wilson)</t>
  </si>
  <si>
    <t>Physical Education (Ms. Taylor)</t>
  </si>
  <si>
    <t>Physical Education (Mr. White)</t>
  </si>
  <si>
    <t>Physical Education (Ms. Johnson)</t>
  </si>
  <si>
    <t>Physical Education (Mrs. Lee)</t>
  </si>
  <si>
    <t>Physical Education (Mr. Brown)</t>
  </si>
  <si>
    <t>Physical Education (Ms. Davis)</t>
  </si>
  <si>
    <t>Art</t>
  </si>
  <si>
    <t>Art (Ms. Taylor)</t>
  </si>
  <si>
    <t>Art (Mr. White)</t>
  </si>
  <si>
    <t>Art (Ms. Johnson)</t>
  </si>
  <si>
    <t>Art (Mr. Smith)</t>
  </si>
  <si>
    <t>Art (Mr. Brown)</t>
  </si>
  <si>
    <t>Art (Ms. Davis)</t>
  </si>
  <si>
    <t>Art (Mr. Wilson)</t>
  </si>
  <si>
    <t>Computer Science</t>
  </si>
  <si>
    <t>Computer Science (Mr. White)</t>
  </si>
  <si>
    <t>Computer Science (Ms. Johnson)</t>
  </si>
  <si>
    <t>Computer Science (Mr. Smith)</t>
  </si>
  <si>
    <t>Computer Science (Mrs. Lee)</t>
  </si>
  <si>
    <t>Computer Science (Ms. Davis)</t>
  </si>
  <si>
    <t>Computer Science (Mr. Wilson)</t>
  </si>
  <si>
    <t>Computer Science (Ms. Taylor)</t>
  </si>
  <si>
    <t>Project ID</t>
  </si>
  <si>
    <t>Start Date</t>
  </si>
  <si>
    <t>End Date</t>
  </si>
  <si>
    <t>Days Remaining</t>
  </si>
  <si>
    <t>P101</t>
  </si>
  <si>
    <t>2024-01-01</t>
  </si>
  <si>
    <t>2024-03-31</t>
  </si>
  <si>
    <t>P102</t>
  </si>
  <si>
    <t>2024-02-15</t>
  </si>
  <si>
    <t>2024-05-30</t>
  </si>
  <si>
    <t>P103</t>
  </si>
  <si>
    <t>2024-03-01</t>
  </si>
  <si>
    <t>2024-06-15</t>
  </si>
  <si>
    <t>P104</t>
  </si>
  <si>
    <t>2024-04-10</t>
  </si>
  <si>
    <t>2024-07-25</t>
  </si>
  <si>
    <t>P105</t>
  </si>
  <si>
    <t>2024-05-05</t>
  </si>
  <si>
    <t>2024-08-10</t>
  </si>
  <si>
    <t>Employee Name</t>
  </si>
  <si>
    <t>Date of Joining</t>
  </si>
  <si>
    <t>Date of Birth</t>
  </si>
  <si>
    <t>John Doe</t>
  </si>
  <si>
    <t>2020-01-15</t>
  </si>
  <si>
    <t>1990-07-12</t>
  </si>
  <si>
    <t>Jane Smith</t>
  </si>
  <si>
    <t>2019-06-01</t>
  </si>
  <si>
    <t>1985-11-23</t>
  </si>
  <si>
    <t>Robert Brown</t>
  </si>
  <si>
    <t>2021-09-20</t>
  </si>
  <si>
    <t>1992-05-14</t>
  </si>
  <si>
    <t>Emily Davis</t>
  </si>
  <si>
    <t>2020-11-05</t>
  </si>
  <si>
    <t>1995-09-30</t>
  </si>
  <si>
    <t>Michael Johnson</t>
  </si>
  <si>
    <t>2018-03-22</t>
  </si>
  <si>
    <t>1988-02-18</t>
  </si>
  <si>
    <t>DOB</t>
  </si>
  <si>
    <t>DOJ</t>
  </si>
  <si>
    <t>Holidays</t>
  </si>
  <si>
    <t>Incentive (AND)</t>
  </si>
  <si>
    <t>Incentive (OR)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</si>
</sst>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.00_ ;_ [$₹-4009]\ * \-#,##0.00_ ;_ [$₹-4009]\ * &quot;-&quot;??_ ;_ @_ "/>
    <numFmt numFmtId="165" formatCode="dd\-mm\-yyyy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rgb="FF000000"/>
      <name val="Aptos Display"/>
      <family val="2"/>
    </font>
    <font>
      <sz val="11"/>
      <color rgb="FF000000"/>
      <name val="Aptos Display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horizontal="center" vertical="top"/>
    </xf>
    <xf numFmtId="0" fontId="2" fillId="0" borderId="0" xfId="0" applyFont="1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1" fillId="4" borderId="0" xfId="0" applyFont="1" applyFill="1"/>
    <xf numFmtId="0" fontId="5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3" fillId="2" borderId="0" xfId="0" applyFont="1" applyFill="1"/>
    <xf numFmtId="0" fontId="2" fillId="2" borderId="0" xfId="0" applyFont="1" applyFill="1"/>
    <xf numFmtId="0" fontId="1" fillId="5" borderId="1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9" fontId="0" fillId="0" borderId="0" xfId="0" applyNumberFormat="1"/>
    <xf numFmtId="0" fontId="1" fillId="5" borderId="3" xfId="0" applyFont="1" applyFill="1" applyBorder="1" applyAlignment="1">
      <alignment horizontal="center" vertical="top"/>
    </xf>
    <xf numFmtId="14" fontId="1" fillId="0" borderId="0" xfId="0" applyNumberFormat="1" applyFont="1" applyAlignment="1">
      <alignment horizontal="center" vertical="top"/>
    </xf>
    <xf numFmtId="14" fontId="0" fillId="0" borderId="0" xfId="0" applyNumberFormat="1"/>
    <xf numFmtId="164" fontId="1" fillId="5" borderId="1" xfId="0" applyNumberFormat="1" applyFont="1" applyFill="1" applyBorder="1" applyAlignment="1">
      <alignment horizontal="center" vertical="top"/>
    </xf>
    <xf numFmtId="14" fontId="1" fillId="5" borderId="1" xfId="0" applyNumberFormat="1" applyFont="1" applyFill="1" applyBorder="1" applyAlignment="1">
      <alignment horizontal="center" vertical="top"/>
    </xf>
    <xf numFmtId="164" fontId="0" fillId="0" borderId="1" xfId="0" applyNumberFormat="1" applyBorder="1"/>
    <xf numFmtId="14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0" xfId="0" applyNumberFormat="1"/>
    <xf numFmtId="0" fontId="1" fillId="0" borderId="2" xfId="0" applyFont="1" applyBorder="1" applyAlignment="1">
      <alignment horizontal="center" vertical="top"/>
    </xf>
    <xf numFmtId="165" fontId="1" fillId="0" borderId="0" xfId="0" applyNumberFormat="1" applyFont="1"/>
    <xf numFmtId="0" fontId="1" fillId="0" borderId="0" xfId="0" applyFont="1" applyAlignment="1">
      <alignment horizontal="center"/>
    </xf>
    <xf numFmtId="0" fontId="1" fillId="5" borderId="0" xfId="0" applyFont="1" applyFill="1" applyAlignment="1">
      <alignment horizontal="center" vertical="top"/>
    </xf>
  </cellXfs>
  <cellStyles count="1">
    <cellStyle name="Normal" xfId="0" builtinId="0"/>
  </cellStyles>
  <dxfs count="19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FE65C-2809-4634-9A9A-337594168923}">
  <dimension ref="A1:I7"/>
  <sheetViews>
    <sheetView workbookViewId="0">
      <selection activeCell="E6" sqref="E6"/>
    </sheetView>
  </sheetViews>
  <sheetFormatPr defaultRowHeight="14.4"/>
  <sheetData>
    <row r="1" spans="1:9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</row>
    <row r="2" spans="1:9">
      <c r="A2" s="4">
        <v>60</v>
      </c>
      <c r="B2" s="4">
        <v>90</v>
      </c>
      <c r="C2" s="4">
        <v>63</v>
      </c>
      <c r="D2" s="4">
        <v>100</v>
      </c>
      <c r="E2" s="4">
        <f>SUM(A2:D2)</f>
        <v>313</v>
      </c>
      <c r="F2" s="4">
        <f>MAX(A2:D2)</f>
        <v>100</v>
      </c>
      <c r="G2" s="4">
        <f>MIN(A2:D2)</f>
        <v>60</v>
      </c>
      <c r="H2" s="4">
        <f>AVERAGE(A2:D2)</f>
        <v>78.25</v>
      </c>
      <c r="I2" s="4">
        <f>COUNT(A2:D2)</f>
        <v>4</v>
      </c>
    </row>
    <row r="3" spans="1:9">
      <c r="A3" s="4">
        <v>89</v>
      </c>
      <c r="B3" s="4">
        <v>60</v>
      </c>
      <c r="C3" s="4">
        <v>25</v>
      </c>
      <c r="D3" s="4">
        <v>32</v>
      </c>
      <c r="E3" s="4">
        <f t="shared" ref="E3:E7" si="0">SUM(A3:D3)</f>
        <v>206</v>
      </c>
      <c r="F3" s="4">
        <f t="shared" ref="F3:F7" si="1">MAX(A3:D3)</f>
        <v>89</v>
      </c>
      <c r="G3" s="4">
        <f t="shared" ref="G3:G7" si="2">MIN(A3:D3)</f>
        <v>25</v>
      </c>
      <c r="H3" s="4">
        <f t="shared" ref="H3:H7" si="3">AVERAGE(A3:D3)</f>
        <v>51.5</v>
      </c>
      <c r="I3" s="4">
        <f t="shared" ref="I3:I7" si="4">COUNT(A3:D3)</f>
        <v>4</v>
      </c>
    </row>
    <row r="4" spans="1:9">
      <c r="A4" s="4">
        <v>92</v>
      </c>
      <c r="B4" s="4">
        <v>100</v>
      </c>
      <c r="C4" s="4">
        <v>36</v>
      </c>
      <c r="D4" s="4">
        <v>41</v>
      </c>
      <c r="E4" s="4">
        <f t="shared" si="0"/>
        <v>269</v>
      </c>
      <c r="F4" s="4">
        <f t="shared" si="1"/>
        <v>100</v>
      </c>
      <c r="G4" s="4">
        <f t="shared" si="2"/>
        <v>36</v>
      </c>
      <c r="H4" s="4">
        <f t="shared" si="3"/>
        <v>67.25</v>
      </c>
      <c r="I4" s="4">
        <f t="shared" si="4"/>
        <v>4</v>
      </c>
    </row>
    <row r="5" spans="1:9">
      <c r="A5" s="4">
        <v>83</v>
      </c>
      <c r="B5" s="4">
        <v>47</v>
      </c>
      <c r="C5" s="4">
        <v>83</v>
      </c>
      <c r="D5" s="4">
        <v>60</v>
      </c>
      <c r="E5" s="4">
        <f t="shared" si="0"/>
        <v>273</v>
      </c>
      <c r="F5" s="4">
        <f t="shared" si="1"/>
        <v>83</v>
      </c>
      <c r="G5" s="4">
        <f t="shared" si="2"/>
        <v>47</v>
      </c>
      <c r="H5" s="4">
        <f t="shared" si="3"/>
        <v>68.25</v>
      </c>
      <c r="I5" s="4">
        <f t="shared" si="4"/>
        <v>4</v>
      </c>
    </row>
    <row r="6" spans="1:9">
      <c r="A6" s="4">
        <v>58</v>
      </c>
      <c r="B6" s="4">
        <v>90</v>
      </c>
      <c r="C6" s="4">
        <v>89</v>
      </c>
      <c r="D6" s="4">
        <v>53</v>
      </c>
      <c r="E6" s="4">
        <f t="shared" si="0"/>
        <v>290</v>
      </c>
      <c r="F6" s="4">
        <f t="shared" si="1"/>
        <v>90</v>
      </c>
      <c r="G6" s="4">
        <f t="shared" si="2"/>
        <v>53</v>
      </c>
      <c r="H6" s="4">
        <f t="shared" si="3"/>
        <v>72.5</v>
      </c>
      <c r="I6" s="4">
        <f t="shared" si="4"/>
        <v>4</v>
      </c>
    </row>
    <row r="7" spans="1:9">
      <c r="A7" s="4">
        <v>78</v>
      </c>
      <c r="B7" s="4">
        <v>59</v>
      </c>
      <c r="C7" s="4">
        <v>93</v>
      </c>
      <c r="D7" s="4">
        <v>71</v>
      </c>
      <c r="E7" s="4">
        <f t="shared" si="0"/>
        <v>301</v>
      </c>
      <c r="F7" s="4">
        <f t="shared" si="1"/>
        <v>93</v>
      </c>
      <c r="G7" s="4">
        <f t="shared" si="2"/>
        <v>59</v>
      </c>
      <c r="H7" s="4">
        <f t="shared" si="3"/>
        <v>75.25</v>
      </c>
      <c r="I7" s="4">
        <f t="shared" si="4"/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B7251-A2B2-4606-8ED8-CF1B20513D18}">
  <dimension ref="A1:M30"/>
  <sheetViews>
    <sheetView topLeftCell="A9" workbookViewId="0">
      <selection activeCell="M17" sqref="M17"/>
    </sheetView>
  </sheetViews>
  <sheetFormatPr defaultRowHeight="14.4"/>
  <cols>
    <col min="1" max="1" width="20.5546875" bestFit="1" customWidth="1"/>
    <col min="2" max="2" width="11.6640625" bestFit="1" customWidth="1"/>
    <col min="3" max="3" width="12" bestFit="1" customWidth="1"/>
    <col min="4" max="4" width="11.109375" bestFit="1" customWidth="1"/>
    <col min="5" max="5" width="6.109375" bestFit="1" customWidth="1"/>
    <col min="6" max="6" width="11.21875" bestFit="1" customWidth="1"/>
    <col min="8" max="8" width="11.5546875" bestFit="1" customWidth="1"/>
    <col min="9" max="10" width="12" bestFit="1" customWidth="1"/>
    <col min="11" max="11" width="11.109375" bestFit="1" customWidth="1"/>
    <col min="12" max="13" width="11.21875" bestFit="1" customWidth="1"/>
  </cols>
  <sheetData>
    <row r="1" spans="1:12">
      <c r="A1" s="5" t="s">
        <v>40</v>
      </c>
    </row>
    <row r="2" spans="1:12">
      <c r="B2" s="6" t="s">
        <v>41</v>
      </c>
      <c r="H2" s="6" t="s">
        <v>42</v>
      </c>
    </row>
    <row r="3" spans="1:12"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>
      <c r="B4" s="4" t="s">
        <v>14</v>
      </c>
      <c r="C4" s="4" t="s">
        <v>15</v>
      </c>
      <c r="D4" s="4" t="s">
        <v>16</v>
      </c>
      <c r="E4" s="4">
        <v>41954</v>
      </c>
      <c r="F4" s="4">
        <v>43831</v>
      </c>
      <c r="H4" t="s">
        <v>14</v>
      </c>
      <c r="I4" t="s">
        <v>15</v>
      </c>
      <c r="J4" t="s">
        <v>16</v>
      </c>
      <c r="K4">
        <v>41954</v>
      </c>
      <c r="L4">
        <v>43831</v>
      </c>
    </row>
    <row r="5" spans="1:12">
      <c r="B5" s="4" t="s">
        <v>17</v>
      </c>
      <c r="C5" s="4" t="s">
        <v>18</v>
      </c>
      <c r="D5" s="4" t="s">
        <v>19</v>
      </c>
      <c r="E5" s="4">
        <v>49855</v>
      </c>
      <c r="F5" s="4">
        <v>43832</v>
      </c>
      <c r="H5" t="s">
        <v>17</v>
      </c>
      <c r="I5" t="s">
        <v>18</v>
      </c>
      <c r="J5" t="s">
        <v>19</v>
      </c>
      <c r="K5">
        <v>49855</v>
      </c>
      <c r="L5">
        <v>43832</v>
      </c>
    </row>
    <row r="6" spans="1:12">
      <c r="B6" s="4" t="s">
        <v>20</v>
      </c>
      <c r="C6" s="4" t="s">
        <v>21</v>
      </c>
      <c r="D6" s="4" t="s">
        <v>22</v>
      </c>
      <c r="E6" s="4">
        <v>94210</v>
      </c>
      <c r="F6" s="4">
        <v>43833</v>
      </c>
      <c r="H6" t="s">
        <v>20</v>
      </c>
      <c r="I6" t="s">
        <v>21</v>
      </c>
      <c r="J6" t="s">
        <v>22</v>
      </c>
      <c r="K6">
        <v>94210</v>
      </c>
      <c r="L6">
        <v>43833</v>
      </c>
    </row>
    <row r="7" spans="1:12">
      <c r="B7" s="4" t="s">
        <v>23</v>
      </c>
      <c r="C7" s="4" t="s">
        <v>24</v>
      </c>
      <c r="D7" s="4" t="s">
        <v>16</v>
      </c>
      <c r="E7" s="4">
        <v>74689</v>
      </c>
      <c r="F7" s="4">
        <v>43834</v>
      </c>
      <c r="H7" t="s">
        <v>23</v>
      </c>
      <c r="I7" t="s">
        <v>24</v>
      </c>
      <c r="J7" t="s">
        <v>16</v>
      </c>
      <c r="K7">
        <v>74689</v>
      </c>
      <c r="L7">
        <v>43834</v>
      </c>
    </row>
    <row r="8" spans="1:12">
      <c r="B8" s="4" t="s">
        <v>25</v>
      </c>
      <c r="C8" s="4" t="s">
        <v>26</v>
      </c>
      <c r="D8" s="4" t="s">
        <v>19</v>
      </c>
      <c r="E8" s="4">
        <v>90652</v>
      </c>
      <c r="F8" s="4">
        <v>43835</v>
      </c>
      <c r="H8" t="s">
        <v>25</v>
      </c>
      <c r="I8" t="s">
        <v>26</v>
      </c>
      <c r="J8" t="s">
        <v>19</v>
      </c>
      <c r="K8">
        <v>90652</v>
      </c>
      <c r="L8">
        <v>43835</v>
      </c>
    </row>
    <row r="9" spans="1:12">
      <c r="B9" s="4" t="s">
        <v>27</v>
      </c>
      <c r="C9" s="4" t="s">
        <v>21</v>
      </c>
      <c r="D9" s="4" t="s">
        <v>19</v>
      </c>
      <c r="E9" s="4">
        <v>74820</v>
      </c>
      <c r="F9" s="4">
        <v>43836</v>
      </c>
      <c r="H9" t="s">
        <v>27</v>
      </c>
      <c r="I9" t="s">
        <v>21</v>
      </c>
      <c r="J9" t="s">
        <v>19</v>
      </c>
      <c r="K9">
        <v>74820</v>
      </c>
      <c r="L9">
        <v>43836</v>
      </c>
    </row>
    <row r="10" spans="1:12">
      <c r="B10" s="4" t="s">
        <v>28</v>
      </c>
      <c r="C10" s="4" t="s">
        <v>29</v>
      </c>
      <c r="D10" s="4" t="s">
        <v>22</v>
      </c>
      <c r="E10" s="4">
        <v>85206</v>
      </c>
      <c r="F10" s="4">
        <v>43837</v>
      </c>
      <c r="H10" t="s">
        <v>28</v>
      </c>
      <c r="I10" t="s">
        <v>29</v>
      </c>
      <c r="J10" t="s">
        <v>22</v>
      </c>
      <c r="K10">
        <v>85206</v>
      </c>
      <c r="L10">
        <v>43837</v>
      </c>
    </row>
    <row r="11" spans="1:12">
      <c r="B11" s="4" t="s">
        <v>30</v>
      </c>
      <c r="C11" s="4" t="s">
        <v>31</v>
      </c>
      <c r="D11" s="4" t="s">
        <v>16</v>
      </c>
      <c r="E11" s="4">
        <v>30924</v>
      </c>
      <c r="F11" s="4">
        <v>43838</v>
      </c>
      <c r="H11" t="s">
        <v>30</v>
      </c>
      <c r="I11" t="s">
        <v>31</v>
      </c>
      <c r="J11" t="s">
        <v>16</v>
      </c>
      <c r="K11">
        <v>30924</v>
      </c>
      <c r="L11">
        <v>43838</v>
      </c>
    </row>
    <row r="12" spans="1:12">
      <c r="B12" s="4" t="s">
        <v>32</v>
      </c>
      <c r="C12" s="4" t="s">
        <v>33</v>
      </c>
      <c r="D12" s="4" t="s">
        <v>19</v>
      </c>
      <c r="E12" s="4">
        <v>57737</v>
      </c>
      <c r="F12" s="4">
        <v>43839</v>
      </c>
      <c r="H12" t="s">
        <v>32</v>
      </c>
      <c r="I12" t="s">
        <v>33</v>
      </c>
      <c r="J12" t="s">
        <v>19</v>
      </c>
      <c r="K12">
        <v>57737</v>
      </c>
      <c r="L12">
        <v>43839</v>
      </c>
    </row>
    <row r="13" spans="1:12">
      <c r="B13" s="4" t="s">
        <v>34</v>
      </c>
      <c r="C13" s="4" t="s">
        <v>35</v>
      </c>
      <c r="D13" s="4" t="s">
        <v>22</v>
      </c>
      <c r="E13" s="4">
        <v>36000</v>
      </c>
      <c r="F13" s="4">
        <v>43840</v>
      </c>
      <c r="H13" t="s">
        <v>34</v>
      </c>
      <c r="I13" t="s">
        <v>35</v>
      </c>
      <c r="J13" t="s">
        <v>22</v>
      </c>
      <c r="K13">
        <v>36000</v>
      </c>
      <c r="L13">
        <v>43840</v>
      </c>
    </row>
    <row r="14" spans="1:12">
      <c r="B14" s="4" t="s">
        <v>36</v>
      </c>
      <c r="C14" s="4" t="s">
        <v>37</v>
      </c>
      <c r="D14" s="4" t="s">
        <v>22</v>
      </c>
      <c r="E14" s="4">
        <v>96371</v>
      </c>
      <c r="F14" s="4">
        <v>43841</v>
      </c>
      <c r="H14" t="s">
        <v>36</v>
      </c>
      <c r="I14" t="s">
        <v>37</v>
      </c>
      <c r="J14" t="s">
        <v>22</v>
      </c>
      <c r="K14">
        <v>96371</v>
      </c>
      <c r="L14">
        <v>43841</v>
      </c>
    </row>
    <row r="15" spans="1:12">
      <c r="B15" s="4" t="s">
        <v>38</v>
      </c>
      <c r="C15" s="4" t="s">
        <v>39</v>
      </c>
      <c r="D15" s="4" t="s">
        <v>19</v>
      </c>
      <c r="E15" s="4">
        <v>85028</v>
      </c>
      <c r="F15" s="4">
        <v>43842</v>
      </c>
      <c r="H15" t="s">
        <v>38</v>
      </c>
      <c r="I15" t="s">
        <v>39</v>
      </c>
      <c r="J15" t="s">
        <v>19</v>
      </c>
      <c r="K15">
        <v>85028</v>
      </c>
      <c r="L15">
        <v>43842</v>
      </c>
    </row>
    <row r="17" spans="1:13">
      <c r="A17" s="7" t="s">
        <v>43</v>
      </c>
    </row>
    <row r="18" spans="1:13">
      <c r="B18" s="1" t="s">
        <v>9</v>
      </c>
      <c r="C18" s="1" t="s">
        <v>10</v>
      </c>
      <c r="D18" s="1" t="s">
        <v>11</v>
      </c>
      <c r="E18" s="1" t="s">
        <v>12</v>
      </c>
      <c r="F18" s="1" t="s">
        <v>13</v>
      </c>
      <c r="I18" s="1" t="s">
        <v>9</v>
      </c>
      <c r="J18" s="1" t="s">
        <v>10</v>
      </c>
      <c r="K18" s="1" t="s">
        <v>11</v>
      </c>
      <c r="L18" s="1" t="s">
        <v>12</v>
      </c>
      <c r="M18" s="1" t="s">
        <v>13</v>
      </c>
    </row>
    <row r="19" spans="1:13">
      <c r="B19" t="s">
        <v>14</v>
      </c>
      <c r="C19" t="s">
        <v>15</v>
      </c>
      <c r="D19" t="s">
        <v>16</v>
      </c>
      <c r="E19">
        <v>41954</v>
      </c>
      <c r="F19">
        <v>43831</v>
      </c>
      <c r="I19" t="s">
        <v>14</v>
      </c>
      <c r="J19" t="s">
        <v>15</v>
      </c>
      <c r="K19" t="s">
        <v>16</v>
      </c>
      <c r="L19">
        <v>41954</v>
      </c>
      <c r="M19">
        <v>43831</v>
      </c>
    </row>
    <row r="20" spans="1:13">
      <c r="B20" t="s">
        <v>17</v>
      </c>
      <c r="C20" t="s">
        <v>18</v>
      </c>
      <c r="D20" t="s">
        <v>19</v>
      </c>
      <c r="E20">
        <v>49855</v>
      </c>
      <c r="F20">
        <v>43832</v>
      </c>
      <c r="I20" t="s">
        <v>17</v>
      </c>
      <c r="J20" t="s">
        <v>18</v>
      </c>
      <c r="K20" t="s">
        <v>19</v>
      </c>
      <c r="L20">
        <v>49855</v>
      </c>
      <c r="M20">
        <v>43832</v>
      </c>
    </row>
    <row r="21" spans="1:13">
      <c r="B21" t="s">
        <v>20</v>
      </c>
      <c r="C21" t="s">
        <v>21</v>
      </c>
      <c r="D21" t="s">
        <v>22</v>
      </c>
      <c r="E21">
        <v>94210</v>
      </c>
      <c r="F21">
        <v>43833</v>
      </c>
      <c r="I21" t="s">
        <v>20</v>
      </c>
      <c r="J21" t="s">
        <v>21</v>
      </c>
      <c r="K21" t="s">
        <v>22</v>
      </c>
      <c r="L21">
        <v>94210</v>
      </c>
      <c r="M21">
        <v>43833</v>
      </c>
    </row>
    <row r="22" spans="1:13">
      <c r="B22" t="s">
        <v>23</v>
      </c>
      <c r="C22" t="s">
        <v>24</v>
      </c>
      <c r="D22" t="s">
        <v>16</v>
      </c>
      <c r="E22">
        <v>74689</v>
      </c>
      <c r="F22">
        <v>43834</v>
      </c>
      <c r="I22" t="s">
        <v>23</v>
      </c>
      <c r="J22" t="s">
        <v>24</v>
      </c>
      <c r="K22" t="s">
        <v>16</v>
      </c>
      <c r="L22">
        <v>74689</v>
      </c>
      <c r="M22">
        <v>43834</v>
      </c>
    </row>
    <row r="23" spans="1:13">
      <c r="B23" t="s">
        <v>25</v>
      </c>
      <c r="C23" t="s">
        <v>26</v>
      </c>
      <c r="D23" t="s">
        <v>19</v>
      </c>
      <c r="E23">
        <v>90652</v>
      </c>
      <c r="F23">
        <v>43835</v>
      </c>
      <c r="I23" t="s">
        <v>25</v>
      </c>
      <c r="J23" t="s">
        <v>26</v>
      </c>
      <c r="K23" t="s">
        <v>19</v>
      </c>
      <c r="L23">
        <v>90652</v>
      </c>
      <c r="M23">
        <v>43835</v>
      </c>
    </row>
    <row r="24" spans="1:13">
      <c r="B24" t="s">
        <v>27</v>
      </c>
      <c r="C24" t="s">
        <v>21</v>
      </c>
      <c r="D24" t="s">
        <v>19</v>
      </c>
      <c r="E24">
        <v>74820</v>
      </c>
      <c r="F24">
        <v>43836</v>
      </c>
      <c r="I24" t="s">
        <v>27</v>
      </c>
      <c r="J24" t="s">
        <v>21</v>
      </c>
      <c r="K24" t="s">
        <v>19</v>
      </c>
      <c r="L24">
        <v>74820</v>
      </c>
      <c r="M24">
        <v>43836</v>
      </c>
    </row>
    <row r="25" spans="1:13">
      <c r="B25" t="s">
        <v>28</v>
      </c>
      <c r="C25" t="s">
        <v>29</v>
      </c>
      <c r="D25" t="s">
        <v>22</v>
      </c>
      <c r="E25">
        <v>85206</v>
      </c>
      <c r="F25">
        <v>43837</v>
      </c>
      <c r="I25" t="s">
        <v>28</v>
      </c>
      <c r="J25" t="s">
        <v>29</v>
      </c>
      <c r="K25" t="s">
        <v>22</v>
      </c>
      <c r="L25">
        <v>85206</v>
      </c>
      <c r="M25">
        <v>43837</v>
      </c>
    </row>
    <row r="26" spans="1:13">
      <c r="B26" t="s">
        <v>30</v>
      </c>
      <c r="C26" t="s">
        <v>31</v>
      </c>
      <c r="D26" t="s">
        <v>16</v>
      </c>
      <c r="E26">
        <v>30924</v>
      </c>
      <c r="F26">
        <v>43838</v>
      </c>
      <c r="I26" t="s">
        <v>30</v>
      </c>
      <c r="J26" t="s">
        <v>31</v>
      </c>
      <c r="K26" t="s">
        <v>16</v>
      </c>
      <c r="L26">
        <v>30924</v>
      </c>
      <c r="M26">
        <v>43838</v>
      </c>
    </row>
    <row r="27" spans="1:13">
      <c r="B27" t="s">
        <v>32</v>
      </c>
      <c r="C27" t="s">
        <v>33</v>
      </c>
      <c r="D27" t="s">
        <v>19</v>
      </c>
      <c r="E27">
        <v>57737</v>
      </c>
      <c r="F27">
        <v>43839</v>
      </c>
      <c r="I27" t="s">
        <v>32</v>
      </c>
      <c r="J27" t="s">
        <v>33</v>
      </c>
      <c r="K27" t="s">
        <v>19</v>
      </c>
      <c r="L27">
        <v>57737</v>
      </c>
      <c r="M27">
        <v>43839</v>
      </c>
    </row>
    <row r="28" spans="1:13">
      <c r="B28" t="s">
        <v>34</v>
      </c>
      <c r="C28" t="s">
        <v>35</v>
      </c>
      <c r="D28" t="s">
        <v>22</v>
      </c>
      <c r="E28">
        <v>36000</v>
      </c>
      <c r="F28">
        <v>43840</v>
      </c>
      <c r="I28" t="s">
        <v>34</v>
      </c>
      <c r="J28" t="s">
        <v>35</v>
      </c>
      <c r="K28" t="s">
        <v>22</v>
      </c>
      <c r="L28">
        <v>36000</v>
      </c>
      <c r="M28">
        <v>43840</v>
      </c>
    </row>
    <row r="29" spans="1:13">
      <c r="B29" t="s">
        <v>36</v>
      </c>
      <c r="C29" t="s">
        <v>37</v>
      </c>
      <c r="D29" t="s">
        <v>22</v>
      </c>
      <c r="E29">
        <v>96371</v>
      </c>
      <c r="F29">
        <v>43841</v>
      </c>
      <c r="I29" t="s">
        <v>36</v>
      </c>
      <c r="J29" t="s">
        <v>37</v>
      </c>
      <c r="K29" t="s">
        <v>22</v>
      </c>
      <c r="L29">
        <v>96371</v>
      </c>
      <c r="M29">
        <v>43841</v>
      </c>
    </row>
    <row r="30" spans="1:13">
      <c r="B30" t="s">
        <v>38</v>
      </c>
      <c r="C30" t="s">
        <v>39</v>
      </c>
      <c r="D30" t="s">
        <v>19</v>
      </c>
      <c r="E30">
        <v>85028</v>
      </c>
      <c r="F30">
        <v>43842</v>
      </c>
      <c r="I30" t="s">
        <v>38</v>
      </c>
      <c r="J30" t="s">
        <v>39</v>
      </c>
      <c r="K30" t="s">
        <v>19</v>
      </c>
      <c r="L30">
        <v>85028</v>
      </c>
      <c r="M30">
        <v>43842</v>
      </c>
    </row>
  </sheetData>
  <conditionalFormatting sqref="B4:F15">
    <cfRule type="cellIs" dxfId="16" priority="12" operator="greaterThan">
      <formula>80000</formula>
    </cfRule>
  </conditionalFormatting>
  <conditionalFormatting sqref="B19:F30">
    <cfRule type="expression" dxfId="15" priority="5">
      <formula>$D$20</formula>
    </cfRule>
    <cfRule type="expression" dxfId="14" priority="6">
      <formula>$D19="Finance"</formula>
    </cfRule>
  </conditionalFormatting>
  <conditionalFormatting sqref="H4:L15">
    <cfRule type="cellIs" dxfId="13" priority="10" operator="lessThan">
      <formula>40000</formula>
    </cfRule>
  </conditionalFormatting>
  <conditionalFormatting sqref="I19:M30">
    <cfRule type="expression" dxfId="5" priority="1">
      <formula>$K19="Operations"</formula>
    </cfRule>
    <cfRule type="expression" dxfId="4" priority="2">
      <formula>$K19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109D-616A-48D9-9C04-EA4D56EA21B5}">
  <dimension ref="A2:T12"/>
  <sheetViews>
    <sheetView zoomScale="64" workbookViewId="0">
      <selection activeCell="O7" sqref="O7"/>
    </sheetView>
  </sheetViews>
  <sheetFormatPr defaultRowHeight="14.4"/>
  <cols>
    <col min="1" max="1" width="2" bestFit="1" customWidth="1"/>
    <col min="2" max="2" width="23.33203125" bestFit="1" customWidth="1"/>
    <col min="4" max="4" width="10.44140625" bestFit="1" customWidth="1"/>
    <col min="5" max="5" width="19.44140625" bestFit="1" customWidth="1"/>
    <col min="6" max="6" width="14.77734375" bestFit="1" customWidth="1"/>
    <col min="7" max="7" width="5.109375" bestFit="1" customWidth="1"/>
    <col min="8" max="8" width="17.21875" bestFit="1" customWidth="1"/>
    <col min="9" max="9" width="6.33203125" bestFit="1" customWidth="1"/>
    <col min="10" max="10" width="11.44140625" bestFit="1" customWidth="1"/>
    <col min="12" max="12" width="28.109375" bestFit="1" customWidth="1"/>
    <col min="14" max="14" width="10.44140625" bestFit="1" customWidth="1"/>
    <col min="15" max="15" width="19.44140625" bestFit="1" customWidth="1"/>
    <col min="16" max="16" width="14.77734375" bestFit="1" customWidth="1"/>
    <col min="17" max="17" width="5.109375" bestFit="1" customWidth="1"/>
    <col min="18" max="18" width="17.21875" bestFit="1" customWidth="1"/>
    <col min="19" max="19" width="6.33203125" bestFit="1" customWidth="1"/>
    <col min="20" max="20" width="11.44140625" bestFit="1" customWidth="1"/>
  </cols>
  <sheetData>
    <row r="2" spans="1:20">
      <c r="A2" s="2">
        <v>1</v>
      </c>
      <c r="B2" t="s">
        <v>44</v>
      </c>
      <c r="D2" s="10" t="s">
        <v>50</v>
      </c>
      <c r="E2" s="10" t="s">
        <v>51</v>
      </c>
      <c r="F2" s="10" t="s">
        <v>52</v>
      </c>
      <c r="G2" s="10" t="s">
        <v>53</v>
      </c>
      <c r="H2" s="10" t="s">
        <v>54</v>
      </c>
      <c r="I2" s="10" t="s">
        <v>55</v>
      </c>
      <c r="J2" s="10" t="s">
        <v>56</v>
      </c>
      <c r="N2" s="10" t="s">
        <v>50</v>
      </c>
      <c r="O2" s="10" t="s">
        <v>51</v>
      </c>
      <c r="P2" s="10" t="s">
        <v>52</v>
      </c>
      <c r="Q2" s="10" t="s">
        <v>53</v>
      </c>
      <c r="R2" s="10" t="s">
        <v>54</v>
      </c>
      <c r="S2" s="10" t="s">
        <v>55</v>
      </c>
      <c r="T2" s="10" t="s">
        <v>56</v>
      </c>
    </row>
    <row r="3" spans="1:20">
      <c r="A3" s="2">
        <v>2</v>
      </c>
      <c r="B3" t="s">
        <v>45</v>
      </c>
      <c r="D3" s="11">
        <v>101</v>
      </c>
      <c r="E3" s="11" t="s">
        <v>57</v>
      </c>
      <c r="F3" s="11" t="s">
        <v>58</v>
      </c>
      <c r="G3" s="11">
        <v>799</v>
      </c>
      <c r="H3" s="11">
        <v>50</v>
      </c>
      <c r="I3" s="11">
        <v>4.5</v>
      </c>
      <c r="J3" s="11" t="s">
        <v>59</v>
      </c>
      <c r="N3" s="11">
        <v>101</v>
      </c>
      <c r="O3" s="11" t="s">
        <v>57</v>
      </c>
      <c r="P3" s="11" t="s">
        <v>58</v>
      </c>
      <c r="Q3" s="11">
        <v>799</v>
      </c>
      <c r="R3" s="11">
        <v>50</v>
      </c>
      <c r="S3" s="11">
        <v>4.5</v>
      </c>
      <c r="T3" s="11" t="s">
        <v>59</v>
      </c>
    </row>
    <row r="4" spans="1:20">
      <c r="A4" s="2">
        <v>3</v>
      </c>
      <c r="B4" t="s">
        <v>46</v>
      </c>
      <c r="D4" s="11">
        <v>102</v>
      </c>
      <c r="E4" s="11" t="s">
        <v>60</v>
      </c>
      <c r="F4" s="11" t="s">
        <v>61</v>
      </c>
      <c r="G4" s="11">
        <v>999</v>
      </c>
      <c r="H4" s="11">
        <v>30</v>
      </c>
      <c r="I4" s="11">
        <v>4.7</v>
      </c>
      <c r="J4" s="11" t="s">
        <v>62</v>
      </c>
      <c r="N4" s="11">
        <v>102</v>
      </c>
      <c r="O4" s="11" t="s">
        <v>60</v>
      </c>
      <c r="P4" s="11" t="s">
        <v>61</v>
      </c>
      <c r="Q4" s="11">
        <v>999</v>
      </c>
      <c r="R4" s="11">
        <v>30</v>
      </c>
      <c r="S4" s="11">
        <v>4.7</v>
      </c>
      <c r="T4" s="11" t="s">
        <v>62</v>
      </c>
    </row>
    <row r="5" spans="1:20" ht="23.4">
      <c r="A5" s="2">
        <v>4</v>
      </c>
      <c r="B5" t="s">
        <v>47</v>
      </c>
      <c r="D5" s="11">
        <v>103</v>
      </c>
      <c r="E5" s="11" t="s">
        <v>63</v>
      </c>
      <c r="F5" s="11" t="s">
        <v>64</v>
      </c>
      <c r="G5" s="11">
        <v>399</v>
      </c>
      <c r="H5" s="11">
        <v>15</v>
      </c>
      <c r="I5" s="11">
        <v>4.5999999999999996</v>
      </c>
      <c r="J5" s="11" t="s">
        <v>65</v>
      </c>
      <c r="L5" s="9" t="s">
        <v>44</v>
      </c>
      <c r="N5" s="11">
        <v>103</v>
      </c>
      <c r="O5" s="11" t="s">
        <v>63</v>
      </c>
      <c r="P5" s="11" t="s">
        <v>64</v>
      </c>
      <c r="Q5" s="11">
        <v>399</v>
      </c>
      <c r="R5" s="11">
        <v>15</v>
      </c>
      <c r="S5" s="11">
        <v>4.5999999999999996</v>
      </c>
      <c r="T5" s="11" t="s">
        <v>65</v>
      </c>
    </row>
    <row r="6" spans="1:20">
      <c r="A6" s="2">
        <v>5</v>
      </c>
      <c r="B6" t="s">
        <v>48</v>
      </c>
      <c r="D6" s="11">
        <v>104</v>
      </c>
      <c r="E6" s="11" t="s">
        <v>66</v>
      </c>
      <c r="F6" s="11" t="s">
        <v>67</v>
      </c>
      <c r="G6" s="11">
        <v>1249</v>
      </c>
      <c r="H6" s="11">
        <v>10</v>
      </c>
      <c r="I6" s="11">
        <v>4.8</v>
      </c>
      <c r="J6" s="11" t="s">
        <v>68</v>
      </c>
      <c r="N6" s="11">
        <v>104</v>
      </c>
      <c r="O6" s="11" t="s">
        <v>66</v>
      </c>
      <c r="P6" s="11" t="s">
        <v>67</v>
      </c>
      <c r="Q6" s="11">
        <v>1249</v>
      </c>
      <c r="R6" s="11">
        <v>10</v>
      </c>
      <c r="S6" s="11">
        <v>4.8</v>
      </c>
      <c r="T6" s="11" t="s">
        <v>68</v>
      </c>
    </row>
    <row r="7" spans="1:20">
      <c r="A7" s="2">
        <v>6</v>
      </c>
      <c r="B7" t="s">
        <v>49</v>
      </c>
      <c r="D7" s="11">
        <v>101</v>
      </c>
      <c r="E7" s="11" t="s">
        <v>57</v>
      </c>
      <c r="F7" s="11" t="s">
        <v>69</v>
      </c>
      <c r="G7" s="11">
        <v>799</v>
      </c>
      <c r="H7" s="11">
        <v>50</v>
      </c>
      <c r="I7" s="11">
        <v>4.5</v>
      </c>
      <c r="J7" s="11" t="s">
        <v>59</v>
      </c>
      <c r="N7" s="11">
        <v>105</v>
      </c>
      <c r="O7" s="11" t="s">
        <v>70</v>
      </c>
      <c r="P7" s="11" t="s">
        <v>71</v>
      </c>
      <c r="Q7" s="11">
        <v>1349</v>
      </c>
      <c r="R7" s="11">
        <v>8</v>
      </c>
      <c r="S7" s="11">
        <v>4.7</v>
      </c>
      <c r="T7" s="11" t="s">
        <v>72</v>
      </c>
    </row>
    <row r="8" spans="1:20">
      <c r="D8" s="11">
        <v>105</v>
      </c>
      <c r="E8" s="11" t="s">
        <v>70</v>
      </c>
      <c r="F8" s="11" t="s">
        <v>71</v>
      </c>
      <c r="G8" s="11">
        <v>1349</v>
      </c>
      <c r="H8" s="11">
        <v>8</v>
      </c>
      <c r="I8" s="11">
        <v>4.7</v>
      </c>
      <c r="J8" s="11" t="s">
        <v>72</v>
      </c>
      <c r="N8" s="11">
        <v>106</v>
      </c>
      <c r="O8" s="11" t="s">
        <v>73</v>
      </c>
      <c r="P8" s="11" t="s">
        <v>74</v>
      </c>
      <c r="Q8" s="11">
        <v>329</v>
      </c>
      <c r="R8" s="11">
        <v>25</v>
      </c>
      <c r="S8" s="11">
        <v>4.4000000000000004</v>
      </c>
      <c r="T8" s="11" t="s">
        <v>65</v>
      </c>
    </row>
    <row r="9" spans="1:20">
      <c r="D9" s="11">
        <v>106</v>
      </c>
      <c r="E9" s="11" t="s">
        <v>73</v>
      </c>
      <c r="F9" s="11" t="s">
        <v>74</v>
      </c>
      <c r="G9" s="11">
        <v>329</v>
      </c>
      <c r="H9" s="11">
        <v>25</v>
      </c>
      <c r="I9" s="11">
        <v>4.4000000000000004</v>
      </c>
      <c r="J9" s="11" t="s">
        <v>65</v>
      </c>
      <c r="N9" s="11">
        <v>107</v>
      </c>
      <c r="O9" s="11" t="s">
        <v>63</v>
      </c>
      <c r="P9" s="11" t="s">
        <v>75</v>
      </c>
      <c r="Q9" s="11">
        <v>399</v>
      </c>
      <c r="R9" s="11">
        <v>15</v>
      </c>
      <c r="S9" s="11">
        <v>4.5999999999999996</v>
      </c>
      <c r="T9" s="11" t="s">
        <v>65</v>
      </c>
    </row>
    <row r="10" spans="1:20">
      <c r="D10" s="11">
        <v>107</v>
      </c>
      <c r="E10" s="11" t="s">
        <v>63</v>
      </c>
      <c r="F10" s="11" t="s">
        <v>75</v>
      </c>
      <c r="G10" s="11">
        <v>399</v>
      </c>
      <c r="H10" s="11">
        <v>15</v>
      </c>
      <c r="I10" s="11">
        <v>4.5999999999999996</v>
      </c>
      <c r="J10" s="11" t="s">
        <v>65</v>
      </c>
      <c r="N10" s="11">
        <v>108</v>
      </c>
      <c r="O10" s="11" t="s">
        <v>76</v>
      </c>
      <c r="P10" s="11" t="s">
        <v>77</v>
      </c>
      <c r="Q10" s="11">
        <v>1299</v>
      </c>
      <c r="R10" s="11">
        <v>6</v>
      </c>
      <c r="S10" s="11">
        <v>4.8</v>
      </c>
      <c r="T10" s="11" t="s">
        <v>68</v>
      </c>
    </row>
    <row r="11" spans="1:20">
      <c r="D11" s="11">
        <v>108</v>
      </c>
      <c r="E11" s="11" t="s">
        <v>76</v>
      </c>
      <c r="F11" s="11" t="s">
        <v>77</v>
      </c>
      <c r="G11" s="11">
        <v>1299</v>
      </c>
      <c r="H11" s="11">
        <v>6</v>
      </c>
      <c r="I11" s="11">
        <v>4.8</v>
      </c>
      <c r="J11" s="11" t="s">
        <v>68</v>
      </c>
    </row>
    <row r="12" spans="1:20">
      <c r="D12" s="11">
        <v>103</v>
      </c>
      <c r="E12" s="11" t="s">
        <v>63</v>
      </c>
      <c r="F12" s="11" t="s">
        <v>78</v>
      </c>
      <c r="G12" s="11">
        <v>399</v>
      </c>
      <c r="H12" s="11">
        <v>15</v>
      </c>
      <c r="I12" s="11">
        <v>4.5999999999999996</v>
      </c>
      <c r="J12" s="11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FB658-AB23-4DA8-9C83-8C16570E94D5}">
  <dimension ref="A1:F501"/>
  <sheetViews>
    <sheetView workbookViewId="0">
      <selection activeCell="F7" sqref="F7"/>
    </sheetView>
  </sheetViews>
  <sheetFormatPr defaultRowHeight="14.4"/>
  <cols>
    <col min="1" max="1" width="12.44140625" bestFit="1" customWidth="1"/>
    <col min="2" max="2" width="14.109375" customWidth="1"/>
    <col min="3" max="3" width="12.77734375" customWidth="1"/>
    <col min="4" max="4" width="9" customWidth="1"/>
    <col min="5" max="5" width="5.6640625" bestFit="1" customWidth="1"/>
    <col min="6" max="6" width="74" bestFit="1" customWidth="1"/>
  </cols>
  <sheetData>
    <row r="1" spans="1:6">
      <c r="A1" s="8" t="s">
        <v>79</v>
      </c>
      <c r="B1" s="8" t="s">
        <v>80</v>
      </c>
      <c r="C1" s="8" t="s">
        <v>52</v>
      </c>
      <c r="D1" s="8" t="s">
        <v>53</v>
      </c>
      <c r="E1" s="8" t="s">
        <v>81</v>
      </c>
      <c r="F1" s="8" t="s">
        <v>82</v>
      </c>
    </row>
    <row r="2" spans="1:6">
      <c r="A2" t="s">
        <v>83</v>
      </c>
      <c r="B2" t="s">
        <v>84</v>
      </c>
      <c r="C2" t="s">
        <v>85</v>
      </c>
      <c r="D2">
        <v>363.54</v>
      </c>
      <c r="E2">
        <v>-3</v>
      </c>
      <c r="F2" t="s">
        <v>86</v>
      </c>
    </row>
    <row r="3" spans="1:6">
      <c r="A3" t="s">
        <v>87</v>
      </c>
      <c r="B3" t="s">
        <v>88</v>
      </c>
      <c r="C3" t="s">
        <v>89</v>
      </c>
      <c r="D3">
        <v>906.15</v>
      </c>
      <c r="E3">
        <v>40</v>
      </c>
      <c r="F3" t="s">
        <v>90</v>
      </c>
    </row>
    <row r="4" spans="1:6">
      <c r="A4" t="s">
        <v>91</v>
      </c>
      <c r="B4" t="s">
        <v>92</v>
      </c>
      <c r="C4" t="s">
        <v>93</v>
      </c>
      <c r="D4">
        <v>234.14</v>
      </c>
      <c r="E4">
        <v>26</v>
      </c>
      <c r="F4" t="s">
        <v>94</v>
      </c>
    </row>
    <row r="5" spans="1:6">
      <c r="A5" t="s">
        <v>95</v>
      </c>
      <c r="B5" t="s">
        <v>96</v>
      </c>
      <c r="C5" t="s">
        <v>97</v>
      </c>
      <c r="D5">
        <v>903.5</v>
      </c>
      <c r="E5">
        <v>69</v>
      </c>
      <c r="F5" t="s">
        <v>98</v>
      </c>
    </row>
    <row r="6" spans="1:6">
      <c r="A6" t="s">
        <v>99</v>
      </c>
      <c r="B6" t="s">
        <v>100</v>
      </c>
      <c r="C6" t="s">
        <v>101</v>
      </c>
      <c r="D6">
        <v>352.9</v>
      </c>
      <c r="E6">
        <v>87</v>
      </c>
      <c r="F6" t="s">
        <v>102</v>
      </c>
    </row>
    <row r="7" spans="1:6">
      <c r="A7" t="s">
        <v>103</v>
      </c>
      <c r="B7" t="s">
        <v>104</v>
      </c>
      <c r="C7" t="s">
        <v>85</v>
      </c>
      <c r="D7">
        <v>549.17999999999995</v>
      </c>
      <c r="E7">
        <v>31</v>
      </c>
      <c r="F7" t="s">
        <v>105</v>
      </c>
    </row>
    <row r="8" spans="1:6">
      <c r="A8" t="s">
        <v>106</v>
      </c>
      <c r="B8" t="s">
        <v>107</v>
      </c>
      <c r="C8" t="s">
        <v>93</v>
      </c>
      <c r="D8">
        <v>222.56</v>
      </c>
      <c r="E8">
        <v>59</v>
      </c>
      <c r="F8" t="s">
        <v>108</v>
      </c>
    </row>
    <row r="9" spans="1:6">
      <c r="A9" t="s">
        <v>109</v>
      </c>
      <c r="B9" t="s">
        <v>110</v>
      </c>
      <c r="C9" t="s">
        <v>89</v>
      </c>
      <c r="D9">
        <v>969.7</v>
      </c>
      <c r="E9">
        <v>78</v>
      </c>
      <c r="F9" t="s">
        <v>111</v>
      </c>
    </row>
    <row r="10" spans="1:6">
      <c r="A10" t="s">
        <v>112</v>
      </c>
      <c r="B10" t="s">
        <v>113</v>
      </c>
      <c r="C10" t="s">
        <v>114</v>
      </c>
      <c r="D10">
        <v>321.88</v>
      </c>
      <c r="E10">
        <v>92</v>
      </c>
      <c r="F10" t="s">
        <v>115</v>
      </c>
    </row>
    <row r="11" spans="1:6">
      <c r="A11" t="s">
        <v>116</v>
      </c>
      <c r="B11" t="s">
        <v>117</v>
      </c>
      <c r="C11" t="s">
        <v>93</v>
      </c>
      <c r="D11">
        <v>230.28</v>
      </c>
      <c r="E11">
        <v>-5</v>
      </c>
      <c r="F11" t="s">
        <v>118</v>
      </c>
    </row>
    <row r="12" spans="1:6">
      <c r="A12" t="s">
        <v>119</v>
      </c>
      <c r="B12" t="s">
        <v>120</v>
      </c>
      <c r="C12" t="s">
        <v>93</v>
      </c>
      <c r="D12">
        <v>763.66</v>
      </c>
      <c r="E12">
        <v>22</v>
      </c>
      <c r="F12" t="s">
        <v>86</v>
      </c>
    </row>
    <row r="13" spans="1:6">
      <c r="A13" t="s">
        <v>121</v>
      </c>
      <c r="B13" t="s">
        <v>122</v>
      </c>
      <c r="C13" t="s">
        <v>89</v>
      </c>
      <c r="D13">
        <v>368.76</v>
      </c>
      <c r="E13">
        <v>45</v>
      </c>
      <c r="F13" t="s">
        <v>90</v>
      </c>
    </row>
    <row r="14" spans="1:6">
      <c r="A14" t="s">
        <v>123</v>
      </c>
      <c r="B14" t="s">
        <v>124</v>
      </c>
      <c r="C14" t="s">
        <v>125</v>
      </c>
      <c r="D14">
        <v>669.92</v>
      </c>
      <c r="E14">
        <v>87</v>
      </c>
      <c r="F14" t="s">
        <v>94</v>
      </c>
    </row>
    <row r="15" spans="1:6">
      <c r="A15" t="s">
        <v>126</v>
      </c>
      <c r="B15" t="s">
        <v>127</v>
      </c>
      <c r="C15" t="s">
        <v>93</v>
      </c>
      <c r="D15">
        <v>914.74</v>
      </c>
      <c r="E15">
        <v>-1</v>
      </c>
      <c r="F15" t="s">
        <v>98</v>
      </c>
    </row>
    <row r="16" spans="1:6">
      <c r="A16" t="s">
        <v>128</v>
      </c>
      <c r="B16" t="s">
        <v>129</v>
      </c>
      <c r="C16" t="s">
        <v>114</v>
      </c>
      <c r="D16">
        <v>137.79</v>
      </c>
      <c r="E16">
        <v>78</v>
      </c>
      <c r="F16" t="s">
        <v>102</v>
      </c>
    </row>
    <row r="17" spans="1:6">
      <c r="A17" t="s">
        <v>130</v>
      </c>
      <c r="B17" t="s">
        <v>131</v>
      </c>
      <c r="C17" t="s">
        <v>101</v>
      </c>
      <c r="D17">
        <v>840.84</v>
      </c>
      <c r="E17">
        <v>39</v>
      </c>
      <c r="F17" t="s">
        <v>105</v>
      </c>
    </row>
    <row r="18" spans="1:6">
      <c r="A18" t="s">
        <v>132</v>
      </c>
      <c r="B18" t="s">
        <v>133</v>
      </c>
      <c r="C18" t="s">
        <v>125</v>
      </c>
      <c r="D18">
        <v>784.71</v>
      </c>
      <c r="E18">
        <v>96</v>
      </c>
      <c r="F18" t="s">
        <v>108</v>
      </c>
    </row>
    <row r="19" spans="1:6">
      <c r="A19" t="s">
        <v>134</v>
      </c>
      <c r="B19" t="s">
        <v>135</v>
      </c>
      <c r="C19" t="s">
        <v>89</v>
      </c>
      <c r="D19">
        <v>588.75</v>
      </c>
      <c r="E19">
        <v>51</v>
      </c>
      <c r="F19" t="s">
        <v>111</v>
      </c>
    </row>
    <row r="20" spans="1:6">
      <c r="A20" t="s">
        <v>136</v>
      </c>
      <c r="B20" t="s">
        <v>137</v>
      </c>
      <c r="C20" t="s">
        <v>89</v>
      </c>
      <c r="D20">
        <v>227.05</v>
      </c>
      <c r="E20">
        <v>8</v>
      </c>
      <c r="F20" t="s">
        <v>115</v>
      </c>
    </row>
    <row r="21" spans="1:6">
      <c r="A21" t="s">
        <v>138</v>
      </c>
      <c r="B21" t="s">
        <v>139</v>
      </c>
      <c r="C21" t="s">
        <v>125</v>
      </c>
      <c r="D21">
        <v>944.43</v>
      </c>
      <c r="E21">
        <v>97</v>
      </c>
      <c r="F21" t="s">
        <v>118</v>
      </c>
    </row>
    <row r="22" spans="1:6">
      <c r="A22" t="s">
        <v>140</v>
      </c>
      <c r="B22" t="s">
        <v>141</v>
      </c>
      <c r="C22" t="s">
        <v>101</v>
      </c>
      <c r="D22">
        <v>763.27</v>
      </c>
      <c r="E22">
        <v>85</v>
      </c>
      <c r="F22" t="s">
        <v>86</v>
      </c>
    </row>
    <row r="23" spans="1:6">
      <c r="A23" t="s">
        <v>142</v>
      </c>
      <c r="B23" t="s">
        <v>143</v>
      </c>
      <c r="C23" t="s">
        <v>97</v>
      </c>
      <c r="D23">
        <v>262.69</v>
      </c>
      <c r="E23">
        <v>38</v>
      </c>
      <c r="F23" t="s">
        <v>90</v>
      </c>
    </row>
    <row r="24" spans="1:6">
      <c r="A24" t="s">
        <v>144</v>
      </c>
      <c r="B24" t="s">
        <v>145</v>
      </c>
      <c r="C24" t="s">
        <v>89</v>
      </c>
      <c r="D24">
        <v>705.49</v>
      </c>
      <c r="E24">
        <v>40</v>
      </c>
      <c r="F24" t="s">
        <v>94</v>
      </c>
    </row>
    <row r="25" spans="1:6">
      <c r="A25" t="s">
        <v>146</v>
      </c>
      <c r="B25" t="s">
        <v>147</v>
      </c>
      <c r="C25" t="s">
        <v>114</v>
      </c>
      <c r="D25">
        <v>531.58000000000004</v>
      </c>
      <c r="E25">
        <v>42</v>
      </c>
      <c r="F25" t="s">
        <v>98</v>
      </c>
    </row>
    <row r="26" spans="1:6">
      <c r="A26" t="s">
        <v>148</v>
      </c>
      <c r="B26" t="s">
        <v>149</v>
      </c>
      <c r="C26" t="s">
        <v>97</v>
      </c>
      <c r="D26">
        <v>187.08</v>
      </c>
      <c r="E26">
        <v>34</v>
      </c>
      <c r="F26" t="s">
        <v>102</v>
      </c>
    </row>
    <row r="27" spans="1:6">
      <c r="A27" t="s">
        <v>150</v>
      </c>
      <c r="B27" t="s">
        <v>151</v>
      </c>
      <c r="C27" t="s">
        <v>114</v>
      </c>
      <c r="D27">
        <v>843.67</v>
      </c>
      <c r="E27">
        <v>46</v>
      </c>
      <c r="F27" t="s">
        <v>105</v>
      </c>
    </row>
    <row r="28" spans="1:6">
      <c r="A28" t="s">
        <v>152</v>
      </c>
      <c r="B28" t="s">
        <v>153</v>
      </c>
      <c r="C28" t="s">
        <v>114</v>
      </c>
      <c r="D28">
        <v>434</v>
      </c>
      <c r="E28">
        <v>74</v>
      </c>
      <c r="F28" t="s">
        <v>108</v>
      </c>
    </row>
    <row r="29" spans="1:6">
      <c r="A29" t="s">
        <v>154</v>
      </c>
      <c r="B29" t="s">
        <v>155</v>
      </c>
      <c r="C29" t="s">
        <v>156</v>
      </c>
      <c r="D29">
        <v>566.44000000000005</v>
      </c>
      <c r="E29">
        <v>11</v>
      </c>
      <c r="F29" t="s">
        <v>111</v>
      </c>
    </row>
    <row r="30" spans="1:6">
      <c r="A30" t="s">
        <v>157</v>
      </c>
      <c r="B30" t="s">
        <v>158</v>
      </c>
      <c r="C30" t="s">
        <v>156</v>
      </c>
      <c r="D30">
        <v>448.08</v>
      </c>
      <c r="E30">
        <v>77</v>
      </c>
      <c r="F30" t="s">
        <v>115</v>
      </c>
    </row>
    <row r="31" spans="1:6">
      <c r="A31" t="s">
        <v>159</v>
      </c>
      <c r="B31" t="s">
        <v>160</v>
      </c>
      <c r="C31" t="s">
        <v>156</v>
      </c>
      <c r="D31">
        <v>142.6</v>
      </c>
      <c r="E31">
        <v>64</v>
      </c>
      <c r="F31" t="s">
        <v>118</v>
      </c>
    </row>
    <row r="32" spans="1:6">
      <c r="A32" t="s">
        <v>161</v>
      </c>
      <c r="B32" t="s">
        <v>162</v>
      </c>
      <c r="C32" t="s">
        <v>89</v>
      </c>
      <c r="D32">
        <v>430.97</v>
      </c>
      <c r="E32">
        <v>0</v>
      </c>
      <c r="F32" t="s">
        <v>86</v>
      </c>
    </row>
    <row r="33" spans="1:6">
      <c r="A33" t="s">
        <v>163</v>
      </c>
      <c r="B33" t="s">
        <v>164</v>
      </c>
      <c r="C33" t="s">
        <v>89</v>
      </c>
      <c r="D33">
        <v>508.75</v>
      </c>
      <c r="E33">
        <v>40</v>
      </c>
      <c r="F33" t="s">
        <v>90</v>
      </c>
    </row>
    <row r="34" spans="1:6">
      <c r="A34" t="s">
        <v>165</v>
      </c>
      <c r="B34" t="s">
        <v>166</v>
      </c>
      <c r="C34" t="s">
        <v>97</v>
      </c>
      <c r="D34">
        <v>421.87</v>
      </c>
      <c r="E34">
        <v>64</v>
      </c>
      <c r="F34" t="s">
        <v>94</v>
      </c>
    </row>
    <row r="35" spans="1:6">
      <c r="A35" t="s">
        <v>167</v>
      </c>
      <c r="B35" t="s">
        <v>168</v>
      </c>
      <c r="C35" t="s">
        <v>101</v>
      </c>
      <c r="D35">
        <v>736</v>
      </c>
      <c r="E35">
        <v>74</v>
      </c>
      <c r="F35" t="s">
        <v>98</v>
      </c>
    </row>
    <row r="36" spans="1:6">
      <c r="A36" t="s">
        <v>169</v>
      </c>
      <c r="B36" t="s">
        <v>170</v>
      </c>
      <c r="C36" t="s">
        <v>101</v>
      </c>
      <c r="D36">
        <v>269.37</v>
      </c>
      <c r="E36">
        <v>8</v>
      </c>
      <c r="F36" t="s">
        <v>102</v>
      </c>
    </row>
    <row r="37" spans="1:6">
      <c r="A37" t="s">
        <v>171</v>
      </c>
      <c r="B37" t="s">
        <v>172</v>
      </c>
      <c r="C37" t="s">
        <v>114</v>
      </c>
      <c r="D37">
        <v>79.55</v>
      </c>
      <c r="E37">
        <v>18</v>
      </c>
      <c r="F37" t="s">
        <v>105</v>
      </c>
    </row>
    <row r="38" spans="1:6">
      <c r="A38" t="s">
        <v>173</v>
      </c>
      <c r="B38" t="s">
        <v>174</v>
      </c>
      <c r="C38" t="s">
        <v>89</v>
      </c>
      <c r="D38">
        <v>319.07</v>
      </c>
      <c r="E38">
        <v>19</v>
      </c>
      <c r="F38" t="s">
        <v>108</v>
      </c>
    </row>
    <row r="39" spans="1:6">
      <c r="A39" t="s">
        <v>175</v>
      </c>
      <c r="B39" t="s">
        <v>176</v>
      </c>
      <c r="C39" t="s">
        <v>114</v>
      </c>
      <c r="D39">
        <v>720.06</v>
      </c>
      <c r="E39">
        <v>95</v>
      </c>
      <c r="F39" t="s">
        <v>111</v>
      </c>
    </row>
    <row r="40" spans="1:6">
      <c r="A40" t="s">
        <v>177</v>
      </c>
      <c r="B40" t="s">
        <v>178</v>
      </c>
      <c r="C40" t="s">
        <v>101</v>
      </c>
      <c r="D40">
        <v>760.24</v>
      </c>
      <c r="E40">
        <v>48</v>
      </c>
      <c r="F40" t="s">
        <v>115</v>
      </c>
    </row>
    <row r="41" spans="1:6">
      <c r="A41" t="s">
        <v>179</v>
      </c>
      <c r="B41" t="s">
        <v>180</v>
      </c>
      <c r="C41" t="s">
        <v>156</v>
      </c>
      <c r="D41">
        <v>768.09</v>
      </c>
      <c r="E41">
        <v>-4</v>
      </c>
      <c r="F41" t="s">
        <v>118</v>
      </c>
    </row>
    <row r="42" spans="1:6">
      <c r="A42" t="s">
        <v>181</v>
      </c>
      <c r="B42" t="s">
        <v>182</v>
      </c>
      <c r="C42" t="s">
        <v>89</v>
      </c>
      <c r="D42">
        <v>108.44</v>
      </c>
      <c r="E42">
        <v>-10</v>
      </c>
      <c r="F42" t="s">
        <v>86</v>
      </c>
    </row>
    <row r="43" spans="1:6">
      <c r="A43" t="s">
        <v>183</v>
      </c>
      <c r="B43" t="s">
        <v>184</v>
      </c>
      <c r="C43" t="s">
        <v>114</v>
      </c>
      <c r="D43">
        <v>779.74</v>
      </c>
      <c r="E43">
        <v>53</v>
      </c>
      <c r="F43" t="s">
        <v>90</v>
      </c>
    </row>
    <row r="44" spans="1:6">
      <c r="A44" t="s">
        <v>185</v>
      </c>
      <c r="B44" t="s">
        <v>186</v>
      </c>
      <c r="C44" t="s">
        <v>101</v>
      </c>
      <c r="D44">
        <v>636.39</v>
      </c>
      <c r="E44">
        <v>46</v>
      </c>
      <c r="F44" t="s">
        <v>94</v>
      </c>
    </row>
    <row r="45" spans="1:6">
      <c r="A45" t="s">
        <v>187</v>
      </c>
      <c r="B45" t="s">
        <v>188</v>
      </c>
      <c r="C45" t="s">
        <v>101</v>
      </c>
      <c r="D45">
        <v>191.12</v>
      </c>
      <c r="E45">
        <v>40</v>
      </c>
      <c r="F45" t="s">
        <v>98</v>
      </c>
    </row>
    <row r="46" spans="1:6">
      <c r="A46" t="s">
        <v>189</v>
      </c>
      <c r="B46" t="s">
        <v>190</v>
      </c>
      <c r="C46" t="s">
        <v>97</v>
      </c>
      <c r="D46">
        <v>990.39</v>
      </c>
      <c r="E46">
        <v>49</v>
      </c>
      <c r="F46" t="s">
        <v>102</v>
      </c>
    </row>
    <row r="47" spans="1:6">
      <c r="A47" t="s">
        <v>191</v>
      </c>
      <c r="B47" t="s">
        <v>192</v>
      </c>
      <c r="C47" t="s">
        <v>101</v>
      </c>
      <c r="D47">
        <v>797.12</v>
      </c>
      <c r="E47">
        <v>63</v>
      </c>
      <c r="F47" t="s">
        <v>105</v>
      </c>
    </row>
    <row r="48" spans="1:6">
      <c r="A48" t="s">
        <v>193</v>
      </c>
      <c r="B48" t="s">
        <v>194</v>
      </c>
      <c r="C48" t="s">
        <v>156</v>
      </c>
      <c r="D48">
        <v>635.09</v>
      </c>
      <c r="E48">
        <v>73</v>
      </c>
      <c r="F48" t="s">
        <v>108</v>
      </c>
    </row>
    <row r="49" spans="1:6">
      <c r="A49" t="s">
        <v>195</v>
      </c>
      <c r="B49" t="s">
        <v>196</v>
      </c>
      <c r="C49" t="s">
        <v>97</v>
      </c>
      <c r="D49">
        <v>394.76</v>
      </c>
      <c r="E49">
        <v>15</v>
      </c>
      <c r="F49" t="s">
        <v>111</v>
      </c>
    </row>
    <row r="50" spans="1:6">
      <c r="A50" t="s">
        <v>197</v>
      </c>
      <c r="B50" t="s">
        <v>198</v>
      </c>
      <c r="C50" t="s">
        <v>97</v>
      </c>
      <c r="D50">
        <v>291.57</v>
      </c>
      <c r="E50">
        <v>45</v>
      </c>
      <c r="F50" t="s">
        <v>115</v>
      </c>
    </row>
    <row r="51" spans="1:6">
      <c r="A51" t="s">
        <v>199</v>
      </c>
      <c r="B51" t="s">
        <v>200</v>
      </c>
      <c r="C51" t="s">
        <v>156</v>
      </c>
      <c r="D51">
        <v>451.98</v>
      </c>
      <c r="E51">
        <v>16</v>
      </c>
      <c r="F51" t="s">
        <v>118</v>
      </c>
    </row>
    <row r="52" spans="1:6">
      <c r="A52" t="s">
        <v>201</v>
      </c>
      <c r="B52" t="s">
        <v>202</v>
      </c>
      <c r="C52" t="s">
        <v>89</v>
      </c>
      <c r="D52">
        <v>699.79</v>
      </c>
      <c r="E52">
        <v>74</v>
      </c>
      <c r="F52" t="s">
        <v>86</v>
      </c>
    </row>
    <row r="53" spans="1:6">
      <c r="A53" t="s">
        <v>203</v>
      </c>
      <c r="B53" t="s">
        <v>204</v>
      </c>
      <c r="C53" t="s">
        <v>89</v>
      </c>
      <c r="D53">
        <v>844.49</v>
      </c>
      <c r="E53">
        <v>42</v>
      </c>
      <c r="F53" t="s">
        <v>90</v>
      </c>
    </row>
    <row r="54" spans="1:6">
      <c r="A54" t="s">
        <v>205</v>
      </c>
      <c r="B54" t="s">
        <v>206</v>
      </c>
      <c r="C54" t="s">
        <v>156</v>
      </c>
      <c r="D54">
        <v>733.54</v>
      </c>
      <c r="E54">
        <v>84</v>
      </c>
      <c r="F54" t="s">
        <v>94</v>
      </c>
    </row>
    <row r="55" spans="1:6">
      <c r="A55" t="s">
        <v>207</v>
      </c>
      <c r="B55" t="s">
        <v>208</v>
      </c>
      <c r="C55" t="s">
        <v>156</v>
      </c>
      <c r="D55">
        <v>652.5</v>
      </c>
      <c r="E55">
        <v>97</v>
      </c>
      <c r="F55" t="s">
        <v>98</v>
      </c>
    </row>
    <row r="56" spans="1:6">
      <c r="A56" t="s">
        <v>209</v>
      </c>
      <c r="B56" t="s">
        <v>210</v>
      </c>
      <c r="C56" t="s">
        <v>97</v>
      </c>
      <c r="D56">
        <v>195.42</v>
      </c>
      <c r="E56">
        <v>50</v>
      </c>
      <c r="F56" t="s">
        <v>102</v>
      </c>
    </row>
    <row r="57" spans="1:6">
      <c r="A57" t="s">
        <v>211</v>
      </c>
      <c r="B57" t="s">
        <v>212</v>
      </c>
      <c r="C57" t="s">
        <v>97</v>
      </c>
      <c r="D57">
        <v>695.68</v>
      </c>
      <c r="E57">
        <v>28</v>
      </c>
      <c r="F57" t="s">
        <v>105</v>
      </c>
    </row>
    <row r="58" spans="1:6">
      <c r="A58" t="s">
        <v>213</v>
      </c>
      <c r="B58" t="s">
        <v>214</v>
      </c>
      <c r="C58" t="s">
        <v>114</v>
      </c>
      <c r="D58">
        <v>585.20000000000005</v>
      </c>
      <c r="E58">
        <v>67</v>
      </c>
      <c r="F58" t="s">
        <v>108</v>
      </c>
    </row>
    <row r="59" spans="1:6">
      <c r="A59" t="s">
        <v>215</v>
      </c>
      <c r="B59" t="s">
        <v>216</v>
      </c>
      <c r="C59" t="s">
        <v>97</v>
      </c>
      <c r="D59">
        <v>607.80999999999995</v>
      </c>
      <c r="E59">
        <v>76</v>
      </c>
      <c r="F59" t="s">
        <v>111</v>
      </c>
    </row>
    <row r="60" spans="1:6">
      <c r="A60" t="s">
        <v>217</v>
      </c>
      <c r="B60" t="s">
        <v>218</v>
      </c>
      <c r="C60" t="s">
        <v>101</v>
      </c>
      <c r="D60">
        <v>367.37</v>
      </c>
      <c r="E60">
        <v>56</v>
      </c>
      <c r="F60" t="s">
        <v>115</v>
      </c>
    </row>
    <row r="61" spans="1:6">
      <c r="A61" t="s">
        <v>219</v>
      </c>
      <c r="B61" t="s">
        <v>220</v>
      </c>
      <c r="C61" t="s">
        <v>156</v>
      </c>
      <c r="D61">
        <v>474</v>
      </c>
      <c r="E61">
        <v>48</v>
      </c>
      <c r="F61" t="s">
        <v>118</v>
      </c>
    </row>
    <row r="62" spans="1:6">
      <c r="A62" t="s">
        <v>221</v>
      </c>
      <c r="B62" t="s">
        <v>222</v>
      </c>
      <c r="C62" t="s">
        <v>114</v>
      </c>
      <c r="D62">
        <v>679.73</v>
      </c>
      <c r="E62">
        <v>91</v>
      </c>
      <c r="F62" t="s">
        <v>86</v>
      </c>
    </row>
    <row r="63" spans="1:6">
      <c r="A63" t="s">
        <v>223</v>
      </c>
      <c r="B63" t="s">
        <v>224</v>
      </c>
      <c r="C63" t="s">
        <v>97</v>
      </c>
      <c r="D63">
        <v>492.24</v>
      </c>
      <c r="E63">
        <v>-8</v>
      </c>
      <c r="F63" t="s">
        <v>90</v>
      </c>
    </row>
    <row r="64" spans="1:6">
      <c r="A64" t="s">
        <v>225</v>
      </c>
      <c r="B64" t="s">
        <v>226</v>
      </c>
      <c r="C64" t="s">
        <v>114</v>
      </c>
      <c r="D64">
        <v>823.49</v>
      </c>
      <c r="E64">
        <v>6</v>
      </c>
      <c r="F64" t="s">
        <v>94</v>
      </c>
    </row>
    <row r="65" spans="1:6">
      <c r="A65" t="s">
        <v>227</v>
      </c>
      <c r="B65" t="s">
        <v>228</v>
      </c>
      <c r="C65" t="s">
        <v>101</v>
      </c>
      <c r="D65">
        <v>117.4</v>
      </c>
      <c r="E65">
        <v>-5</v>
      </c>
      <c r="F65" t="s">
        <v>98</v>
      </c>
    </row>
    <row r="66" spans="1:6">
      <c r="A66" t="s">
        <v>229</v>
      </c>
      <c r="B66" t="s">
        <v>230</v>
      </c>
      <c r="C66" t="s">
        <v>101</v>
      </c>
      <c r="D66">
        <v>628.92999999999995</v>
      </c>
      <c r="E66">
        <v>8</v>
      </c>
      <c r="F66" t="s">
        <v>102</v>
      </c>
    </row>
    <row r="67" spans="1:6">
      <c r="A67" t="s">
        <v>231</v>
      </c>
      <c r="B67" t="s">
        <v>232</v>
      </c>
      <c r="C67" t="s">
        <v>114</v>
      </c>
      <c r="D67">
        <v>678.41</v>
      </c>
      <c r="E67">
        <v>54</v>
      </c>
      <c r="F67" t="s">
        <v>105</v>
      </c>
    </row>
    <row r="68" spans="1:6">
      <c r="A68" t="s">
        <v>233</v>
      </c>
      <c r="B68" t="s">
        <v>234</v>
      </c>
      <c r="C68" t="s">
        <v>156</v>
      </c>
      <c r="D68">
        <v>135.61000000000001</v>
      </c>
      <c r="E68">
        <v>57</v>
      </c>
      <c r="F68" t="s">
        <v>108</v>
      </c>
    </row>
    <row r="69" spans="1:6">
      <c r="A69" t="s">
        <v>235</v>
      </c>
      <c r="B69" t="s">
        <v>236</v>
      </c>
      <c r="C69" t="s">
        <v>156</v>
      </c>
      <c r="D69">
        <v>465.71</v>
      </c>
      <c r="E69">
        <v>64</v>
      </c>
      <c r="F69" t="s">
        <v>111</v>
      </c>
    </row>
    <row r="70" spans="1:6">
      <c r="A70" t="s">
        <v>237</v>
      </c>
      <c r="B70" t="s">
        <v>238</v>
      </c>
      <c r="C70" t="s">
        <v>97</v>
      </c>
      <c r="D70">
        <v>225.49</v>
      </c>
      <c r="E70">
        <v>67</v>
      </c>
      <c r="F70" t="s">
        <v>115</v>
      </c>
    </row>
    <row r="71" spans="1:6">
      <c r="A71" t="s">
        <v>239</v>
      </c>
      <c r="B71" t="s">
        <v>240</v>
      </c>
      <c r="C71" t="s">
        <v>89</v>
      </c>
      <c r="D71">
        <v>431.57</v>
      </c>
      <c r="E71">
        <v>9</v>
      </c>
      <c r="F71" t="s">
        <v>118</v>
      </c>
    </row>
    <row r="72" spans="1:6">
      <c r="A72" t="s">
        <v>241</v>
      </c>
      <c r="B72" t="s">
        <v>242</v>
      </c>
      <c r="C72" t="s">
        <v>156</v>
      </c>
      <c r="D72">
        <v>230.14</v>
      </c>
      <c r="E72">
        <v>56</v>
      </c>
      <c r="F72" t="s">
        <v>86</v>
      </c>
    </row>
    <row r="73" spans="1:6">
      <c r="A73" t="s">
        <v>243</v>
      </c>
      <c r="B73" t="s">
        <v>244</v>
      </c>
      <c r="C73" t="s">
        <v>156</v>
      </c>
      <c r="D73">
        <v>955.7</v>
      </c>
      <c r="E73">
        <v>63</v>
      </c>
      <c r="F73" t="s">
        <v>90</v>
      </c>
    </row>
    <row r="74" spans="1:6">
      <c r="A74" t="s">
        <v>245</v>
      </c>
      <c r="B74" t="s">
        <v>246</v>
      </c>
      <c r="C74" t="s">
        <v>97</v>
      </c>
      <c r="D74">
        <v>270.33</v>
      </c>
      <c r="E74">
        <v>66</v>
      </c>
      <c r="F74" t="s">
        <v>94</v>
      </c>
    </row>
    <row r="75" spans="1:6">
      <c r="A75" t="s">
        <v>247</v>
      </c>
      <c r="B75" t="s">
        <v>248</v>
      </c>
      <c r="C75" t="s">
        <v>101</v>
      </c>
      <c r="D75">
        <v>411.36</v>
      </c>
      <c r="E75">
        <v>74</v>
      </c>
      <c r="F75" t="s">
        <v>98</v>
      </c>
    </row>
    <row r="76" spans="1:6">
      <c r="A76" t="s">
        <v>249</v>
      </c>
      <c r="B76" t="s">
        <v>250</v>
      </c>
      <c r="C76" t="s">
        <v>97</v>
      </c>
      <c r="D76">
        <v>132.56</v>
      </c>
      <c r="E76">
        <v>4</v>
      </c>
      <c r="F76" t="s">
        <v>102</v>
      </c>
    </row>
    <row r="77" spans="1:6">
      <c r="A77" t="s">
        <v>251</v>
      </c>
      <c r="B77" t="s">
        <v>252</v>
      </c>
      <c r="C77" t="s">
        <v>101</v>
      </c>
      <c r="D77">
        <v>527.69000000000005</v>
      </c>
      <c r="E77">
        <v>97</v>
      </c>
      <c r="F77" t="s">
        <v>105</v>
      </c>
    </row>
    <row r="78" spans="1:6">
      <c r="A78" t="s">
        <v>253</v>
      </c>
      <c r="B78" t="s">
        <v>254</v>
      </c>
      <c r="C78" t="s">
        <v>114</v>
      </c>
      <c r="D78">
        <v>580.25</v>
      </c>
      <c r="E78">
        <v>21</v>
      </c>
      <c r="F78" t="s">
        <v>108</v>
      </c>
    </row>
    <row r="79" spans="1:6">
      <c r="A79" t="s">
        <v>255</v>
      </c>
      <c r="B79" t="s">
        <v>256</v>
      </c>
      <c r="C79" t="s">
        <v>89</v>
      </c>
      <c r="D79">
        <v>626.32000000000005</v>
      </c>
      <c r="E79">
        <v>65</v>
      </c>
      <c r="F79" t="s">
        <v>111</v>
      </c>
    </row>
    <row r="80" spans="1:6">
      <c r="A80" t="s">
        <v>257</v>
      </c>
      <c r="B80" t="s">
        <v>258</v>
      </c>
      <c r="C80" t="s">
        <v>114</v>
      </c>
      <c r="D80">
        <v>828.12</v>
      </c>
      <c r="E80">
        <v>84</v>
      </c>
      <c r="F80" t="s">
        <v>115</v>
      </c>
    </row>
    <row r="81" spans="1:6">
      <c r="A81" t="s">
        <v>259</v>
      </c>
      <c r="B81" t="s">
        <v>260</v>
      </c>
      <c r="C81" t="s">
        <v>89</v>
      </c>
      <c r="D81">
        <v>219.41</v>
      </c>
      <c r="E81">
        <v>18</v>
      </c>
      <c r="F81" t="s">
        <v>118</v>
      </c>
    </row>
    <row r="82" spans="1:6">
      <c r="A82" t="s">
        <v>261</v>
      </c>
      <c r="B82" t="s">
        <v>262</v>
      </c>
      <c r="C82" t="s">
        <v>156</v>
      </c>
      <c r="D82">
        <v>490.56</v>
      </c>
      <c r="E82">
        <v>4</v>
      </c>
      <c r="F82" t="s">
        <v>86</v>
      </c>
    </row>
    <row r="83" spans="1:6">
      <c r="A83" t="s">
        <v>263</v>
      </c>
      <c r="B83" t="s">
        <v>264</v>
      </c>
      <c r="C83" t="s">
        <v>156</v>
      </c>
      <c r="D83">
        <v>72.930000000000007</v>
      </c>
      <c r="E83">
        <v>1</v>
      </c>
      <c r="F83" t="s">
        <v>90</v>
      </c>
    </row>
    <row r="84" spans="1:6">
      <c r="A84" t="s">
        <v>265</v>
      </c>
      <c r="B84" t="s">
        <v>266</v>
      </c>
      <c r="C84" t="s">
        <v>89</v>
      </c>
      <c r="D84">
        <v>792.19</v>
      </c>
      <c r="E84">
        <v>41</v>
      </c>
      <c r="F84" t="s">
        <v>94</v>
      </c>
    </row>
    <row r="85" spans="1:6">
      <c r="A85" t="s">
        <v>267</v>
      </c>
      <c r="B85" t="s">
        <v>268</v>
      </c>
      <c r="C85" t="s">
        <v>101</v>
      </c>
      <c r="D85">
        <v>329.11</v>
      </c>
      <c r="E85">
        <v>68</v>
      </c>
      <c r="F85" t="s">
        <v>98</v>
      </c>
    </row>
    <row r="86" spans="1:6">
      <c r="A86" t="s">
        <v>269</v>
      </c>
      <c r="B86" t="s">
        <v>270</v>
      </c>
      <c r="C86" t="s">
        <v>101</v>
      </c>
      <c r="D86">
        <v>536.46</v>
      </c>
      <c r="E86">
        <v>25</v>
      </c>
      <c r="F86" t="s">
        <v>102</v>
      </c>
    </row>
    <row r="87" spans="1:6">
      <c r="A87" t="s">
        <v>271</v>
      </c>
      <c r="B87" t="s">
        <v>272</v>
      </c>
      <c r="C87" t="s">
        <v>97</v>
      </c>
      <c r="D87">
        <v>112.84</v>
      </c>
      <c r="E87">
        <v>67</v>
      </c>
      <c r="F87" t="s">
        <v>105</v>
      </c>
    </row>
    <row r="88" spans="1:6">
      <c r="A88" t="s">
        <v>273</v>
      </c>
      <c r="B88" t="s">
        <v>274</v>
      </c>
      <c r="C88" t="s">
        <v>89</v>
      </c>
      <c r="D88">
        <v>340.83</v>
      </c>
      <c r="E88">
        <v>9</v>
      </c>
      <c r="F88" t="s">
        <v>108</v>
      </c>
    </row>
    <row r="89" spans="1:6">
      <c r="A89" t="s">
        <v>275</v>
      </c>
      <c r="B89" t="s">
        <v>276</v>
      </c>
      <c r="C89" t="s">
        <v>101</v>
      </c>
      <c r="D89">
        <v>995.34</v>
      </c>
      <c r="E89">
        <v>77</v>
      </c>
      <c r="F89" t="s">
        <v>111</v>
      </c>
    </row>
    <row r="90" spans="1:6">
      <c r="A90" t="s">
        <v>277</v>
      </c>
      <c r="B90" t="s">
        <v>278</v>
      </c>
      <c r="C90" t="s">
        <v>101</v>
      </c>
      <c r="D90">
        <v>769.9</v>
      </c>
      <c r="E90">
        <v>99</v>
      </c>
      <c r="F90" t="s">
        <v>115</v>
      </c>
    </row>
    <row r="91" spans="1:6">
      <c r="A91" t="s">
        <v>279</v>
      </c>
      <c r="B91" t="s">
        <v>280</v>
      </c>
      <c r="C91" t="s">
        <v>89</v>
      </c>
      <c r="D91">
        <v>475.06</v>
      </c>
      <c r="E91">
        <v>95</v>
      </c>
      <c r="F91" t="s">
        <v>118</v>
      </c>
    </row>
    <row r="92" spans="1:6">
      <c r="A92" t="s">
        <v>281</v>
      </c>
      <c r="B92" t="s">
        <v>282</v>
      </c>
      <c r="C92" t="s">
        <v>101</v>
      </c>
      <c r="D92">
        <v>984.78</v>
      </c>
      <c r="E92">
        <v>59</v>
      </c>
      <c r="F92" t="s">
        <v>86</v>
      </c>
    </row>
    <row r="93" spans="1:6">
      <c r="A93" t="s">
        <v>283</v>
      </c>
      <c r="B93" t="s">
        <v>284</v>
      </c>
      <c r="C93" t="s">
        <v>101</v>
      </c>
      <c r="D93">
        <v>827.37</v>
      </c>
      <c r="E93">
        <v>39</v>
      </c>
      <c r="F93" t="s">
        <v>90</v>
      </c>
    </row>
    <row r="94" spans="1:6">
      <c r="A94" t="s">
        <v>285</v>
      </c>
      <c r="B94" t="s">
        <v>286</v>
      </c>
      <c r="C94" t="s">
        <v>97</v>
      </c>
      <c r="D94">
        <v>583.88</v>
      </c>
      <c r="E94">
        <v>20</v>
      </c>
      <c r="F94" t="s">
        <v>94</v>
      </c>
    </row>
    <row r="95" spans="1:6">
      <c r="A95" t="s">
        <v>287</v>
      </c>
      <c r="B95" t="s">
        <v>288</v>
      </c>
      <c r="C95" t="s">
        <v>156</v>
      </c>
      <c r="D95">
        <v>147.41999999999999</v>
      </c>
      <c r="E95">
        <v>68</v>
      </c>
      <c r="F95" t="s">
        <v>98</v>
      </c>
    </row>
    <row r="96" spans="1:6">
      <c r="A96" t="s">
        <v>289</v>
      </c>
      <c r="B96" t="s">
        <v>290</v>
      </c>
      <c r="C96" t="s">
        <v>156</v>
      </c>
      <c r="D96">
        <v>728.6</v>
      </c>
      <c r="E96">
        <v>30</v>
      </c>
      <c r="F96" t="s">
        <v>102</v>
      </c>
    </row>
    <row r="97" spans="1:6">
      <c r="A97" t="s">
        <v>291</v>
      </c>
      <c r="B97" t="s">
        <v>292</v>
      </c>
      <c r="C97" t="s">
        <v>114</v>
      </c>
      <c r="D97">
        <v>590.16</v>
      </c>
      <c r="E97">
        <v>63</v>
      </c>
      <c r="F97" t="s">
        <v>105</v>
      </c>
    </row>
    <row r="98" spans="1:6">
      <c r="A98" t="s">
        <v>293</v>
      </c>
      <c r="B98" t="s">
        <v>294</v>
      </c>
      <c r="C98" t="s">
        <v>89</v>
      </c>
      <c r="D98">
        <v>889.08</v>
      </c>
      <c r="E98">
        <v>9</v>
      </c>
      <c r="F98" t="s">
        <v>108</v>
      </c>
    </row>
    <row r="99" spans="1:6">
      <c r="A99" t="s">
        <v>295</v>
      </c>
      <c r="B99" t="s">
        <v>296</v>
      </c>
      <c r="C99" t="s">
        <v>156</v>
      </c>
      <c r="D99">
        <v>57.22</v>
      </c>
      <c r="E99">
        <v>34</v>
      </c>
      <c r="F99" t="s">
        <v>111</v>
      </c>
    </row>
    <row r="100" spans="1:6">
      <c r="A100" t="s">
        <v>297</v>
      </c>
      <c r="B100" t="s">
        <v>298</v>
      </c>
      <c r="C100" t="s">
        <v>89</v>
      </c>
      <c r="D100">
        <v>401.24</v>
      </c>
      <c r="E100">
        <v>43</v>
      </c>
      <c r="F100" t="s">
        <v>115</v>
      </c>
    </row>
    <row r="101" spans="1:6">
      <c r="A101" t="s">
        <v>299</v>
      </c>
      <c r="B101" t="s">
        <v>300</v>
      </c>
      <c r="C101" t="s">
        <v>101</v>
      </c>
      <c r="D101">
        <v>796.33</v>
      </c>
      <c r="E101">
        <v>99</v>
      </c>
      <c r="F101" t="s">
        <v>118</v>
      </c>
    </row>
    <row r="102" spans="1:6">
      <c r="A102" t="s">
        <v>301</v>
      </c>
      <c r="B102" t="s">
        <v>302</v>
      </c>
      <c r="C102" t="s">
        <v>97</v>
      </c>
      <c r="D102">
        <v>802.31</v>
      </c>
      <c r="E102">
        <v>97</v>
      </c>
      <c r="F102" t="s">
        <v>86</v>
      </c>
    </row>
    <row r="103" spans="1:6">
      <c r="A103" t="s">
        <v>303</v>
      </c>
      <c r="B103" t="s">
        <v>304</v>
      </c>
      <c r="C103" t="s">
        <v>89</v>
      </c>
      <c r="D103">
        <v>612.07000000000005</v>
      </c>
      <c r="E103">
        <v>25</v>
      </c>
      <c r="F103" t="s">
        <v>90</v>
      </c>
    </row>
    <row r="104" spans="1:6">
      <c r="A104" t="s">
        <v>305</v>
      </c>
      <c r="B104" t="s">
        <v>306</v>
      </c>
      <c r="C104" t="s">
        <v>156</v>
      </c>
      <c r="D104">
        <v>366.32</v>
      </c>
      <c r="E104">
        <v>12</v>
      </c>
      <c r="F104" t="s">
        <v>94</v>
      </c>
    </row>
    <row r="105" spans="1:6">
      <c r="A105" t="s">
        <v>307</v>
      </c>
      <c r="B105" t="s">
        <v>308</v>
      </c>
      <c r="C105" t="s">
        <v>97</v>
      </c>
      <c r="D105">
        <v>241.28</v>
      </c>
      <c r="E105">
        <v>21</v>
      </c>
      <c r="F105" t="s">
        <v>98</v>
      </c>
    </row>
    <row r="106" spans="1:6">
      <c r="A106" t="s">
        <v>309</v>
      </c>
      <c r="B106" t="s">
        <v>310</v>
      </c>
      <c r="C106" t="s">
        <v>97</v>
      </c>
      <c r="D106">
        <v>55.88</v>
      </c>
      <c r="E106">
        <v>11</v>
      </c>
      <c r="F106" t="s">
        <v>102</v>
      </c>
    </row>
    <row r="107" spans="1:6">
      <c r="A107" t="s">
        <v>311</v>
      </c>
      <c r="B107" t="s">
        <v>312</v>
      </c>
      <c r="C107" t="s">
        <v>114</v>
      </c>
      <c r="D107">
        <v>876.55</v>
      </c>
      <c r="E107">
        <v>-9</v>
      </c>
      <c r="F107" t="s">
        <v>105</v>
      </c>
    </row>
    <row r="108" spans="1:6">
      <c r="A108" t="s">
        <v>313</v>
      </c>
      <c r="B108" t="s">
        <v>314</v>
      </c>
      <c r="C108" t="s">
        <v>156</v>
      </c>
      <c r="D108">
        <v>411.54</v>
      </c>
      <c r="E108">
        <v>98</v>
      </c>
      <c r="F108" t="s">
        <v>108</v>
      </c>
    </row>
    <row r="109" spans="1:6">
      <c r="A109" t="s">
        <v>315</v>
      </c>
      <c r="B109" t="s">
        <v>316</v>
      </c>
      <c r="C109" t="s">
        <v>97</v>
      </c>
      <c r="D109">
        <v>756.41</v>
      </c>
      <c r="E109">
        <v>63</v>
      </c>
      <c r="F109" t="s">
        <v>111</v>
      </c>
    </row>
    <row r="110" spans="1:6">
      <c r="A110" t="s">
        <v>317</v>
      </c>
      <c r="B110" t="s">
        <v>318</v>
      </c>
      <c r="C110" t="s">
        <v>114</v>
      </c>
      <c r="D110">
        <v>302.37</v>
      </c>
      <c r="E110">
        <v>75</v>
      </c>
      <c r="F110" t="s">
        <v>115</v>
      </c>
    </row>
    <row r="111" spans="1:6">
      <c r="A111" t="s">
        <v>319</v>
      </c>
      <c r="B111" t="s">
        <v>320</v>
      </c>
      <c r="C111" t="s">
        <v>114</v>
      </c>
      <c r="D111">
        <v>510.18</v>
      </c>
      <c r="E111">
        <v>86</v>
      </c>
      <c r="F111" t="s">
        <v>118</v>
      </c>
    </row>
    <row r="112" spans="1:6">
      <c r="A112" t="s">
        <v>321</v>
      </c>
      <c r="B112" t="s">
        <v>322</v>
      </c>
      <c r="C112" t="s">
        <v>101</v>
      </c>
      <c r="D112">
        <v>220.09</v>
      </c>
      <c r="E112">
        <v>82</v>
      </c>
      <c r="F112" t="s">
        <v>86</v>
      </c>
    </row>
    <row r="113" spans="1:6">
      <c r="A113" t="s">
        <v>323</v>
      </c>
      <c r="B113" t="s">
        <v>324</v>
      </c>
      <c r="C113" t="s">
        <v>114</v>
      </c>
      <c r="D113">
        <v>601.62</v>
      </c>
      <c r="E113">
        <v>42</v>
      </c>
      <c r="F113" t="s">
        <v>90</v>
      </c>
    </row>
    <row r="114" spans="1:6">
      <c r="A114" t="s">
        <v>325</v>
      </c>
      <c r="B114" t="s">
        <v>326</v>
      </c>
      <c r="C114" t="s">
        <v>89</v>
      </c>
      <c r="D114">
        <v>919.78</v>
      </c>
      <c r="E114">
        <v>90</v>
      </c>
      <c r="F114" t="s">
        <v>94</v>
      </c>
    </row>
    <row r="115" spans="1:6">
      <c r="A115" t="s">
        <v>327</v>
      </c>
      <c r="B115" t="s">
        <v>328</v>
      </c>
      <c r="C115" t="s">
        <v>156</v>
      </c>
      <c r="D115">
        <v>290.58999999999997</v>
      </c>
      <c r="E115">
        <v>55</v>
      </c>
      <c r="F115" t="s">
        <v>98</v>
      </c>
    </row>
    <row r="116" spans="1:6">
      <c r="A116" t="s">
        <v>329</v>
      </c>
      <c r="B116" t="s">
        <v>330</v>
      </c>
      <c r="C116" t="s">
        <v>89</v>
      </c>
      <c r="D116">
        <v>237.22</v>
      </c>
      <c r="E116">
        <v>42</v>
      </c>
      <c r="F116" t="s">
        <v>102</v>
      </c>
    </row>
    <row r="117" spans="1:6">
      <c r="A117" t="s">
        <v>331</v>
      </c>
      <c r="B117" t="s">
        <v>332</v>
      </c>
      <c r="C117" t="s">
        <v>97</v>
      </c>
      <c r="D117">
        <v>100.65</v>
      </c>
      <c r="E117">
        <v>84</v>
      </c>
      <c r="F117" t="s">
        <v>105</v>
      </c>
    </row>
    <row r="118" spans="1:6">
      <c r="A118" t="s">
        <v>333</v>
      </c>
      <c r="B118" t="s">
        <v>334</v>
      </c>
      <c r="C118" t="s">
        <v>89</v>
      </c>
      <c r="D118">
        <v>274.7</v>
      </c>
      <c r="E118">
        <v>96</v>
      </c>
      <c r="F118" t="s">
        <v>108</v>
      </c>
    </row>
    <row r="119" spans="1:6">
      <c r="A119" t="s">
        <v>335</v>
      </c>
      <c r="B119" t="s">
        <v>336</v>
      </c>
      <c r="C119" t="s">
        <v>114</v>
      </c>
      <c r="D119">
        <v>524.96</v>
      </c>
      <c r="E119">
        <v>62</v>
      </c>
      <c r="F119" t="s">
        <v>111</v>
      </c>
    </row>
    <row r="120" spans="1:6">
      <c r="A120" t="s">
        <v>337</v>
      </c>
      <c r="B120" t="s">
        <v>338</v>
      </c>
      <c r="C120" t="s">
        <v>89</v>
      </c>
      <c r="D120">
        <v>794.42</v>
      </c>
      <c r="E120">
        <v>25</v>
      </c>
      <c r="F120" t="s">
        <v>115</v>
      </c>
    </row>
    <row r="121" spans="1:6">
      <c r="A121" t="s">
        <v>339</v>
      </c>
      <c r="B121" t="s">
        <v>340</v>
      </c>
      <c r="C121" t="s">
        <v>114</v>
      </c>
      <c r="D121">
        <v>466.35</v>
      </c>
      <c r="E121">
        <v>36</v>
      </c>
      <c r="F121" t="s">
        <v>118</v>
      </c>
    </row>
    <row r="122" spans="1:6">
      <c r="A122" t="s">
        <v>341</v>
      </c>
      <c r="B122" t="s">
        <v>342</v>
      </c>
      <c r="C122" t="s">
        <v>89</v>
      </c>
      <c r="D122">
        <v>304.88</v>
      </c>
      <c r="E122">
        <v>68</v>
      </c>
      <c r="F122" t="s">
        <v>86</v>
      </c>
    </row>
    <row r="123" spans="1:6">
      <c r="A123" t="s">
        <v>343</v>
      </c>
      <c r="B123" t="s">
        <v>344</v>
      </c>
      <c r="C123" t="s">
        <v>89</v>
      </c>
      <c r="D123">
        <v>134.71</v>
      </c>
      <c r="E123">
        <v>45</v>
      </c>
      <c r="F123" t="s">
        <v>90</v>
      </c>
    </row>
    <row r="124" spans="1:6">
      <c r="A124" t="s">
        <v>345</v>
      </c>
      <c r="B124" t="s">
        <v>346</v>
      </c>
      <c r="C124" t="s">
        <v>101</v>
      </c>
      <c r="D124">
        <v>458.52</v>
      </c>
      <c r="E124">
        <v>76</v>
      </c>
      <c r="F124" t="s">
        <v>94</v>
      </c>
    </row>
    <row r="125" spans="1:6">
      <c r="A125" t="s">
        <v>347</v>
      </c>
      <c r="B125" t="s">
        <v>348</v>
      </c>
      <c r="C125" t="s">
        <v>156</v>
      </c>
      <c r="D125">
        <v>892.51</v>
      </c>
      <c r="E125">
        <v>80</v>
      </c>
      <c r="F125" t="s">
        <v>98</v>
      </c>
    </row>
    <row r="126" spans="1:6">
      <c r="A126" t="s">
        <v>349</v>
      </c>
      <c r="B126" t="s">
        <v>350</v>
      </c>
      <c r="C126" t="s">
        <v>97</v>
      </c>
      <c r="D126">
        <v>884.02</v>
      </c>
      <c r="E126">
        <v>41</v>
      </c>
      <c r="F126" t="s">
        <v>102</v>
      </c>
    </row>
    <row r="127" spans="1:6">
      <c r="A127" t="s">
        <v>351</v>
      </c>
      <c r="B127" t="s">
        <v>352</v>
      </c>
      <c r="C127" t="s">
        <v>89</v>
      </c>
      <c r="D127">
        <v>987.58</v>
      </c>
      <c r="E127">
        <v>84</v>
      </c>
      <c r="F127" t="s">
        <v>105</v>
      </c>
    </row>
    <row r="128" spans="1:6">
      <c r="A128" t="s">
        <v>353</v>
      </c>
      <c r="B128" t="s">
        <v>354</v>
      </c>
      <c r="C128" t="s">
        <v>97</v>
      </c>
      <c r="D128">
        <v>377.17</v>
      </c>
      <c r="E128">
        <v>94</v>
      </c>
      <c r="F128" t="s">
        <v>108</v>
      </c>
    </row>
    <row r="129" spans="1:6">
      <c r="A129" t="s">
        <v>355</v>
      </c>
      <c r="B129" t="s">
        <v>356</v>
      </c>
      <c r="C129" t="s">
        <v>97</v>
      </c>
      <c r="D129">
        <v>163.44</v>
      </c>
      <c r="E129">
        <v>12</v>
      </c>
      <c r="F129" t="s">
        <v>111</v>
      </c>
    </row>
    <row r="130" spans="1:6">
      <c r="A130" t="s">
        <v>357</v>
      </c>
      <c r="B130" t="s">
        <v>358</v>
      </c>
      <c r="C130" t="s">
        <v>156</v>
      </c>
      <c r="D130">
        <v>328.15</v>
      </c>
      <c r="E130">
        <v>70</v>
      </c>
      <c r="F130" t="s">
        <v>115</v>
      </c>
    </row>
    <row r="131" spans="1:6">
      <c r="A131" t="s">
        <v>359</v>
      </c>
      <c r="B131" t="s">
        <v>360</v>
      </c>
      <c r="C131" t="s">
        <v>89</v>
      </c>
      <c r="D131">
        <v>73.709999999999994</v>
      </c>
      <c r="E131">
        <v>78</v>
      </c>
      <c r="F131" t="s">
        <v>118</v>
      </c>
    </row>
    <row r="132" spans="1:6">
      <c r="A132" t="s">
        <v>361</v>
      </c>
      <c r="B132" t="s">
        <v>362</v>
      </c>
      <c r="C132" t="s">
        <v>89</v>
      </c>
      <c r="D132">
        <v>140.4</v>
      </c>
      <c r="E132">
        <v>32</v>
      </c>
      <c r="F132" t="s">
        <v>86</v>
      </c>
    </row>
    <row r="133" spans="1:6">
      <c r="A133" t="s">
        <v>363</v>
      </c>
      <c r="B133" t="s">
        <v>364</v>
      </c>
      <c r="C133" t="s">
        <v>156</v>
      </c>
      <c r="D133">
        <v>212.57</v>
      </c>
      <c r="E133">
        <v>13</v>
      </c>
      <c r="F133" t="s">
        <v>90</v>
      </c>
    </row>
    <row r="134" spans="1:6">
      <c r="A134" t="s">
        <v>365</v>
      </c>
      <c r="B134" t="s">
        <v>366</v>
      </c>
      <c r="C134" t="s">
        <v>156</v>
      </c>
      <c r="D134">
        <v>949.27</v>
      </c>
      <c r="E134">
        <v>94</v>
      </c>
      <c r="F134" t="s">
        <v>94</v>
      </c>
    </row>
    <row r="135" spans="1:6">
      <c r="A135" t="s">
        <v>367</v>
      </c>
      <c r="B135" t="s">
        <v>368</v>
      </c>
      <c r="C135" t="s">
        <v>89</v>
      </c>
      <c r="D135">
        <v>497.68</v>
      </c>
      <c r="E135">
        <v>-2</v>
      </c>
      <c r="F135" t="s">
        <v>98</v>
      </c>
    </row>
    <row r="136" spans="1:6">
      <c r="A136" t="s">
        <v>369</v>
      </c>
      <c r="B136" t="s">
        <v>370</v>
      </c>
      <c r="C136" t="s">
        <v>114</v>
      </c>
      <c r="D136">
        <v>603.72</v>
      </c>
      <c r="E136">
        <v>45</v>
      </c>
      <c r="F136" t="s">
        <v>102</v>
      </c>
    </row>
    <row r="137" spans="1:6">
      <c r="A137" t="s">
        <v>371</v>
      </c>
      <c r="B137" t="s">
        <v>372</v>
      </c>
      <c r="C137" t="s">
        <v>156</v>
      </c>
      <c r="D137">
        <v>229.05</v>
      </c>
      <c r="E137">
        <v>-8</v>
      </c>
      <c r="F137" t="s">
        <v>105</v>
      </c>
    </row>
    <row r="138" spans="1:6">
      <c r="A138" t="s">
        <v>373</v>
      </c>
      <c r="B138" t="s">
        <v>374</v>
      </c>
      <c r="C138" t="s">
        <v>156</v>
      </c>
      <c r="D138">
        <v>704</v>
      </c>
      <c r="E138">
        <v>68</v>
      </c>
      <c r="F138" t="s">
        <v>108</v>
      </c>
    </row>
    <row r="139" spans="1:6">
      <c r="A139" t="s">
        <v>375</v>
      </c>
      <c r="B139" t="s">
        <v>376</v>
      </c>
      <c r="C139" t="s">
        <v>156</v>
      </c>
      <c r="D139">
        <v>187.68</v>
      </c>
      <c r="E139">
        <v>64</v>
      </c>
      <c r="F139" t="s">
        <v>111</v>
      </c>
    </row>
    <row r="140" spans="1:6">
      <c r="A140" t="s">
        <v>377</v>
      </c>
      <c r="B140" t="s">
        <v>378</v>
      </c>
      <c r="C140" t="s">
        <v>101</v>
      </c>
      <c r="D140">
        <v>794.47</v>
      </c>
      <c r="E140">
        <v>85</v>
      </c>
      <c r="F140" t="s">
        <v>115</v>
      </c>
    </row>
    <row r="141" spans="1:6">
      <c r="A141" t="s">
        <v>379</v>
      </c>
      <c r="B141" t="s">
        <v>380</v>
      </c>
      <c r="C141" t="s">
        <v>114</v>
      </c>
      <c r="D141">
        <v>113.89</v>
      </c>
      <c r="E141">
        <v>-2</v>
      </c>
      <c r="F141" t="s">
        <v>118</v>
      </c>
    </row>
    <row r="142" spans="1:6">
      <c r="A142" t="s">
        <v>381</v>
      </c>
      <c r="B142" t="s">
        <v>382</v>
      </c>
      <c r="C142" t="s">
        <v>89</v>
      </c>
      <c r="D142">
        <v>579.39</v>
      </c>
      <c r="E142">
        <v>62</v>
      </c>
      <c r="F142" t="s">
        <v>86</v>
      </c>
    </row>
    <row r="143" spans="1:6">
      <c r="A143" t="s">
        <v>383</v>
      </c>
      <c r="B143" t="s">
        <v>384</v>
      </c>
      <c r="C143" t="s">
        <v>114</v>
      </c>
      <c r="D143">
        <v>681.47</v>
      </c>
      <c r="E143">
        <v>24</v>
      </c>
      <c r="F143" t="s">
        <v>90</v>
      </c>
    </row>
    <row r="144" spans="1:6">
      <c r="A144" t="s">
        <v>385</v>
      </c>
      <c r="B144" t="s">
        <v>386</v>
      </c>
      <c r="C144" t="s">
        <v>114</v>
      </c>
      <c r="D144">
        <v>86.67</v>
      </c>
      <c r="E144">
        <v>14</v>
      </c>
      <c r="F144" t="s">
        <v>94</v>
      </c>
    </row>
    <row r="145" spans="1:6">
      <c r="A145" t="s">
        <v>387</v>
      </c>
      <c r="B145" t="s">
        <v>388</v>
      </c>
      <c r="C145" t="s">
        <v>101</v>
      </c>
      <c r="D145">
        <v>380.33</v>
      </c>
      <c r="E145">
        <v>38</v>
      </c>
      <c r="F145" t="s">
        <v>98</v>
      </c>
    </row>
    <row r="146" spans="1:6">
      <c r="A146" t="s">
        <v>389</v>
      </c>
      <c r="B146" t="s">
        <v>390</v>
      </c>
      <c r="C146" t="s">
        <v>97</v>
      </c>
      <c r="D146">
        <v>684.58</v>
      </c>
      <c r="E146">
        <v>52</v>
      </c>
      <c r="F146" t="s">
        <v>102</v>
      </c>
    </row>
    <row r="147" spans="1:6">
      <c r="A147" t="s">
        <v>391</v>
      </c>
      <c r="B147" t="s">
        <v>392</v>
      </c>
      <c r="C147" t="s">
        <v>101</v>
      </c>
      <c r="D147">
        <v>618.16999999999996</v>
      </c>
      <c r="E147">
        <v>28</v>
      </c>
      <c r="F147" t="s">
        <v>105</v>
      </c>
    </row>
    <row r="148" spans="1:6">
      <c r="A148" t="s">
        <v>393</v>
      </c>
      <c r="B148" t="s">
        <v>394</v>
      </c>
      <c r="C148" t="s">
        <v>101</v>
      </c>
      <c r="D148">
        <v>156.01</v>
      </c>
      <c r="E148">
        <v>88</v>
      </c>
      <c r="F148" t="s">
        <v>108</v>
      </c>
    </row>
    <row r="149" spans="1:6">
      <c r="A149" t="s">
        <v>395</v>
      </c>
      <c r="B149" t="s">
        <v>396</v>
      </c>
      <c r="C149" t="s">
        <v>97</v>
      </c>
      <c r="D149">
        <v>515.30999999999995</v>
      </c>
      <c r="E149">
        <v>55</v>
      </c>
      <c r="F149" t="s">
        <v>111</v>
      </c>
    </row>
    <row r="150" spans="1:6">
      <c r="A150" t="s">
        <v>397</v>
      </c>
      <c r="B150" t="s">
        <v>398</v>
      </c>
      <c r="C150" t="s">
        <v>114</v>
      </c>
      <c r="D150">
        <v>696.43</v>
      </c>
      <c r="E150">
        <v>53</v>
      </c>
      <c r="F150" t="s">
        <v>115</v>
      </c>
    </row>
    <row r="151" spans="1:6">
      <c r="A151" t="s">
        <v>399</v>
      </c>
      <c r="B151" t="s">
        <v>400</v>
      </c>
      <c r="C151" t="s">
        <v>101</v>
      </c>
      <c r="D151">
        <v>179.42</v>
      </c>
      <c r="E151">
        <v>43</v>
      </c>
      <c r="F151" t="s">
        <v>118</v>
      </c>
    </row>
    <row r="152" spans="1:6">
      <c r="A152" t="s">
        <v>401</v>
      </c>
      <c r="B152" t="s">
        <v>402</v>
      </c>
      <c r="C152" t="s">
        <v>156</v>
      </c>
      <c r="D152">
        <v>129.47999999999999</v>
      </c>
      <c r="E152">
        <v>94</v>
      </c>
      <c r="F152" t="s">
        <v>86</v>
      </c>
    </row>
    <row r="153" spans="1:6">
      <c r="A153" t="s">
        <v>403</v>
      </c>
      <c r="B153" t="s">
        <v>404</v>
      </c>
      <c r="C153" t="s">
        <v>89</v>
      </c>
      <c r="D153">
        <v>447.07</v>
      </c>
      <c r="E153">
        <v>45</v>
      </c>
      <c r="F153" t="s">
        <v>90</v>
      </c>
    </row>
    <row r="154" spans="1:6">
      <c r="A154" t="s">
        <v>405</v>
      </c>
      <c r="B154" t="s">
        <v>406</v>
      </c>
      <c r="C154" t="s">
        <v>156</v>
      </c>
      <c r="D154">
        <v>223.62</v>
      </c>
      <c r="E154">
        <v>71</v>
      </c>
      <c r="F154" t="s">
        <v>94</v>
      </c>
    </row>
    <row r="155" spans="1:6">
      <c r="A155" t="s">
        <v>407</v>
      </c>
      <c r="B155" t="s">
        <v>408</v>
      </c>
      <c r="C155" t="s">
        <v>101</v>
      </c>
      <c r="D155">
        <v>183.53</v>
      </c>
      <c r="E155">
        <v>91</v>
      </c>
      <c r="F155" t="s">
        <v>98</v>
      </c>
    </row>
    <row r="156" spans="1:6">
      <c r="A156" t="s">
        <v>409</v>
      </c>
      <c r="B156" t="s">
        <v>410</v>
      </c>
      <c r="C156" t="s">
        <v>156</v>
      </c>
      <c r="D156">
        <v>183.46</v>
      </c>
      <c r="E156">
        <v>21</v>
      </c>
      <c r="F156" t="s">
        <v>102</v>
      </c>
    </row>
    <row r="157" spans="1:6">
      <c r="A157" t="s">
        <v>411</v>
      </c>
      <c r="B157" t="s">
        <v>412</v>
      </c>
      <c r="C157" t="s">
        <v>89</v>
      </c>
      <c r="D157">
        <v>516.53</v>
      </c>
      <c r="E157">
        <v>8</v>
      </c>
      <c r="F157" t="s">
        <v>105</v>
      </c>
    </row>
    <row r="158" spans="1:6">
      <c r="A158" t="s">
        <v>413</v>
      </c>
      <c r="B158" t="s">
        <v>414</v>
      </c>
      <c r="C158" t="s">
        <v>97</v>
      </c>
      <c r="D158">
        <v>87.03</v>
      </c>
      <c r="E158">
        <v>59</v>
      </c>
      <c r="F158" t="s">
        <v>108</v>
      </c>
    </row>
    <row r="159" spans="1:6">
      <c r="A159" t="s">
        <v>415</v>
      </c>
      <c r="B159" t="s">
        <v>416</v>
      </c>
      <c r="C159" t="s">
        <v>89</v>
      </c>
      <c r="D159">
        <v>685.79</v>
      </c>
      <c r="E159">
        <v>41</v>
      </c>
      <c r="F159" t="s">
        <v>111</v>
      </c>
    </row>
    <row r="160" spans="1:6">
      <c r="A160" t="s">
        <v>417</v>
      </c>
      <c r="B160" t="s">
        <v>418</v>
      </c>
      <c r="C160" t="s">
        <v>101</v>
      </c>
      <c r="D160">
        <v>729.48</v>
      </c>
      <c r="E160">
        <v>53</v>
      </c>
      <c r="F160" t="s">
        <v>115</v>
      </c>
    </row>
    <row r="161" spans="1:6">
      <c r="A161" t="s">
        <v>419</v>
      </c>
      <c r="B161" t="s">
        <v>420</v>
      </c>
      <c r="C161" t="s">
        <v>97</v>
      </c>
      <c r="D161">
        <v>597.36</v>
      </c>
      <c r="E161">
        <v>97</v>
      </c>
      <c r="F161" t="s">
        <v>118</v>
      </c>
    </row>
    <row r="162" spans="1:6">
      <c r="A162" t="s">
        <v>421</v>
      </c>
      <c r="B162" t="s">
        <v>422</v>
      </c>
      <c r="C162" t="s">
        <v>156</v>
      </c>
      <c r="D162">
        <v>529.05999999999995</v>
      </c>
      <c r="E162">
        <v>93</v>
      </c>
      <c r="F162" t="s">
        <v>86</v>
      </c>
    </row>
    <row r="163" spans="1:6">
      <c r="A163" t="s">
        <v>423</v>
      </c>
      <c r="B163" t="s">
        <v>424</v>
      </c>
      <c r="C163" t="s">
        <v>89</v>
      </c>
      <c r="D163">
        <v>558.6</v>
      </c>
      <c r="E163">
        <v>83</v>
      </c>
      <c r="F163" t="s">
        <v>90</v>
      </c>
    </row>
    <row r="164" spans="1:6">
      <c r="A164" t="s">
        <v>425</v>
      </c>
      <c r="B164" t="s">
        <v>426</v>
      </c>
      <c r="C164" t="s">
        <v>156</v>
      </c>
      <c r="D164">
        <v>154.30000000000001</v>
      </c>
      <c r="E164">
        <v>51</v>
      </c>
      <c r="F164" t="s">
        <v>94</v>
      </c>
    </row>
    <row r="165" spans="1:6">
      <c r="A165" t="s">
        <v>427</v>
      </c>
      <c r="B165" t="s">
        <v>428</v>
      </c>
      <c r="C165" t="s">
        <v>89</v>
      </c>
      <c r="D165">
        <v>458.38</v>
      </c>
      <c r="E165">
        <v>64</v>
      </c>
      <c r="F165" t="s">
        <v>98</v>
      </c>
    </row>
    <row r="166" spans="1:6">
      <c r="A166" t="s">
        <v>429</v>
      </c>
      <c r="B166" t="s">
        <v>430</v>
      </c>
      <c r="C166" t="s">
        <v>101</v>
      </c>
      <c r="D166">
        <v>297.58</v>
      </c>
      <c r="E166">
        <v>60</v>
      </c>
      <c r="F166" t="s">
        <v>102</v>
      </c>
    </row>
    <row r="167" spans="1:6">
      <c r="A167" t="s">
        <v>431</v>
      </c>
      <c r="B167" t="s">
        <v>432</v>
      </c>
      <c r="C167" t="s">
        <v>156</v>
      </c>
      <c r="D167">
        <v>579.45000000000005</v>
      </c>
      <c r="E167">
        <v>66</v>
      </c>
      <c r="F167" t="s">
        <v>105</v>
      </c>
    </row>
    <row r="168" spans="1:6">
      <c r="A168" t="s">
        <v>433</v>
      </c>
      <c r="B168" t="s">
        <v>434</v>
      </c>
      <c r="C168" t="s">
        <v>97</v>
      </c>
      <c r="D168">
        <v>182.71</v>
      </c>
      <c r="E168">
        <v>62</v>
      </c>
      <c r="F168" t="s">
        <v>108</v>
      </c>
    </row>
    <row r="169" spans="1:6">
      <c r="A169" t="s">
        <v>435</v>
      </c>
      <c r="B169" t="s">
        <v>436</v>
      </c>
      <c r="C169" t="s">
        <v>89</v>
      </c>
      <c r="D169">
        <v>119.27</v>
      </c>
      <c r="E169">
        <v>22</v>
      </c>
      <c r="F169" t="s">
        <v>111</v>
      </c>
    </row>
    <row r="170" spans="1:6">
      <c r="A170" t="s">
        <v>437</v>
      </c>
      <c r="B170" t="s">
        <v>438</v>
      </c>
      <c r="C170" t="s">
        <v>114</v>
      </c>
      <c r="D170">
        <v>60.27</v>
      </c>
      <c r="E170">
        <v>33</v>
      </c>
      <c r="F170" t="s">
        <v>115</v>
      </c>
    </row>
    <row r="171" spans="1:6">
      <c r="A171" t="s">
        <v>439</v>
      </c>
      <c r="B171" t="s">
        <v>440</v>
      </c>
      <c r="C171" t="s">
        <v>156</v>
      </c>
      <c r="D171">
        <v>200.96</v>
      </c>
      <c r="E171">
        <v>97</v>
      </c>
      <c r="F171" t="s">
        <v>118</v>
      </c>
    </row>
    <row r="172" spans="1:6">
      <c r="A172" t="s">
        <v>441</v>
      </c>
      <c r="B172" t="s">
        <v>442</v>
      </c>
      <c r="C172" t="s">
        <v>114</v>
      </c>
      <c r="D172">
        <v>75.959999999999994</v>
      </c>
      <c r="E172">
        <v>51</v>
      </c>
      <c r="F172" t="s">
        <v>86</v>
      </c>
    </row>
    <row r="173" spans="1:6">
      <c r="A173" t="s">
        <v>443</v>
      </c>
      <c r="B173" t="s">
        <v>444</v>
      </c>
      <c r="C173" t="s">
        <v>89</v>
      </c>
      <c r="D173">
        <v>834.87</v>
      </c>
      <c r="E173">
        <v>62</v>
      </c>
      <c r="F173" t="s">
        <v>90</v>
      </c>
    </row>
    <row r="174" spans="1:6">
      <c r="A174" t="s">
        <v>445</v>
      </c>
      <c r="B174" t="s">
        <v>446</v>
      </c>
      <c r="C174" t="s">
        <v>97</v>
      </c>
      <c r="D174">
        <v>798.81</v>
      </c>
      <c r="E174">
        <v>69</v>
      </c>
      <c r="F174" t="s">
        <v>94</v>
      </c>
    </row>
    <row r="175" spans="1:6">
      <c r="A175" t="s">
        <v>447</v>
      </c>
      <c r="B175" t="s">
        <v>448</v>
      </c>
      <c r="C175" t="s">
        <v>89</v>
      </c>
      <c r="D175">
        <v>107.67</v>
      </c>
      <c r="E175">
        <v>21</v>
      </c>
      <c r="F175" t="s">
        <v>98</v>
      </c>
    </row>
    <row r="176" spans="1:6">
      <c r="A176" t="s">
        <v>449</v>
      </c>
      <c r="B176" t="s">
        <v>450</v>
      </c>
      <c r="C176" t="s">
        <v>89</v>
      </c>
      <c r="D176">
        <v>670.38</v>
      </c>
      <c r="E176">
        <v>74</v>
      </c>
      <c r="F176" t="s">
        <v>102</v>
      </c>
    </row>
    <row r="177" spans="1:6">
      <c r="A177" t="s">
        <v>451</v>
      </c>
      <c r="B177" t="s">
        <v>452</v>
      </c>
      <c r="C177" t="s">
        <v>97</v>
      </c>
      <c r="D177">
        <v>278.58</v>
      </c>
      <c r="E177">
        <v>-2</v>
      </c>
      <c r="F177" t="s">
        <v>105</v>
      </c>
    </row>
    <row r="178" spans="1:6">
      <c r="A178" t="s">
        <v>453</v>
      </c>
      <c r="B178" t="s">
        <v>454</v>
      </c>
      <c r="C178" t="s">
        <v>97</v>
      </c>
      <c r="D178">
        <v>825.88</v>
      </c>
      <c r="E178">
        <v>28</v>
      </c>
      <c r="F178" t="s">
        <v>108</v>
      </c>
    </row>
    <row r="179" spans="1:6">
      <c r="A179" t="s">
        <v>455</v>
      </c>
      <c r="B179" t="s">
        <v>456</v>
      </c>
      <c r="C179" t="s">
        <v>101</v>
      </c>
      <c r="D179">
        <v>747.94</v>
      </c>
      <c r="E179">
        <v>80</v>
      </c>
      <c r="F179" t="s">
        <v>111</v>
      </c>
    </row>
    <row r="180" spans="1:6">
      <c r="A180" t="s">
        <v>457</v>
      </c>
      <c r="B180" t="s">
        <v>458</v>
      </c>
      <c r="C180" t="s">
        <v>114</v>
      </c>
      <c r="D180">
        <v>800.03</v>
      </c>
      <c r="E180">
        <v>91</v>
      </c>
      <c r="F180" t="s">
        <v>115</v>
      </c>
    </row>
    <row r="181" spans="1:6">
      <c r="A181" t="s">
        <v>459</v>
      </c>
      <c r="B181" t="s">
        <v>460</v>
      </c>
      <c r="C181" t="s">
        <v>89</v>
      </c>
      <c r="D181">
        <v>429.74</v>
      </c>
      <c r="E181">
        <v>65</v>
      </c>
      <c r="F181" t="s">
        <v>118</v>
      </c>
    </row>
    <row r="182" spans="1:6">
      <c r="A182" t="s">
        <v>461</v>
      </c>
      <c r="B182" t="s">
        <v>462</v>
      </c>
      <c r="C182" t="s">
        <v>114</v>
      </c>
      <c r="D182">
        <v>363.5</v>
      </c>
      <c r="E182">
        <v>35</v>
      </c>
      <c r="F182" t="s">
        <v>86</v>
      </c>
    </row>
    <row r="183" spans="1:6">
      <c r="A183" t="s">
        <v>463</v>
      </c>
      <c r="B183" t="s">
        <v>464</v>
      </c>
      <c r="C183" t="s">
        <v>89</v>
      </c>
      <c r="D183">
        <v>838.3</v>
      </c>
      <c r="E183">
        <v>62</v>
      </c>
      <c r="F183" t="s">
        <v>90</v>
      </c>
    </row>
    <row r="184" spans="1:6">
      <c r="A184" t="s">
        <v>465</v>
      </c>
      <c r="B184" t="s">
        <v>466</v>
      </c>
      <c r="C184" t="s">
        <v>101</v>
      </c>
      <c r="D184">
        <v>967.51</v>
      </c>
      <c r="E184">
        <v>-7</v>
      </c>
      <c r="F184" t="s">
        <v>94</v>
      </c>
    </row>
    <row r="185" spans="1:6">
      <c r="A185" t="s">
        <v>467</v>
      </c>
      <c r="B185" t="s">
        <v>468</v>
      </c>
      <c r="C185" t="s">
        <v>97</v>
      </c>
      <c r="D185">
        <v>965.71</v>
      </c>
      <c r="E185">
        <v>15</v>
      </c>
      <c r="F185" t="s">
        <v>98</v>
      </c>
    </row>
    <row r="186" spans="1:6">
      <c r="A186" t="s">
        <v>469</v>
      </c>
      <c r="B186" t="s">
        <v>470</v>
      </c>
      <c r="C186" t="s">
        <v>97</v>
      </c>
      <c r="D186">
        <v>392.8</v>
      </c>
      <c r="E186">
        <v>80</v>
      </c>
      <c r="F186" t="s">
        <v>102</v>
      </c>
    </row>
    <row r="187" spans="1:6">
      <c r="A187" t="s">
        <v>471</v>
      </c>
      <c r="B187" t="s">
        <v>472</v>
      </c>
      <c r="C187" t="s">
        <v>156</v>
      </c>
      <c r="D187">
        <v>121.02</v>
      </c>
      <c r="E187">
        <v>63</v>
      </c>
      <c r="F187" t="s">
        <v>105</v>
      </c>
    </row>
    <row r="188" spans="1:6">
      <c r="A188" t="s">
        <v>473</v>
      </c>
      <c r="B188" t="s">
        <v>474</v>
      </c>
      <c r="C188" t="s">
        <v>89</v>
      </c>
      <c r="D188">
        <v>369.8</v>
      </c>
      <c r="E188">
        <v>75</v>
      </c>
      <c r="F188" t="s">
        <v>108</v>
      </c>
    </row>
    <row r="189" spans="1:6">
      <c r="A189" t="s">
        <v>475</v>
      </c>
      <c r="B189" t="s">
        <v>476</v>
      </c>
      <c r="C189" t="s">
        <v>156</v>
      </c>
      <c r="D189">
        <v>68.900000000000006</v>
      </c>
      <c r="E189">
        <v>48</v>
      </c>
      <c r="F189" t="s">
        <v>111</v>
      </c>
    </row>
    <row r="190" spans="1:6">
      <c r="A190" t="s">
        <v>477</v>
      </c>
      <c r="B190" t="s">
        <v>478</v>
      </c>
      <c r="C190" t="s">
        <v>101</v>
      </c>
      <c r="D190">
        <v>130.28</v>
      </c>
      <c r="E190">
        <v>-9</v>
      </c>
      <c r="F190" t="s">
        <v>115</v>
      </c>
    </row>
    <row r="191" spans="1:6">
      <c r="A191" t="s">
        <v>479</v>
      </c>
      <c r="B191" t="s">
        <v>480</v>
      </c>
      <c r="C191" t="s">
        <v>97</v>
      </c>
      <c r="D191">
        <v>825.3</v>
      </c>
      <c r="E191">
        <v>11</v>
      </c>
      <c r="F191" t="s">
        <v>118</v>
      </c>
    </row>
    <row r="192" spans="1:6">
      <c r="A192" t="s">
        <v>481</v>
      </c>
      <c r="B192" t="s">
        <v>482</v>
      </c>
      <c r="C192" t="s">
        <v>101</v>
      </c>
      <c r="D192">
        <v>510.2</v>
      </c>
      <c r="E192">
        <v>31</v>
      </c>
      <c r="F192" t="s">
        <v>86</v>
      </c>
    </row>
    <row r="193" spans="1:6">
      <c r="A193" t="s">
        <v>483</v>
      </c>
      <c r="B193" t="s">
        <v>484</v>
      </c>
      <c r="C193" t="s">
        <v>114</v>
      </c>
      <c r="D193">
        <v>423.57</v>
      </c>
      <c r="E193">
        <v>96</v>
      </c>
      <c r="F193" t="s">
        <v>90</v>
      </c>
    </row>
    <row r="194" spans="1:6">
      <c r="A194" t="s">
        <v>485</v>
      </c>
      <c r="B194" t="s">
        <v>486</v>
      </c>
      <c r="C194" t="s">
        <v>89</v>
      </c>
      <c r="D194">
        <v>582.75</v>
      </c>
      <c r="E194">
        <v>19</v>
      </c>
      <c r="F194" t="s">
        <v>94</v>
      </c>
    </row>
    <row r="195" spans="1:6">
      <c r="A195" t="s">
        <v>487</v>
      </c>
      <c r="B195" t="s">
        <v>488</v>
      </c>
      <c r="C195" t="s">
        <v>89</v>
      </c>
      <c r="D195">
        <v>756.21</v>
      </c>
      <c r="E195">
        <v>57</v>
      </c>
      <c r="F195" t="s">
        <v>98</v>
      </c>
    </row>
    <row r="196" spans="1:6">
      <c r="A196" t="s">
        <v>489</v>
      </c>
      <c r="B196" t="s">
        <v>490</v>
      </c>
      <c r="C196" t="s">
        <v>89</v>
      </c>
      <c r="D196">
        <v>104.9</v>
      </c>
      <c r="E196">
        <v>48</v>
      </c>
      <c r="F196" t="s">
        <v>102</v>
      </c>
    </row>
    <row r="197" spans="1:6">
      <c r="A197" t="s">
        <v>491</v>
      </c>
      <c r="B197" t="s">
        <v>492</v>
      </c>
      <c r="C197" t="s">
        <v>156</v>
      </c>
      <c r="D197">
        <v>288.79000000000002</v>
      </c>
      <c r="E197">
        <v>50</v>
      </c>
      <c r="F197" t="s">
        <v>105</v>
      </c>
    </row>
    <row r="198" spans="1:6">
      <c r="A198" t="s">
        <v>493</v>
      </c>
      <c r="B198" t="s">
        <v>494</v>
      </c>
      <c r="C198" t="s">
        <v>97</v>
      </c>
      <c r="D198">
        <v>341.27</v>
      </c>
      <c r="E198">
        <v>9</v>
      </c>
      <c r="F198" t="s">
        <v>108</v>
      </c>
    </row>
    <row r="199" spans="1:6">
      <c r="A199" t="s">
        <v>495</v>
      </c>
      <c r="B199" t="s">
        <v>496</v>
      </c>
      <c r="C199" t="s">
        <v>114</v>
      </c>
      <c r="D199">
        <v>119.78</v>
      </c>
      <c r="E199">
        <v>90</v>
      </c>
      <c r="F199" t="s">
        <v>111</v>
      </c>
    </row>
    <row r="200" spans="1:6">
      <c r="A200" t="s">
        <v>497</v>
      </c>
      <c r="B200" t="s">
        <v>498</v>
      </c>
      <c r="C200" t="s">
        <v>89</v>
      </c>
      <c r="D200">
        <v>935.99</v>
      </c>
      <c r="E200">
        <v>5</v>
      </c>
      <c r="F200" t="s">
        <v>115</v>
      </c>
    </row>
    <row r="201" spans="1:6">
      <c r="A201" t="s">
        <v>499</v>
      </c>
      <c r="B201" t="s">
        <v>500</v>
      </c>
      <c r="C201" t="s">
        <v>114</v>
      </c>
      <c r="D201">
        <v>137.57</v>
      </c>
      <c r="E201">
        <v>29</v>
      </c>
      <c r="F201" t="s">
        <v>118</v>
      </c>
    </row>
    <row r="202" spans="1:6">
      <c r="A202" t="s">
        <v>501</v>
      </c>
      <c r="B202" t="s">
        <v>502</v>
      </c>
      <c r="C202" t="s">
        <v>89</v>
      </c>
      <c r="D202">
        <v>436.32</v>
      </c>
      <c r="E202">
        <v>52</v>
      </c>
      <c r="F202" t="s">
        <v>86</v>
      </c>
    </row>
    <row r="203" spans="1:6">
      <c r="A203" t="s">
        <v>503</v>
      </c>
      <c r="B203" t="s">
        <v>504</v>
      </c>
      <c r="C203" t="s">
        <v>156</v>
      </c>
      <c r="D203">
        <v>590.45000000000005</v>
      </c>
      <c r="E203">
        <v>40</v>
      </c>
      <c r="F203" t="s">
        <v>90</v>
      </c>
    </row>
    <row r="204" spans="1:6">
      <c r="A204" t="s">
        <v>505</v>
      </c>
      <c r="B204" t="s">
        <v>506</v>
      </c>
      <c r="C204" t="s">
        <v>97</v>
      </c>
      <c r="D204">
        <v>632.98</v>
      </c>
      <c r="E204">
        <v>39</v>
      </c>
      <c r="F204" t="s">
        <v>94</v>
      </c>
    </row>
    <row r="205" spans="1:6">
      <c r="A205" t="s">
        <v>507</v>
      </c>
      <c r="B205" t="s">
        <v>508</v>
      </c>
      <c r="C205" t="s">
        <v>89</v>
      </c>
      <c r="D205">
        <v>667.69</v>
      </c>
      <c r="E205">
        <v>87</v>
      </c>
      <c r="F205" t="s">
        <v>98</v>
      </c>
    </row>
    <row r="206" spans="1:6">
      <c r="A206" t="s">
        <v>509</v>
      </c>
      <c r="B206" t="s">
        <v>510</v>
      </c>
      <c r="C206" t="s">
        <v>97</v>
      </c>
      <c r="D206">
        <v>352.73</v>
      </c>
      <c r="E206">
        <v>17</v>
      </c>
      <c r="F206" t="s">
        <v>102</v>
      </c>
    </row>
    <row r="207" spans="1:6">
      <c r="A207" t="s">
        <v>511</v>
      </c>
      <c r="B207" t="s">
        <v>512</v>
      </c>
      <c r="C207" t="s">
        <v>114</v>
      </c>
      <c r="D207">
        <v>369.53</v>
      </c>
      <c r="E207">
        <v>27</v>
      </c>
      <c r="F207" t="s">
        <v>105</v>
      </c>
    </row>
    <row r="208" spans="1:6">
      <c r="A208" t="s">
        <v>513</v>
      </c>
      <c r="B208" t="s">
        <v>514</v>
      </c>
      <c r="C208" t="s">
        <v>97</v>
      </c>
      <c r="D208">
        <v>72.599999999999994</v>
      </c>
      <c r="E208">
        <v>68</v>
      </c>
      <c r="F208" t="s">
        <v>108</v>
      </c>
    </row>
    <row r="209" spans="1:6">
      <c r="A209" t="s">
        <v>515</v>
      </c>
      <c r="B209" t="s">
        <v>516</v>
      </c>
      <c r="C209" t="s">
        <v>89</v>
      </c>
      <c r="D209">
        <v>280.36</v>
      </c>
      <c r="E209">
        <v>51</v>
      </c>
      <c r="F209" t="s">
        <v>111</v>
      </c>
    </row>
    <row r="210" spans="1:6">
      <c r="A210" t="s">
        <v>517</v>
      </c>
      <c r="B210" t="s">
        <v>518</v>
      </c>
      <c r="C210" t="s">
        <v>97</v>
      </c>
      <c r="D210">
        <v>771.91</v>
      </c>
      <c r="E210">
        <v>12</v>
      </c>
      <c r="F210" t="s">
        <v>115</v>
      </c>
    </row>
    <row r="211" spans="1:6">
      <c r="A211" t="s">
        <v>519</v>
      </c>
      <c r="B211" t="s">
        <v>520</v>
      </c>
      <c r="C211" t="s">
        <v>156</v>
      </c>
      <c r="D211">
        <v>827.87</v>
      </c>
      <c r="E211">
        <v>-4</v>
      </c>
      <c r="F211" t="s">
        <v>118</v>
      </c>
    </row>
    <row r="212" spans="1:6">
      <c r="A212" t="s">
        <v>521</v>
      </c>
      <c r="B212" t="s">
        <v>522</v>
      </c>
      <c r="C212" t="s">
        <v>156</v>
      </c>
      <c r="D212">
        <v>538.16999999999996</v>
      </c>
      <c r="E212">
        <v>84</v>
      </c>
      <c r="F212" t="s">
        <v>86</v>
      </c>
    </row>
    <row r="213" spans="1:6">
      <c r="A213" t="s">
        <v>523</v>
      </c>
      <c r="B213" t="s">
        <v>524</v>
      </c>
      <c r="C213" t="s">
        <v>101</v>
      </c>
      <c r="D213">
        <v>997</v>
      </c>
      <c r="E213">
        <v>18</v>
      </c>
      <c r="F213" t="s">
        <v>90</v>
      </c>
    </row>
    <row r="214" spans="1:6">
      <c r="A214" t="s">
        <v>525</v>
      </c>
      <c r="B214" t="s">
        <v>526</v>
      </c>
      <c r="C214" t="s">
        <v>97</v>
      </c>
      <c r="D214">
        <v>999.58</v>
      </c>
      <c r="E214">
        <v>18</v>
      </c>
      <c r="F214" t="s">
        <v>94</v>
      </c>
    </row>
    <row r="215" spans="1:6">
      <c r="A215" t="s">
        <v>527</v>
      </c>
      <c r="B215" t="s">
        <v>528</v>
      </c>
      <c r="C215" t="s">
        <v>114</v>
      </c>
      <c r="D215">
        <v>61.74</v>
      </c>
      <c r="E215">
        <v>71</v>
      </c>
      <c r="F215" t="s">
        <v>98</v>
      </c>
    </row>
    <row r="216" spans="1:6">
      <c r="A216" t="s">
        <v>529</v>
      </c>
      <c r="B216" t="s">
        <v>530</v>
      </c>
      <c r="C216" t="s">
        <v>89</v>
      </c>
      <c r="D216">
        <v>199.87</v>
      </c>
      <c r="E216">
        <v>37</v>
      </c>
      <c r="F216" t="s">
        <v>102</v>
      </c>
    </row>
    <row r="217" spans="1:6">
      <c r="A217" t="s">
        <v>531</v>
      </c>
      <c r="B217" t="s">
        <v>532</v>
      </c>
      <c r="C217" t="s">
        <v>89</v>
      </c>
      <c r="D217">
        <v>106.32</v>
      </c>
      <c r="E217">
        <v>64</v>
      </c>
      <c r="F217" t="s">
        <v>105</v>
      </c>
    </row>
    <row r="218" spans="1:6">
      <c r="A218" t="s">
        <v>533</v>
      </c>
      <c r="B218" t="s">
        <v>534</v>
      </c>
      <c r="C218" t="s">
        <v>97</v>
      </c>
      <c r="D218">
        <v>328.43</v>
      </c>
      <c r="E218">
        <v>71</v>
      </c>
      <c r="F218" t="s">
        <v>108</v>
      </c>
    </row>
    <row r="219" spans="1:6">
      <c r="A219" t="s">
        <v>535</v>
      </c>
      <c r="B219" t="s">
        <v>536</v>
      </c>
      <c r="C219" t="s">
        <v>89</v>
      </c>
      <c r="D219">
        <v>737.53</v>
      </c>
      <c r="E219">
        <v>-5</v>
      </c>
      <c r="F219" t="s">
        <v>111</v>
      </c>
    </row>
    <row r="220" spans="1:6">
      <c r="A220" t="s">
        <v>537</v>
      </c>
      <c r="B220" t="s">
        <v>538</v>
      </c>
      <c r="C220" t="s">
        <v>89</v>
      </c>
      <c r="D220">
        <v>94.08</v>
      </c>
      <c r="E220">
        <v>70</v>
      </c>
      <c r="F220" t="s">
        <v>115</v>
      </c>
    </row>
    <row r="221" spans="1:6">
      <c r="A221" t="s">
        <v>539</v>
      </c>
      <c r="B221" t="s">
        <v>540</v>
      </c>
      <c r="C221" t="s">
        <v>114</v>
      </c>
      <c r="D221">
        <v>779.68</v>
      </c>
      <c r="E221">
        <v>85</v>
      </c>
      <c r="F221" t="s">
        <v>118</v>
      </c>
    </row>
    <row r="222" spans="1:6">
      <c r="A222" t="s">
        <v>541</v>
      </c>
      <c r="B222" t="s">
        <v>542</v>
      </c>
      <c r="C222" t="s">
        <v>89</v>
      </c>
      <c r="D222">
        <v>236.65</v>
      </c>
      <c r="E222">
        <v>27</v>
      </c>
      <c r="F222" t="s">
        <v>86</v>
      </c>
    </row>
    <row r="223" spans="1:6">
      <c r="A223" t="s">
        <v>543</v>
      </c>
      <c r="B223" t="s">
        <v>544</v>
      </c>
      <c r="C223" t="s">
        <v>89</v>
      </c>
      <c r="D223">
        <v>200.81</v>
      </c>
      <c r="E223">
        <v>31</v>
      </c>
      <c r="F223" t="s">
        <v>90</v>
      </c>
    </row>
    <row r="224" spans="1:6">
      <c r="A224" t="s">
        <v>545</v>
      </c>
      <c r="B224" t="s">
        <v>546</v>
      </c>
      <c r="C224" t="s">
        <v>97</v>
      </c>
      <c r="D224">
        <v>457.29</v>
      </c>
      <c r="E224">
        <v>84</v>
      </c>
      <c r="F224" t="s">
        <v>94</v>
      </c>
    </row>
    <row r="225" spans="1:6">
      <c r="A225" t="s">
        <v>547</v>
      </c>
      <c r="B225" t="s">
        <v>548</v>
      </c>
      <c r="C225" t="s">
        <v>89</v>
      </c>
      <c r="D225">
        <v>584.57000000000005</v>
      </c>
      <c r="E225">
        <v>57</v>
      </c>
      <c r="F225" t="s">
        <v>98</v>
      </c>
    </row>
    <row r="226" spans="1:6">
      <c r="A226" t="s">
        <v>549</v>
      </c>
      <c r="B226" t="s">
        <v>550</v>
      </c>
      <c r="C226" t="s">
        <v>89</v>
      </c>
      <c r="D226">
        <v>355.77</v>
      </c>
      <c r="E226">
        <v>91</v>
      </c>
      <c r="F226" t="s">
        <v>102</v>
      </c>
    </row>
    <row r="227" spans="1:6">
      <c r="A227" t="s">
        <v>551</v>
      </c>
      <c r="B227" t="s">
        <v>552</v>
      </c>
      <c r="C227" t="s">
        <v>114</v>
      </c>
      <c r="D227">
        <v>352.16</v>
      </c>
      <c r="E227">
        <v>10</v>
      </c>
      <c r="F227" t="s">
        <v>105</v>
      </c>
    </row>
    <row r="228" spans="1:6">
      <c r="A228" t="s">
        <v>553</v>
      </c>
      <c r="B228" t="s">
        <v>554</v>
      </c>
      <c r="C228" t="s">
        <v>156</v>
      </c>
      <c r="D228">
        <v>223.48</v>
      </c>
      <c r="E228">
        <v>31</v>
      </c>
      <c r="F228" t="s">
        <v>108</v>
      </c>
    </row>
    <row r="229" spans="1:6">
      <c r="A229" t="s">
        <v>555</v>
      </c>
      <c r="B229" t="s">
        <v>556</v>
      </c>
      <c r="C229" t="s">
        <v>114</v>
      </c>
      <c r="D229">
        <v>780.48</v>
      </c>
      <c r="E229">
        <v>57</v>
      </c>
      <c r="F229" t="s">
        <v>111</v>
      </c>
    </row>
    <row r="230" spans="1:6">
      <c r="A230" t="s">
        <v>557</v>
      </c>
      <c r="B230" t="s">
        <v>558</v>
      </c>
      <c r="C230" t="s">
        <v>156</v>
      </c>
      <c r="D230">
        <v>353.1</v>
      </c>
      <c r="E230">
        <v>84</v>
      </c>
      <c r="F230" t="s">
        <v>115</v>
      </c>
    </row>
    <row r="231" spans="1:6">
      <c r="A231" t="s">
        <v>559</v>
      </c>
      <c r="B231" t="s">
        <v>560</v>
      </c>
      <c r="C231" t="s">
        <v>114</v>
      </c>
      <c r="D231">
        <v>919.1</v>
      </c>
      <c r="E231">
        <v>62</v>
      </c>
      <c r="F231" t="s">
        <v>118</v>
      </c>
    </row>
    <row r="232" spans="1:6">
      <c r="A232" t="s">
        <v>561</v>
      </c>
      <c r="B232" t="s">
        <v>562</v>
      </c>
      <c r="C232" t="s">
        <v>97</v>
      </c>
      <c r="D232">
        <v>411.71</v>
      </c>
      <c r="E232">
        <v>97</v>
      </c>
      <c r="F232" t="s">
        <v>86</v>
      </c>
    </row>
    <row r="233" spans="1:6">
      <c r="A233" t="s">
        <v>563</v>
      </c>
      <c r="B233" t="s">
        <v>564</v>
      </c>
      <c r="C233" t="s">
        <v>156</v>
      </c>
      <c r="D233">
        <v>933.06</v>
      </c>
      <c r="E233">
        <v>81</v>
      </c>
      <c r="F233" t="s">
        <v>90</v>
      </c>
    </row>
    <row r="234" spans="1:6">
      <c r="A234" t="s">
        <v>565</v>
      </c>
      <c r="B234" t="s">
        <v>566</v>
      </c>
      <c r="C234" t="s">
        <v>114</v>
      </c>
      <c r="D234">
        <v>126.73</v>
      </c>
      <c r="E234">
        <v>18</v>
      </c>
      <c r="F234" t="s">
        <v>94</v>
      </c>
    </row>
    <row r="235" spans="1:6">
      <c r="A235" t="s">
        <v>567</v>
      </c>
      <c r="B235" t="s">
        <v>568</v>
      </c>
      <c r="C235" t="s">
        <v>97</v>
      </c>
      <c r="D235">
        <v>321.52999999999997</v>
      </c>
      <c r="E235">
        <v>38</v>
      </c>
      <c r="F235" t="s">
        <v>98</v>
      </c>
    </row>
    <row r="236" spans="1:6">
      <c r="A236" t="s">
        <v>569</v>
      </c>
      <c r="B236" t="s">
        <v>570</v>
      </c>
      <c r="C236" t="s">
        <v>156</v>
      </c>
      <c r="D236">
        <v>609.57000000000005</v>
      </c>
      <c r="E236">
        <v>52</v>
      </c>
      <c r="F236" t="s">
        <v>102</v>
      </c>
    </row>
    <row r="237" spans="1:6">
      <c r="A237" t="s">
        <v>571</v>
      </c>
      <c r="B237" t="s">
        <v>572</v>
      </c>
      <c r="C237" t="s">
        <v>97</v>
      </c>
      <c r="D237">
        <v>656.77</v>
      </c>
      <c r="E237">
        <v>5</v>
      </c>
      <c r="F237" t="s">
        <v>105</v>
      </c>
    </row>
    <row r="238" spans="1:6">
      <c r="A238" t="s">
        <v>573</v>
      </c>
      <c r="B238" t="s">
        <v>574</v>
      </c>
      <c r="C238" t="s">
        <v>101</v>
      </c>
      <c r="D238">
        <v>560.67999999999995</v>
      </c>
      <c r="E238">
        <v>38</v>
      </c>
      <c r="F238" t="s">
        <v>108</v>
      </c>
    </row>
    <row r="239" spans="1:6">
      <c r="A239" t="s">
        <v>575</v>
      </c>
      <c r="B239" t="s">
        <v>576</v>
      </c>
      <c r="C239" t="s">
        <v>156</v>
      </c>
      <c r="D239">
        <v>453.13</v>
      </c>
      <c r="E239">
        <v>96</v>
      </c>
      <c r="F239" t="s">
        <v>111</v>
      </c>
    </row>
    <row r="240" spans="1:6">
      <c r="A240" t="s">
        <v>577</v>
      </c>
      <c r="B240" t="s">
        <v>578</v>
      </c>
      <c r="C240" t="s">
        <v>89</v>
      </c>
      <c r="D240">
        <v>485.92</v>
      </c>
      <c r="E240">
        <v>49</v>
      </c>
      <c r="F240" t="s">
        <v>115</v>
      </c>
    </row>
    <row r="241" spans="1:6">
      <c r="A241" t="s">
        <v>579</v>
      </c>
      <c r="B241" t="s">
        <v>580</v>
      </c>
      <c r="C241" t="s">
        <v>114</v>
      </c>
      <c r="D241">
        <v>187.02</v>
      </c>
      <c r="E241">
        <v>88</v>
      </c>
      <c r="F241" t="s">
        <v>118</v>
      </c>
    </row>
    <row r="242" spans="1:6">
      <c r="A242" t="s">
        <v>581</v>
      </c>
      <c r="B242" t="s">
        <v>582</v>
      </c>
      <c r="C242" t="s">
        <v>114</v>
      </c>
      <c r="D242">
        <v>946.65</v>
      </c>
      <c r="E242">
        <v>40</v>
      </c>
      <c r="F242" t="s">
        <v>86</v>
      </c>
    </row>
    <row r="243" spans="1:6">
      <c r="A243" t="s">
        <v>583</v>
      </c>
      <c r="B243" t="s">
        <v>584</v>
      </c>
      <c r="C243" t="s">
        <v>89</v>
      </c>
      <c r="D243">
        <v>915.71</v>
      </c>
      <c r="E243">
        <v>75</v>
      </c>
      <c r="F243" t="s">
        <v>90</v>
      </c>
    </row>
    <row r="244" spans="1:6">
      <c r="A244" t="s">
        <v>585</v>
      </c>
      <c r="B244" t="s">
        <v>586</v>
      </c>
      <c r="C244" t="s">
        <v>89</v>
      </c>
      <c r="D244">
        <v>232.59</v>
      </c>
      <c r="E244">
        <v>6</v>
      </c>
      <c r="F244" t="s">
        <v>94</v>
      </c>
    </row>
    <row r="245" spans="1:6">
      <c r="A245" t="s">
        <v>587</v>
      </c>
      <c r="B245" t="s">
        <v>588</v>
      </c>
      <c r="C245" t="s">
        <v>101</v>
      </c>
      <c r="D245">
        <v>164.48</v>
      </c>
      <c r="E245">
        <v>90</v>
      </c>
      <c r="F245" t="s">
        <v>98</v>
      </c>
    </row>
    <row r="246" spans="1:6">
      <c r="A246" t="s">
        <v>589</v>
      </c>
      <c r="B246" t="s">
        <v>590</v>
      </c>
      <c r="C246" t="s">
        <v>89</v>
      </c>
      <c r="D246">
        <v>124.29</v>
      </c>
      <c r="E246">
        <v>37</v>
      </c>
      <c r="F246" t="s">
        <v>102</v>
      </c>
    </row>
    <row r="247" spans="1:6">
      <c r="A247" t="s">
        <v>591</v>
      </c>
      <c r="B247" t="s">
        <v>592</v>
      </c>
      <c r="C247" t="s">
        <v>156</v>
      </c>
      <c r="D247">
        <v>285.76</v>
      </c>
      <c r="E247">
        <v>10</v>
      </c>
      <c r="F247" t="s">
        <v>105</v>
      </c>
    </row>
    <row r="248" spans="1:6">
      <c r="A248" t="s">
        <v>593</v>
      </c>
      <c r="B248" t="s">
        <v>594</v>
      </c>
      <c r="C248" t="s">
        <v>89</v>
      </c>
      <c r="D248">
        <v>677.85</v>
      </c>
      <c r="E248">
        <v>43</v>
      </c>
      <c r="F248" t="s">
        <v>108</v>
      </c>
    </row>
    <row r="249" spans="1:6">
      <c r="A249" t="s">
        <v>595</v>
      </c>
      <c r="B249" t="s">
        <v>596</v>
      </c>
      <c r="C249" t="s">
        <v>89</v>
      </c>
      <c r="D249">
        <v>555.08000000000004</v>
      </c>
      <c r="E249">
        <v>93</v>
      </c>
      <c r="F249" t="s">
        <v>111</v>
      </c>
    </row>
    <row r="250" spans="1:6">
      <c r="A250" t="s">
        <v>597</v>
      </c>
      <c r="B250" t="s">
        <v>598</v>
      </c>
      <c r="C250" t="s">
        <v>89</v>
      </c>
      <c r="D250">
        <v>665.57</v>
      </c>
      <c r="E250">
        <v>76</v>
      </c>
      <c r="F250" t="s">
        <v>115</v>
      </c>
    </row>
    <row r="251" spans="1:6">
      <c r="A251" t="s">
        <v>599</v>
      </c>
      <c r="B251" t="s">
        <v>600</v>
      </c>
      <c r="C251" t="s">
        <v>114</v>
      </c>
      <c r="D251">
        <v>946.31</v>
      </c>
      <c r="E251">
        <v>29</v>
      </c>
      <c r="F251" t="s">
        <v>118</v>
      </c>
    </row>
    <row r="252" spans="1:6">
      <c r="A252" t="s">
        <v>601</v>
      </c>
      <c r="B252" t="s">
        <v>602</v>
      </c>
      <c r="C252" t="s">
        <v>101</v>
      </c>
      <c r="D252">
        <v>381.53</v>
      </c>
      <c r="E252">
        <v>-8</v>
      </c>
      <c r="F252" t="s">
        <v>86</v>
      </c>
    </row>
    <row r="253" spans="1:6">
      <c r="A253" t="s">
        <v>603</v>
      </c>
      <c r="B253" t="s">
        <v>604</v>
      </c>
      <c r="C253" t="s">
        <v>101</v>
      </c>
      <c r="D253">
        <v>993.37</v>
      </c>
      <c r="E253">
        <v>-4</v>
      </c>
      <c r="F253" t="s">
        <v>90</v>
      </c>
    </row>
    <row r="254" spans="1:6">
      <c r="A254" t="s">
        <v>605</v>
      </c>
      <c r="B254" t="s">
        <v>606</v>
      </c>
      <c r="C254" t="s">
        <v>89</v>
      </c>
      <c r="D254">
        <v>503.74</v>
      </c>
      <c r="E254">
        <v>36</v>
      </c>
      <c r="F254" t="s">
        <v>94</v>
      </c>
    </row>
    <row r="255" spans="1:6">
      <c r="A255" t="s">
        <v>607</v>
      </c>
      <c r="B255" t="s">
        <v>608</v>
      </c>
      <c r="C255" t="s">
        <v>89</v>
      </c>
      <c r="D255">
        <v>379.61</v>
      </c>
      <c r="E255">
        <v>-1</v>
      </c>
      <c r="F255" t="s">
        <v>98</v>
      </c>
    </row>
    <row r="256" spans="1:6">
      <c r="A256" t="s">
        <v>609</v>
      </c>
      <c r="B256" t="s">
        <v>610</v>
      </c>
      <c r="C256" t="s">
        <v>97</v>
      </c>
      <c r="D256">
        <v>714.28</v>
      </c>
      <c r="E256">
        <v>2</v>
      </c>
      <c r="F256" t="s">
        <v>102</v>
      </c>
    </row>
    <row r="257" spans="1:6">
      <c r="A257" t="s">
        <v>611</v>
      </c>
      <c r="B257" t="s">
        <v>612</v>
      </c>
      <c r="C257" t="s">
        <v>89</v>
      </c>
      <c r="D257">
        <v>658.58</v>
      </c>
      <c r="E257">
        <v>46</v>
      </c>
      <c r="F257" t="s">
        <v>105</v>
      </c>
    </row>
    <row r="258" spans="1:6">
      <c r="A258" t="s">
        <v>613</v>
      </c>
      <c r="B258" t="s">
        <v>614</v>
      </c>
      <c r="C258" t="s">
        <v>97</v>
      </c>
      <c r="D258">
        <v>515.22</v>
      </c>
      <c r="E258">
        <v>34</v>
      </c>
      <c r="F258" t="s">
        <v>108</v>
      </c>
    </row>
    <row r="259" spans="1:6">
      <c r="A259" t="s">
        <v>615</v>
      </c>
      <c r="B259" t="s">
        <v>616</v>
      </c>
      <c r="C259" t="s">
        <v>97</v>
      </c>
      <c r="D259">
        <v>203.71</v>
      </c>
      <c r="E259">
        <v>62</v>
      </c>
      <c r="F259" t="s">
        <v>111</v>
      </c>
    </row>
    <row r="260" spans="1:6">
      <c r="A260" t="s">
        <v>617</v>
      </c>
      <c r="B260" t="s">
        <v>618</v>
      </c>
      <c r="C260" t="s">
        <v>97</v>
      </c>
      <c r="D260">
        <v>628.94000000000005</v>
      </c>
      <c r="E260">
        <v>64</v>
      </c>
      <c r="F260" t="s">
        <v>115</v>
      </c>
    </row>
    <row r="261" spans="1:6">
      <c r="A261" t="s">
        <v>619</v>
      </c>
      <c r="B261" t="s">
        <v>620</v>
      </c>
      <c r="C261" t="s">
        <v>156</v>
      </c>
      <c r="D261">
        <v>388.72</v>
      </c>
      <c r="E261">
        <v>95</v>
      </c>
      <c r="F261" t="s">
        <v>118</v>
      </c>
    </row>
    <row r="262" spans="1:6">
      <c r="A262" t="s">
        <v>621</v>
      </c>
      <c r="B262" t="s">
        <v>622</v>
      </c>
      <c r="C262" t="s">
        <v>101</v>
      </c>
      <c r="D262">
        <v>114.38</v>
      </c>
      <c r="E262">
        <v>89</v>
      </c>
      <c r="F262" t="s">
        <v>86</v>
      </c>
    </row>
    <row r="263" spans="1:6">
      <c r="A263" t="s">
        <v>623</v>
      </c>
      <c r="B263" t="s">
        <v>624</v>
      </c>
      <c r="C263" t="s">
        <v>97</v>
      </c>
      <c r="D263">
        <v>963.67</v>
      </c>
      <c r="E263">
        <v>67</v>
      </c>
      <c r="F263" t="s">
        <v>90</v>
      </c>
    </row>
    <row r="264" spans="1:6">
      <c r="A264" t="s">
        <v>625</v>
      </c>
      <c r="B264" t="s">
        <v>626</v>
      </c>
      <c r="C264" t="s">
        <v>101</v>
      </c>
      <c r="D264">
        <v>119.73</v>
      </c>
      <c r="E264">
        <v>33</v>
      </c>
      <c r="F264" t="s">
        <v>94</v>
      </c>
    </row>
    <row r="265" spans="1:6">
      <c r="A265" t="s">
        <v>627</v>
      </c>
      <c r="B265" t="s">
        <v>628</v>
      </c>
      <c r="C265" t="s">
        <v>114</v>
      </c>
      <c r="D265">
        <v>360.15</v>
      </c>
      <c r="E265">
        <v>47</v>
      </c>
      <c r="F265" t="s">
        <v>98</v>
      </c>
    </row>
    <row r="266" spans="1:6">
      <c r="A266" t="s">
        <v>629</v>
      </c>
      <c r="B266" t="s">
        <v>630</v>
      </c>
      <c r="C266" t="s">
        <v>97</v>
      </c>
      <c r="D266">
        <v>976.24</v>
      </c>
      <c r="E266">
        <v>55</v>
      </c>
      <c r="F266" t="s">
        <v>102</v>
      </c>
    </row>
    <row r="267" spans="1:6">
      <c r="A267" t="s">
        <v>631</v>
      </c>
      <c r="B267" t="s">
        <v>632</v>
      </c>
      <c r="C267" t="s">
        <v>156</v>
      </c>
      <c r="D267">
        <v>797.81</v>
      </c>
      <c r="E267">
        <v>85</v>
      </c>
      <c r="F267" t="s">
        <v>105</v>
      </c>
    </row>
    <row r="268" spans="1:6">
      <c r="A268" t="s">
        <v>633</v>
      </c>
      <c r="B268" t="s">
        <v>634</v>
      </c>
      <c r="C268" t="s">
        <v>114</v>
      </c>
      <c r="D268">
        <v>210.18</v>
      </c>
      <c r="E268">
        <v>82</v>
      </c>
      <c r="F268" t="s">
        <v>108</v>
      </c>
    </row>
    <row r="269" spans="1:6">
      <c r="A269" t="s">
        <v>635</v>
      </c>
      <c r="B269" t="s">
        <v>636</v>
      </c>
      <c r="C269" t="s">
        <v>156</v>
      </c>
      <c r="D269">
        <v>449.69</v>
      </c>
      <c r="E269">
        <v>4</v>
      </c>
      <c r="F269" t="s">
        <v>111</v>
      </c>
    </row>
    <row r="270" spans="1:6">
      <c r="A270" t="s">
        <v>637</v>
      </c>
      <c r="B270" t="s">
        <v>638</v>
      </c>
      <c r="C270" t="s">
        <v>101</v>
      </c>
      <c r="D270">
        <v>256.45</v>
      </c>
      <c r="E270">
        <v>69</v>
      </c>
      <c r="F270" t="s">
        <v>115</v>
      </c>
    </row>
    <row r="271" spans="1:6">
      <c r="A271" t="s">
        <v>639</v>
      </c>
      <c r="B271" t="s">
        <v>640</v>
      </c>
      <c r="C271" t="s">
        <v>101</v>
      </c>
      <c r="D271">
        <v>187.52</v>
      </c>
      <c r="E271">
        <v>71</v>
      </c>
      <c r="F271" t="s">
        <v>118</v>
      </c>
    </row>
    <row r="272" spans="1:6">
      <c r="A272" t="s">
        <v>641</v>
      </c>
      <c r="B272" t="s">
        <v>642</v>
      </c>
      <c r="C272" t="s">
        <v>114</v>
      </c>
      <c r="D272">
        <v>124.46</v>
      </c>
      <c r="E272">
        <v>25</v>
      </c>
      <c r="F272" t="s">
        <v>86</v>
      </c>
    </row>
    <row r="273" spans="1:6">
      <c r="A273" t="s">
        <v>643</v>
      </c>
      <c r="B273" t="s">
        <v>644</v>
      </c>
      <c r="C273" t="s">
        <v>101</v>
      </c>
      <c r="D273">
        <v>312.91000000000003</v>
      </c>
      <c r="E273">
        <v>47</v>
      </c>
      <c r="F273" t="s">
        <v>90</v>
      </c>
    </row>
    <row r="274" spans="1:6">
      <c r="A274" t="s">
        <v>645</v>
      </c>
      <c r="B274" t="s">
        <v>646</v>
      </c>
      <c r="C274" t="s">
        <v>89</v>
      </c>
      <c r="D274">
        <v>989.84</v>
      </c>
      <c r="E274">
        <v>-6</v>
      </c>
      <c r="F274" t="s">
        <v>94</v>
      </c>
    </row>
    <row r="275" spans="1:6">
      <c r="A275" t="s">
        <v>647</v>
      </c>
      <c r="B275" t="s">
        <v>648</v>
      </c>
      <c r="C275" t="s">
        <v>89</v>
      </c>
      <c r="D275">
        <v>417.69</v>
      </c>
      <c r="E275">
        <v>54</v>
      </c>
      <c r="F275" t="s">
        <v>98</v>
      </c>
    </row>
    <row r="276" spans="1:6">
      <c r="A276" t="s">
        <v>649</v>
      </c>
      <c r="B276" t="s">
        <v>650</v>
      </c>
      <c r="C276" t="s">
        <v>156</v>
      </c>
      <c r="D276">
        <v>610.87</v>
      </c>
      <c r="E276">
        <v>32</v>
      </c>
      <c r="F276" t="s">
        <v>102</v>
      </c>
    </row>
    <row r="277" spans="1:6">
      <c r="A277" t="s">
        <v>651</v>
      </c>
      <c r="B277" t="s">
        <v>652</v>
      </c>
      <c r="C277" t="s">
        <v>114</v>
      </c>
      <c r="D277">
        <v>719.3</v>
      </c>
      <c r="E277">
        <v>68</v>
      </c>
      <c r="F277" t="s">
        <v>105</v>
      </c>
    </row>
    <row r="278" spans="1:6">
      <c r="A278" t="s">
        <v>653</v>
      </c>
      <c r="B278" t="s">
        <v>654</v>
      </c>
      <c r="C278" t="s">
        <v>97</v>
      </c>
      <c r="D278">
        <v>554.79</v>
      </c>
      <c r="E278">
        <v>76</v>
      </c>
      <c r="F278" t="s">
        <v>108</v>
      </c>
    </row>
    <row r="279" spans="1:6">
      <c r="A279" t="s">
        <v>655</v>
      </c>
      <c r="B279" t="s">
        <v>656</v>
      </c>
      <c r="C279" t="s">
        <v>101</v>
      </c>
      <c r="D279">
        <v>865.73</v>
      </c>
      <c r="E279">
        <v>48</v>
      </c>
      <c r="F279" t="s">
        <v>111</v>
      </c>
    </row>
    <row r="280" spans="1:6">
      <c r="A280" t="s">
        <v>657</v>
      </c>
      <c r="B280" t="s">
        <v>658</v>
      </c>
      <c r="C280" t="s">
        <v>114</v>
      </c>
      <c r="D280">
        <v>95.29</v>
      </c>
      <c r="E280">
        <v>97</v>
      </c>
      <c r="F280" t="s">
        <v>115</v>
      </c>
    </row>
    <row r="281" spans="1:6">
      <c r="A281" t="s">
        <v>659</v>
      </c>
      <c r="B281" t="s">
        <v>660</v>
      </c>
      <c r="C281" t="s">
        <v>101</v>
      </c>
      <c r="D281">
        <v>276.58999999999997</v>
      </c>
      <c r="E281">
        <v>86</v>
      </c>
      <c r="F281" t="s">
        <v>118</v>
      </c>
    </row>
    <row r="282" spans="1:6">
      <c r="A282" t="s">
        <v>661</v>
      </c>
      <c r="B282" t="s">
        <v>662</v>
      </c>
      <c r="C282" t="s">
        <v>97</v>
      </c>
      <c r="D282">
        <v>192.63</v>
      </c>
      <c r="E282">
        <v>-4</v>
      </c>
      <c r="F282" t="s">
        <v>86</v>
      </c>
    </row>
    <row r="283" spans="1:6">
      <c r="A283" t="s">
        <v>663</v>
      </c>
      <c r="B283" t="s">
        <v>664</v>
      </c>
      <c r="C283" t="s">
        <v>114</v>
      </c>
      <c r="D283">
        <v>966.13</v>
      </c>
      <c r="E283">
        <v>53</v>
      </c>
      <c r="F283" t="s">
        <v>90</v>
      </c>
    </row>
    <row r="284" spans="1:6">
      <c r="A284" t="s">
        <v>665</v>
      </c>
      <c r="B284" t="s">
        <v>666</v>
      </c>
      <c r="C284" t="s">
        <v>97</v>
      </c>
      <c r="D284">
        <v>195.15</v>
      </c>
      <c r="E284">
        <v>45</v>
      </c>
      <c r="F284" t="s">
        <v>94</v>
      </c>
    </row>
    <row r="285" spans="1:6">
      <c r="A285" t="s">
        <v>667</v>
      </c>
      <c r="B285" t="s">
        <v>668</v>
      </c>
      <c r="C285" t="s">
        <v>89</v>
      </c>
      <c r="D285">
        <v>603.51</v>
      </c>
      <c r="E285">
        <v>26</v>
      </c>
      <c r="F285" t="s">
        <v>98</v>
      </c>
    </row>
    <row r="286" spans="1:6">
      <c r="A286" t="s">
        <v>669</v>
      </c>
      <c r="B286" t="s">
        <v>670</v>
      </c>
      <c r="C286" t="s">
        <v>89</v>
      </c>
      <c r="D286">
        <v>403.91</v>
      </c>
      <c r="E286">
        <v>95</v>
      </c>
      <c r="F286" t="s">
        <v>102</v>
      </c>
    </row>
    <row r="287" spans="1:6">
      <c r="A287" t="s">
        <v>671</v>
      </c>
      <c r="B287" t="s">
        <v>672</v>
      </c>
      <c r="C287" t="s">
        <v>89</v>
      </c>
      <c r="D287">
        <v>84.93</v>
      </c>
      <c r="E287">
        <v>43</v>
      </c>
      <c r="F287" t="s">
        <v>105</v>
      </c>
    </row>
    <row r="288" spans="1:6">
      <c r="A288" t="s">
        <v>673</v>
      </c>
      <c r="B288" t="s">
        <v>674</v>
      </c>
      <c r="C288" t="s">
        <v>97</v>
      </c>
      <c r="D288">
        <v>964.55</v>
      </c>
      <c r="E288">
        <v>-9</v>
      </c>
      <c r="F288" t="s">
        <v>108</v>
      </c>
    </row>
    <row r="289" spans="1:6">
      <c r="A289" t="s">
        <v>675</v>
      </c>
      <c r="B289" t="s">
        <v>676</v>
      </c>
      <c r="C289" t="s">
        <v>89</v>
      </c>
      <c r="D289">
        <v>547.49</v>
      </c>
      <c r="E289">
        <v>94</v>
      </c>
      <c r="F289" t="s">
        <v>111</v>
      </c>
    </row>
    <row r="290" spans="1:6">
      <c r="A290" t="s">
        <v>677</v>
      </c>
      <c r="B290" t="s">
        <v>678</v>
      </c>
      <c r="C290" t="s">
        <v>114</v>
      </c>
      <c r="D290">
        <v>830.77</v>
      </c>
      <c r="E290">
        <v>7</v>
      </c>
      <c r="F290" t="s">
        <v>115</v>
      </c>
    </row>
    <row r="291" spans="1:6">
      <c r="A291" t="s">
        <v>679</v>
      </c>
      <c r="B291" t="s">
        <v>680</v>
      </c>
      <c r="C291" t="s">
        <v>101</v>
      </c>
      <c r="D291">
        <v>604.09</v>
      </c>
      <c r="E291">
        <v>6</v>
      </c>
      <c r="F291" t="s">
        <v>118</v>
      </c>
    </row>
    <row r="292" spans="1:6">
      <c r="A292" t="s">
        <v>681</v>
      </c>
      <c r="B292" t="s">
        <v>682</v>
      </c>
      <c r="C292" t="s">
        <v>114</v>
      </c>
      <c r="D292">
        <v>84.84</v>
      </c>
      <c r="E292">
        <v>77</v>
      </c>
      <c r="F292" t="s">
        <v>86</v>
      </c>
    </row>
    <row r="293" spans="1:6">
      <c r="A293" t="s">
        <v>683</v>
      </c>
      <c r="B293" t="s">
        <v>684</v>
      </c>
      <c r="C293" t="s">
        <v>89</v>
      </c>
      <c r="D293">
        <v>925.89</v>
      </c>
      <c r="E293">
        <v>11</v>
      </c>
      <c r="F293" t="s">
        <v>90</v>
      </c>
    </row>
    <row r="294" spans="1:6">
      <c r="A294" t="s">
        <v>685</v>
      </c>
      <c r="B294" t="s">
        <v>686</v>
      </c>
      <c r="C294" t="s">
        <v>101</v>
      </c>
      <c r="D294">
        <v>720.77</v>
      </c>
      <c r="E294">
        <v>65</v>
      </c>
      <c r="F294" t="s">
        <v>94</v>
      </c>
    </row>
    <row r="295" spans="1:6">
      <c r="A295" t="s">
        <v>687</v>
      </c>
      <c r="B295" t="s">
        <v>688</v>
      </c>
      <c r="C295" t="s">
        <v>101</v>
      </c>
      <c r="D295">
        <v>943.6</v>
      </c>
      <c r="E295">
        <v>21</v>
      </c>
      <c r="F295" t="s">
        <v>98</v>
      </c>
    </row>
    <row r="296" spans="1:6">
      <c r="A296" t="s">
        <v>689</v>
      </c>
      <c r="B296" t="s">
        <v>690</v>
      </c>
      <c r="C296" t="s">
        <v>156</v>
      </c>
      <c r="D296">
        <v>838.11</v>
      </c>
      <c r="E296">
        <v>74</v>
      </c>
      <c r="F296" t="s">
        <v>102</v>
      </c>
    </row>
    <row r="297" spans="1:6">
      <c r="A297" t="s">
        <v>691</v>
      </c>
      <c r="B297" t="s">
        <v>692</v>
      </c>
      <c r="C297" t="s">
        <v>89</v>
      </c>
      <c r="D297">
        <v>549.20000000000005</v>
      </c>
      <c r="E297">
        <v>52</v>
      </c>
      <c r="F297" t="s">
        <v>105</v>
      </c>
    </row>
    <row r="298" spans="1:6">
      <c r="A298" t="s">
        <v>693</v>
      </c>
      <c r="B298" t="s">
        <v>694</v>
      </c>
      <c r="C298" t="s">
        <v>97</v>
      </c>
      <c r="D298">
        <v>514.66999999999996</v>
      </c>
      <c r="E298">
        <v>13</v>
      </c>
      <c r="F298" t="s">
        <v>108</v>
      </c>
    </row>
    <row r="299" spans="1:6">
      <c r="A299" t="s">
        <v>695</v>
      </c>
      <c r="B299" t="s">
        <v>696</v>
      </c>
      <c r="C299" t="s">
        <v>89</v>
      </c>
      <c r="D299">
        <v>477.28</v>
      </c>
      <c r="E299">
        <v>17</v>
      </c>
      <c r="F299" t="s">
        <v>111</v>
      </c>
    </row>
    <row r="300" spans="1:6">
      <c r="A300" t="s">
        <v>697</v>
      </c>
      <c r="B300" t="s">
        <v>698</v>
      </c>
      <c r="C300" t="s">
        <v>97</v>
      </c>
      <c r="D300">
        <v>767.76</v>
      </c>
      <c r="E300">
        <v>84</v>
      </c>
      <c r="F300" t="s">
        <v>115</v>
      </c>
    </row>
    <row r="301" spans="1:6">
      <c r="A301" t="s">
        <v>699</v>
      </c>
      <c r="B301" t="s">
        <v>700</v>
      </c>
      <c r="C301" t="s">
        <v>101</v>
      </c>
      <c r="D301">
        <v>584.52</v>
      </c>
      <c r="E301">
        <v>-7</v>
      </c>
      <c r="F301" t="s">
        <v>118</v>
      </c>
    </row>
    <row r="302" spans="1:6">
      <c r="A302" t="s">
        <v>701</v>
      </c>
      <c r="B302" t="s">
        <v>702</v>
      </c>
      <c r="C302" t="s">
        <v>101</v>
      </c>
      <c r="D302">
        <v>624.82000000000005</v>
      </c>
      <c r="E302">
        <v>92</v>
      </c>
      <c r="F302" t="s">
        <v>86</v>
      </c>
    </row>
    <row r="303" spans="1:6">
      <c r="A303" t="s">
        <v>703</v>
      </c>
      <c r="B303" t="s">
        <v>704</v>
      </c>
      <c r="C303" t="s">
        <v>114</v>
      </c>
      <c r="D303">
        <v>324.95999999999998</v>
      </c>
      <c r="E303">
        <v>18</v>
      </c>
      <c r="F303" t="s">
        <v>90</v>
      </c>
    </row>
    <row r="304" spans="1:6">
      <c r="A304" t="s">
        <v>705</v>
      </c>
      <c r="B304" t="s">
        <v>706</v>
      </c>
      <c r="C304" t="s">
        <v>101</v>
      </c>
      <c r="D304">
        <v>337.88</v>
      </c>
      <c r="E304">
        <v>7</v>
      </c>
      <c r="F304" t="s">
        <v>94</v>
      </c>
    </row>
    <row r="305" spans="1:6">
      <c r="A305" t="s">
        <v>707</v>
      </c>
      <c r="B305" t="s">
        <v>708</v>
      </c>
      <c r="C305" t="s">
        <v>101</v>
      </c>
      <c r="D305">
        <v>542.5</v>
      </c>
      <c r="E305">
        <v>70</v>
      </c>
      <c r="F305" t="s">
        <v>98</v>
      </c>
    </row>
    <row r="306" spans="1:6">
      <c r="A306" t="s">
        <v>709</v>
      </c>
      <c r="B306" t="s">
        <v>710</v>
      </c>
      <c r="C306" t="s">
        <v>89</v>
      </c>
      <c r="D306">
        <v>986.72</v>
      </c>
      <c r="E306">
        <v>94</v>
      </c>
      <c r="F306" t="s">
        <v>102</v>
      </c>
    </row>
    <row r="307" spans="1:6">
      <c r="A307" t="s">
        <v>711</v>
      </c>
      <c r="B307" t="s">
        <v>712</v>
      </c>
      <c r="C307" t="s">
        <v>156</v>
      </c>
      <c r="D307">
        <v>103.69</v>
      </c>
      <c r="E307">
        <v>41</v>
      </c>
      <c r="F307" t="s">
        <v>105</v>
      </c>
    </row>
    <row r="308" spans="1:6">
      <c r="A308" t="s">
        <v>713</v>
      </c>
      <c r="B308" t="s">
        <v>714</v>
      </c>
      <c r="C308" t="s">
        <v>114</v>
      </c>
      <c r="D308">
        <v>367.49</v>
      </c>
      <c r="E308">
        <v>31</v>
      </c>
      <c r="F308" t="s">
        <v>108</v>
      </c>
    </row>
    <row r="309" spans="1:6">
      <c r="A309" t="s">
        <v>715</v>
      </c>
      <c r="B309" t="s">
        <v>716</v>
      </c>
      <c r="C309" t="s">
        <v>156</v>
      </c>
      <c r="D309">
        <v>958.77</v>
      </c>
      <c r="E309">
        <v>22</v>
      </c>
      <c r="F309" t="s">
        <v>111</v>
      </c>
    </row>
    <row r="310" spans="1:6">
      <c r="A310" t="s">
        <v>717</v>
      </c>
      <c r="B310" t="s">
        <v>718</v>
      </c>
      <c r="C310" t="s">
        <v>114</v>
      </c>
      <c r="D310">
        <v>328</v>
      </c>
      <c r="E310">
        <v>68</v>
      </c>
      <c r="F310" t="s">
        <v>115</v>
      </c>
    </row>
    <row r="311" spans="1:6">
      <c r="A311" t="s">
        <v>719</v>
      </c>
      <c r="B311" t="s">
        <v>720</v>
      </c>
      <c r="C311" t="s">
        <v>114</v>
      </c>
      <c r="D311">
        <v>909.59</v>
      </c>
      <c r="E311">
        <v>15</v>
      </c>
      <c r="F311" t="s">
        <v>118</v>
      </c>
    </row>
    <row r="312" spans="1:6">
      <c r="A312" t="s">
        <v>721</v>
      </c>
      <c r="B312" t="s">
        <v>722</v>
      </c>
      <c r="C312" t="s">
        <v>156</v>
      </c>
      <c r="D312">
        <v>358.53</v>
      </c>
      <c r="E312">
        <v>35</v>
      </c>
      <c r="F312" t="s">
        <v>86</v>
      </c>
    </row>
    <row r="313" spans="1:6">
      <c r="A313" t="s">
        <v>723</v>
      </c>
      <c r="B313" t="s">
        <v>724</v>
      </c>
      <c r="C313" t="s">
        <v>89</v>
      </c>
      <c r="D313">
        <v>709.05</v>
      </c>
      <c r="E313">
        <v>47</v>
      </c>
      <c r="F313" t="s">
        <v>90</v>
      </c>
    </row>
    <row r="314" spans="1:6">
      <c r="A314" t="s">
        <v>725</v>
      </c>
      <c r="B314" t="s">
        <v>726</v>
      </c>
      <c r="C314" t="s">
        <v>101</v>
      </c>
      <c r="D314">
        <v>894.49</v>
      </c>
      <c r="E314">
        <v>6</v>
      </c>
      <c r="F314" t="s">
        <v>94</v>
      </c>
    </row>
    <row r="315" spans="1:6">
      <c r="A315" t="s">
        <v>727</v>
      </c>
      <c r="B315" t="s">
        <v>728</v>
      </c>
      <c r="C315" t="s">
        <v>97</v>
      </c>
      <c r="D315">
        <v>719.34</v>
      </c>
      <c r="E315">
        <v>44</v>
      </c>
      <c r="F315" t="s">
        <v>98</v>
      </c>
    </row>
    <row r="316" spans="1:6">
      <c r="A316" t="s">
        <v>729</v>
      </c>
      <c r="B316" t="s">
        <v>730</v>
      </c>
      <c r="C316" t="s">
        <v>101</v>
      </c>
      <c r="D316">
        <v>407.29</v>
      </c>
      <c r="E316">
        <v>98</v>
      </c>
      <c r="F316" t="s">
        <v>102</v>
      </c>
    </row>
    <row r="317" spans="1:6">
      <c r="A317" t="s">
        <v>731</v>
      </c>
      <c r="B317" t="s">
        <v>732</v>
      </c>
      <c r="C317" t="s">
        <v>156</v>
      </c>
      <c r="D317">
        <v>754.38</v>
      </c>
      <c r="E317">
        <v>24</v>
      </c>
      <c r="F317" t="s">
        <v>105</v>
      </c>
    </row>
    <row r="318" spans="1:6">
      <c r="A318" t="s">
        <v>733</v>
      </c>
      <c r="B318" t="s">
        <v>734</v>
      </c>
      <c r="C318" t="s">
        <v>89</v>
      </c>
      <c r="D318">
        <v>958.09</v>
      </c>
      <c r="E318">
        <v>84</v>
      </c>
      <c r="F318" t="s">
        <v>108</v>
      </c>
    </row>
    <row r="319" spans="1:6">
      <c r="A319" t="s">
        <v>735</v>
      </c>
      <c r="B319" t="s">
        <v>736</v>
      </c>
      <c r="C319" t="s">
        <v>89</v>
      </c>
      <c r="D319">
        <v>458.26</v>
      </c>
      <c r="E319">
        <v>42</v>
      </c>
      <c r="F319" t="s">
        <v>111</v>
      </c>
    </row>
    <row r="320" spans="1:6">
      <c r="A320" t="s">
        <v>737</v>
      </c>
      <c r="B320" t="s">
        <v>738</v>
      </c>
      <c r="C320" t="s">
        <v>101</v>
      </c>
      <c r="D320">
        <v>793.08</v>
      </c>
      <c r="E320">
        <v>-2</v>
      </c>
      <c r="F320" t="s">
        <v>115</v>
      </c>
    </row>
    <row r="321" spans="1:6">
      <c r="A321" t="s">
        <v>739</v>
      </c>
      <c r="B321" t="s">
        <v>740</v>
      </c>
      <c r="C321" t="s">
        <v>156</v>
      </c>
      <c r="D321">
        <v>954.81</v>
      </c>
      <c r="E321">
        <v>15</v>
      </c>
      <c r="F321" t="s">
        <v>118</v>
      </c>
    </row>
    <row r="322" spans="1:6">
      <c r="A322" t="s">
        <v>741</v>
      </c>
      <c r="B322" t="s">
        <v>742</v>
      </c>
      <c r="C322" t="s">
        <v>156</v>
      </c>
      <c r="D322">
        <v>510.13</v>
      </c>
      <c r="E322">
        <v>47</v>
      </c>
      <c r="F322" t="s">
        <v>86</v>
      </c>
    </row>
    <row r="323" spans="1:6">
      <c r="A323" t="s">
        <v>743</v>
      </c>
      <c r="B323" t="s">
        <v>744</v>
      </c>
      <c r="C323" t="s">
        <v>101</v>
      </c>
      <c r="D323">
        <v>188.34</v>
      </c>
      <c r="E323">
        <v>95</v>
      </c>
      <c r="F323" t="s">
        <v>90</v>
      </c>
    </row>
    <row r="324" spans="1:6">
      <c r="A324" t="s">
        <v>745</v>
      </c>
      <c r="B324" t="s">
        <v>746</v>
      </c>
      <c r="C324" t="s">
        <v>89</v>
      </c>
      <c r="D324">
        <v>184.92</v>
      </c>
      <c r="E324">
        <v>60</v>
      </c>
      <c r="F324" t="s">
        <v>94</v>
      </c>
    </row>
    <row r="325" spans="1:6">
      <c r="A325" t="s">
        <v>747</v>
      </c>
      <c r="B325" t="s">
        <v>748</v>
      </c>
      <c r="C325" t="s">
        <v>89</v>
      </c>
      <c r="D325">
        <v>550.88</v>
      </c>
      <c r="E325">
        <v>99</v>
      </c>
      <c r="F325" t="s">
        <v>98</v>
      </c>
    </row>
    <row r="326" spans="1:6">
      <c r="A326" t="s">
        <v>749</v>
      </c>
      <c r="B326" t="s">
        <v>750</v>
      </c>
      <c r="C326" t="s">
        <v>97</v>
      </c>
      <c r="D326">
        <v>735.53</v>
      </c>
      <c r="E326">
        <v>-9</v>
      </c>
      <c r="F326" t="s">
        <v>102</v>
      </c>
    </row>
    <row r="327" spans="1:6">
      <c r="A327" t="s">
        <v>751</v>
      </c>
      <c r="B327" t="s">
        <v>752</v>
      </c>
      <c r="C327" t="s">
        <v>97</v>
      </c>
      <c r="D327">
        <v>904.83</v>
      </c>
      <c r="E327">
        <v>3</v>
      </c>
      <c r="F327" t="s">
        <v>105</v>
      </c>
    </row>
    <row r="328" spans="1:6">
      <c r="A328" t="s">
        <v>753</v>
      </c>
      <c r="B328" t="s">
        <v>754</v>
      </c>
      <c r="C328" t="s">
        <v>156</v>
      </c>
      <c r="D328">
        <v>880.99</v>
      </c>
      <c r="E328">
        <v>78</v>
      </c>
      <c r="F328" t="s">
        <v>108</v>
      </c>
    </row>
    <row r="329" spans="1:6">
      <c r="A329" t="s">
        <v>755</v>
      </c>
      <c r="B329" t="s">
        <v>756</v>
      </c>
      <c r="C329" t="s">
        <v>156</v>
      </c>
      <c r="D329">
        <v>73.87</v>
      </c>
      <c r="E329">
        <v>72</v>
      </c>
      <c r="F329" t="s">
        <v>111</v>
      </c>
    </row>
    <row r="330" spans="1:6">
      <c r="A330" t="s">
        <v>757</v>
      </c>
      <c r="B330" t="s">
        <v>758</v>
      </c>
      <c r="C330" t="s">
        <v>101</v>
      </c>
      <c r="D330">
        <v>894.91</v>
      </c>
      <c r="E330">
        <v>8</v>
      </c>
      <c r="F330" t="s">
        <v>115</v>
      </c>
    </row>
    <row r="331" spans="1:6">
      <c r="A331" t="s">
        <v>759</v>
      </c>
      <c r="B331" t="s">
        <v>760</v>
      </c>
      <c r="C331" t="s">
        <v>97</v>
      </c>
      <c r="D331">
        <v>572.44000000000005</v>
      </c>
      <c r="E331">
        <v>72</v>
      </c>
      <c r="F331" t="s">
        <v>118</v>
      </c>
    </row>
    <row r="332" spans="1:6">
      <c r="A332" t="s">
        <v>761</v>
      </c>
      <c r="B332" t="s">
        <v>762</v>
      </c>
      <c r="C332" t="s">
        <v>101</v>
      </c>
      <c r="D332">
        <v>648.57000000000005</v>
      </c>
      <c r="E332">
        <v>26</v>
      </c>
      <c r="F332" t="s">
        <v>86</v>
      </c>
    </row>
    <row r="333" spans="1:6">
      <c r="A333" t="s">
        <v>763</v>
      </c>
      <c r="B333" t="s">
        <v>764</v>
      </c>
      <c r="C333" t="s">
        <v>114</v>
      </c>
      <c r="D333">
        <v>736.3</v>
      </c>
      <c r="E333">
        <v>-6</v>
      </c>
      <c r="F333" t="s">
        <v>90</v>
      </c>
    </row>
    <row r="334" spans="1:6">
      <c r="A334" t="s">
        <v>765</v>
      </c>
      <c r="B334" t="s">
        <v>766</v>
      </c>
      <c r="C334" t="s">
        <v>97</v>
      </c>
      <c r="D334">
        <v>777.31</v>
      </c>
      <c r="E334">
        <v>90</v>
      </c>
      <c r="F334" t="s">
        <v>94</v>
      </c>
    </row>
    <row r="335" spans="1:6">
      <c r="A335" t="s">
        <v>767</v>
      </c>
      <c r="B335" t="s">
        <v>768</v>
      </c>
      <c r="C335" t="s">
        <v>101</v>
      </c>
      <c r="D335">
        <v>693.46</v>
      </c>
      <c r="E335">
        <v>75</v>
      </c>
      <c r="F335" t="s">
        <v>98</v>
      </c>
    </row>
    <row r="336" spans="1:6">
      <c r="A336" t="s">
        <v>769</v>
      </c>
      <c r="B336" t="s">
        <v>770</v>
      </c>
      <c r="C336" t="s">
        <v>101</v>
      </c>
      <c r="D336">
        <v>547.19000000000005</v>
      </c>
      <c r="E336">
        <v>30</v>
      </c>
      <c r="F336" t="s">
        <v>102</v>
      </c>
    </row>
    <row r="337" spans="1:6">
      <c r="A337" t="s">
        <v>771</v>
      </c>
      <c r="B337" t="s">
        <v>772</v>
      </c>
      <c r="C337" t="s">
        <v>101</v>
      </c>
      <c r="D337">
        <v>729.63</v>
      </c>
      <c r="E337">
        <v>9</v>
      </c>
      <c r="F337" t="s">
        <v>105</v>
      </c>
    </row>
    <row r="338" spans="1:6">
      <c r="A338" t="s">
        <v>773</v>
      </c>
      <c r="B338" t="s">
        <v>774</v>
      </c>
      <c r="C338" t="s">
        <v>89</v>
      </c>
      <c r="D338">
        <v>287.58</v>
      </c>
      <c r="E338">
        <v>45</v>
      </c>
      <c r="F338" t="s">
        <v>108</v>
      </c>
    </row>
    <row r="339" spans="1:6">
      <c r="A339" t="s">
        <v>775</v>
      </c>
      <c r="B339" t="s">
        <v>776</v>
      </c>
      <c r="C339" t="s">
        <v>114</v>
      </c>
      <c r="D339">
        <v>222.73</v>
      </c>
      <c r="E339">
        <v>62</v>
      </c>
      <c r="F339" t="s">
        <v>111</v>
      </c>
    </row>
    <row r="340" spans="1:6">
      <c r="A340" t="s">
        <v>777</v>
      </c>
      <c r="B340" t="s">
        <v>778</v>
      </c>
      <c r="C340" t="s">
        <v>101</v>
      </c>
      <c r="D340">
        <v>871.83</v>
      </c>
      <c r="E340">
        <v>71</v>
      </c>
      <c r="F340" t="s">
        <v>115</v>
      </c>
    </row>
    <row r="341" spans="1:6">
      <c r="A341" t="s">
        <v>779</v>
      </c>
      <c r="B341" t="s">
        <v>780</v>
      </c>
      <c r="C341" t="s">
        <v>156</v>
      </c>
      <c r="D341">
        <v>236.7</v>
      </c>
      <c r="E341">
        <v>74</v>
      </c>
      <c r="F341" t="s">
        <v>118</v>
      </c>
    </row>
    <row r="342" spans="1:6">
      <c r="A342" t="s">
        <v>781</v>
      </c>
      <c r="B342" t="s">
        <v>782</v>
      </c>
      <c r="C342" t="s">
        <v>101</v>
      </c>
      <c r="D342">
        <v>963.67</v>
      </c>
      <c r="E342">
        <v>23</v>
      </c>
      <c r="F342" t="s">
        <v>86</v>
      </c>
    </row>
    <row r="343" spans="1:6">
      <c r="A343" t="s">
        <v>783</v>
      </c>
      <c r="B343" t="s">
        <v>784</v>
      </c>
      <c r="C343" t="s">
        <v>101</v>
      </c>
      <c r="D343">
        <v>963.39</v>
      </c>
      <c r="E343">
        <v>67</v>
      </c>
      <c r="F343" t="s">
        <v>90</v>
      </c>
    </row>
    <row r="344" spans="1:6">
      <c r="A344" t="s">
        <v>785</v>
      </c>
      <c r="B344" t="s">
        <v>786</v>
      </c>
      <c r="C344" t="s">
        <v>156</v>
      </c>
      <c r="D344">
        <v>385.63</v>
      </c>
      <c r="E344">
        <v>-5</v>
      </c>
      <c r="F344" t="s">
        <v>94</v>
      </c>
    </row>
    <row r="345" spans="1:6">
      <c r="A345" t="s">
        <v>787</v>
      </c>
      <c r="B345" t="s">
        <v>788</v>
      </c>
      <c r="C345" t="s">
        <v>101</v>
      </c>
      <c r="D345">
        <v>596.26</v>
      </c>
      <c r="E345">
        <v>-2</v>
      </c>
      <c r="F345" t="s">
        <v>98</v>
      </c>
    </row>
    <row r="346" spans="1:6">
      <c r="A346" t="s">
        <v>789</v>
      </c>
      <c r="B346" t="s">
        <v>790</v>
      </c>
      <c r="C346" t="s">
        <v>89</v>
      </c>
      <c r="D346">
        <v>656.03</v>
      </c>
      <c r="E346">
        <v>5</v>
      </c>
      <c r="F346" t="s">
        <v>102</v>
      </c>
    </row>
    <row r="347" spans="1:6">
      <c r="A347" t="s">
        <v>791</v>
      </c>
      <c r="B347" t="s">
        <v>792</v>
      </c>
      <c r="C347" t="s">
        <v>101</v>
      </c>
      <c r="D347">
        <v>860.38</v>
      </c>
      <c r="E347">
        <v>4</v>
      </c>
      <c r="F347" t="s">
        <v>105</v>
      </c>
    </row>
    <row r="348" spans="1:6">
      <c r="A348" t="s">
        <v>793</v>
      </c>
      <c r="B348" t="s">
        <v>794</v>
      </c>
      <c r="C348" t="s">
        <v>114</v>
      </c>
      <c r="D348">
        <v>218.11</v>
      </c>
      <c r="E348">
        <v>1</v>
      </c>
      <c r="F348" t="s">
        <v>108</v>
      </c>
    </row>
    <row r="349" spans="1:6">
      <c r="A349" t="s">
        <v>795</v>
      </c>
      <c r="B349" t="s">
        <v>796</v>
      </c>
      <c r="C349" t="s">
        <v>101</v>
      </c>
      <c r="D349">
        <v>869.7</v>
      </c>
      <c r="E349">
        <v>84</v>
      </c>
      <c r="F349" t="s">
        <v>111</v>
      </c>
    </row>
    <row r="350" spans="1:6">
      <c r="A350" t="s">
        <v>797</v>
      </c>
      <c r="B350" t="s">
        <v>798</v>
      </c>
      <c r="C350" t="s">
        <v>97</v>
      </c>
      <c r="D350">
        <v>963.7</v>
      </c>
      <c r="E350">
        <v>4</v>
      </c>
      <c r="F350" t="s">
        <v>115</v>
      </c>
    </row>
    <row r="351" spans="1:6">
      <c r="A351" t="s">
        <v>799</v>
      </c>
      <c r="B351" t="s">
        <v>800</v>
      </c>
      <c r="C351" t="s">
        <v>101</v>
      </c>
      <c r="D351">
        <v>418.92</v>
      </c>
      <c r="E351">
        <v>50</v>
      </c>
      <c r="F351" t="s">
        <v>118</v>
      </c>
    </row>
    <row r="352" spans="1:6">
      <c r="A352" t="s">
        <v>801</v>
      </c>
      <c r="B352" t="s">
        <v>802</v>
      </c>
      <c r="C352" t="s">
        <v>101</v>
      </c>
      <c r="D352">
        <v>261.97000000000003</v>
      </c>
      <c r="E352">
        <v>-4</v>
      </c>
      <c r="F352" t="s">
        <v>86</v>
      </c>
    </row>
    <row r="353" spans="1:6">
      <c r="A353" t="s">
        <v>803</v>
      </c>
      <c r="B353" t="s">
        <v>804</v>
      </c>
      <c r="C353" t="s">
        <v>97</v>
      </c>
      <c r="D353">
        <v>602.94000000000005</v>
      </c>
      <c r="E353">
        <v>37</v>
      </c>
      <c r="F353" t="s">
        <v>90</v>
      </c>
    </row>
    <row r="354" spans="1:6">
      <c r="A354" t="s">
        <v>805</v>
      </c>
      <c r="B354" t="s">
        <v>806</v>
      </c>
      <c r="C354" t="s">
        <v>97</v>
      </c>
      <c r="D354">
        <v>816.26</v>
      </c>
      <c r="E354">
        <v>8</v>
      </c>
      <c r="F354" t="s">
        <v>94</v>
      </c>
    </row>
    <row r="355" spans="1:6">
      <c r="A355" t="s">
        <v>807</v>
      </c>
      <c r="B355" t="s">
        <v>808</v>
      </c>
      <c r="C355" t="s">
        <v>114</v>
      </c>
      <c r="D355">
        <v>211.36</v>
      </c>
      <c r="E355">
        <v>42</v>
      </c>
      <c r="F355" t="s">
        <v>98</v>
      </c>
    </row>
    <row r="356" spans="1:6">
      <c r="A356" t="s">
        <v>809</v>
      </c>
      <c r="B356" t="s">
        <v>810</v>
      </c>
      <c r="C356" t="s">
        <v>97</v>
      </c>
      <c r="D356">
        <v>429.86</v>
      </c>
      <c r="E356">
        <v>58</v>
      </c>
      <c r="F356" t="s">
        <v>102</v>
      </c>
    </row>
    <row r="357" spans="1:6">
      <c r="A357" t="s">
        <v>811</v>
      </c>
      <c r="B357" t="s">
        <v>812</v>
      </c>
      <c r="C357" t="s">
        <v>101</v>
      </c>
      <c r="D357">
        <v>891.65</v>
      </c>
      <c r="E357">
        <v>9</v>
      </c>
      <c r="F357" t="s">
        <v>105</v>
      </c>
    </row>
    <row r="358" spans="1:6">
      <c r="A358" t="s">
        <v>813</v>
      </c>
      <c r="B358" t="s">
        <v>814</v>
      </c>
      <c r="C358" t="s">
        <v>97</v>
      </c>
      <c r="D358">
        <v>683.23</v>
      </c>
      <c r="E358">
        <v>47</v>
      </c>
      <c r="F358" t="s">
        <v>108</v>
      </c>
    </row>
    <row r="359" spans="1:6">
      <c r="A359" t="s">
        <v>815</v>
      </c>
      <c r="B359" t="s">
        <v>816</v>
      </c>
      <c r="C359" t="s">
        <v>101</v>
      </c>
      <c r="D359">
        <v>365.1</v>
      </c>
      <c r="E359">
        <v>80</v>
      </c>
      <c r="F359" t="s">
        <v>111</v>
      </c>
    </row>
    <row r="360" spans="1:6">
      <c r="A360" t="s">
        <v>817</v>
      </c>
      <c r="B360" t="s">
        <v>818</v>
      </c>
      <c r="C360" t="s">
        <v>97</v>
      </c>
      <c r="D360">
        <v>608.1</v>
      </c>
      <c r="E360">
        <v>-2</v>
      </c>
      <c r="F360" t="s">
        <v>115</v>
      </c>
    </row>
    <row r="361" spans="1:6">
      <c r="A361" t="s">
        <v>819</v>
      </c>
      <c r="B361" t="s">
        <v>820</v>
      </c>
      <c r="C361" t="s">
        <v>97</v>
      </c>
      <c r="D361">
        <v>495.37</v>
      </c>
      <c r="E361">
        <v>35</v>
      </c>
      <c r="F361" t="s">
        <v>118</v>
      </c>
    </row>
    <row r="362" spans="1:6">
      <c r="A362" t="s">
        <v>821</v>
      </c>
      <c r="B362" t="s">
        <v>822</v>
      </c>
      <c r="C362" t="s">
        <v>89</v>
      </c>
      <c r="D362">
        <v>999.62</v>
      </c>
      <c r="E362">
        <v>82</v>
      </c>
      <c r="F362" t="s">
        <v>86</v>
      </c>
    </row>
    <row r="363" spans="1:6">
      <c r="A363" t="s">
        <v>823</v>
      </c>
      <c r="B363" t="s">
        <v>824</v>
      </c>
      <c r="C363" t="s">
        <v>101</v>
      </c>
      <c r="D363">
        <v>810.19</v>
      </c>
      <c r="E363">
        <v>25</v>
      </c>
      <c r="F363" t="s">
        <v>90</v>
      </c>
    </row>
    <row r="364" spans="1:6">
      <c r="A364" t="s">
        <v>825</v>
      </c>
      <c r="B364" t="s">
        <v>826</v>
      </c>
      <c r="C364" t="s">
        <v>156</v>
      </c>
      <c r="D364">
        <v>688.72</v>
      </c>
      <c r="E364">
        <v>45</v>
      </c>
      <c r="F364" t="s">
        <v>94</v>
      </c>
    </row>
    <row r="365" spans="1:6">
      <c r="A365" t="s">
        <v>827</v>
      </c>
      <c r="B365" t="s">
        <v>828</v>
      </c>
      <c r="C365" t="s">
        <v>97</v>
      </c>
      <c r="D365">
        <v>804.4</v>
      </c>
      <c r="E365">
        <v>88</v>
      </c>
      <c r="F365" t="s">
        <v>98</v>
      </c>
    </row>
    <row r="366" spans="1:6">
      <c r="A366" t="s">
        <v>829</v>
      </c>
      <c r="B366" t="s">
        <v>830</v>
      </c>
      <c r="C366" t="s">
        <v>89</v>
      </c>
      <c r="D366">
        <v>501.69</v>
      </c>
      <c r="E366">
        <v>70</v>
      </c>
      <c r="F366" t="s">
        <v>102</v>
      </c>
    </row>
    <row r="367" spans="1:6">
      <c r="A367" t="s">
        <v>831</v>
      </c>
      <c r="B367" t="s">
        <v>832</v>
      </c>
      <c r="C367" t="s">
        <v>89</v>
      </c>
      <c r="D367">
        <v>863.92</v>
      </c>
      <c r="E367">
        <v>17</v>
      </c>
      <c r="F367" t="s">
        <v>105</v>
      </c>
    </row>
    <row r="368" spans="1:6">
      <c r="A368" t="s">
        <v>833</v>
      </c>
      <c r="B368" t="s">
        <v>834</v>
      </c>
      <c r="C368" t="s">
        <v>114</v>
      </c>
      <c r="D368">
        <v>653.04</v>
      </c>
      <c r="E368">
        <v>43</v>
      </c>
      <c r="F368" t="s">
        <v>108</v>
      </c>
    </row>
    <row r="369" spans="1:6">
      <c r="A369" t="s">
        <v>835</v>
      </c>
      <c r="B369" t="s">
        <v>836</v>
      </c>
      <c r="C369" t="s">
        <v>89</v>
      </c>
      <c r="D369">
        <v>287.69</v>
      </c>
      <c r="E369">
        <v>8</v>
      </c>
      <c r="F369" t="s">
        <v>111</v>
      </c>
    </row>
    <row r="370" spans="1:6">
      <c r="A370" t="s">
        <v>837</v>
      </c>
      <c r="B370" t="s">
        <v>838</v>
      </c>
      <c r="C370" t="s">
        <v>89</v>
      </c>
      <c r="D370">
        <v>175.63</v>
      </c>
      <c r="E370">
        <v>3</v>
      </c>
      <c r="F370" t="s">
        <v>115</v>
      </c>
    </row>
    <row r="371" spans="1:6">
      <c r="A371" t="s">
        <v>839</v>
      </c>
      <c r="B371" t="s">
        <v>840</v>
      </c>
      <c r="C371" t="s">
        <v>89</v>
      </c>
      <c r="D371">
        <v>650.97</v>
      </c>
      <c r="E371">
        <v>34</v>
      </c>
      <c r="F371" t="s">
        <v>118</v>
      </c>
    </row>
    <row r="372" spans="1:6">
      <c r="A372" t="s">
        <v>841</v>
      </c>
      <c r="B372" t="s">
        <v>842</v>
      </c>
      <c r="C372" t="s">
        <v>89</v>
      </c>
      <c r="D372">
        <v>778.01</v>
      </c>
      <c r="E372">
        <v>75</v>
      </c>
      <c r="F372" t="s">
        <v>86</v>
      </c>
    </row>
    <row r="373" spans="1:6">
      <c r="A373" t="s">
        <v>843</v>
      </c>
      <c r="B373" t="s">
        <v>844</v>
      </c>
      <c r="C373" t="s">
        <v>97</v>
      </c>
      <c r="D373">
        <v>358.25</v>
      </c>
      <c r="E373">
        <v>61</v>
      </c>
      <c r="F373" t="s">
        <v>90</v>
      </c>
    </row>
    <row r="374" spans="1:6">
      <c r="A374" t="s">
        <v>845</v>
      </c>
      <c r="B374" t="s">
        <v>846</v>
      </c>
      <c r="C374" t="s">
        <v>97</v>
      </c>
      <c r="D374">
        <v>323</v>
      </c>
      <c r="E374">
        <v>-8</v>
      </c>
      <c r="F374" t="s">
        <v>94</v>
      </c>
    </row>
    <row r="375" spans="1:6">
      <c r="A375" t="s">
        <v>847</v>
      </c>
      <c r="B375" t="s">
        <v>848</v>
      </c>
      <c r="C375" t="s">
        <v>114</v>
      </c>
      <c r="D375">
        <v>384.14</v>
      </c>
      <c r="E375">
        <v>15</v>
      </c>
      <c r="F375" t="s">
        <v>98</v>
      </c>
    </row>
    <row r="376" spans="1:6">
      <c r="A376" t="s">
        <v>849</v>
      </c>
      <c r="B376" t="s">
        <v>850</v>
      </c>
      <c r="C376" t="s">
        <v>114</v>
      </c>
      <c r="D376">
        <v>952.49</v>
      </c>
      <c r="E376">
        <v>89</v>
      </c>
      <c r="F376" t="s">
        <v>102</v>
      </c>
    </row>
    <row r="377" spans="1:6">
      <c r="A377" t="s">
        <v>851</v>
      </c>
      <c r="B377" t="s">
        <v>852</v>
      </c>
      <c r="C377" t="s">
        <v>114</v>
      </c>
      <c r="D377">
        <v>628.48</v>
      </c>
      <c r="E377">
        <v>27</v>
      </c>
      <c r="F377" t="s">
        <v>105</v>
      </c>
    </row>
    <row r="378" spans="1:6">
      <c r="A378" t="s">
        <v>853</v>
      </c>
      <c r="B378" t="s">
        <v>854</v>
      </c>
      <c r="C378" t="s">
        <v>156</v>
      </c>
      <c r="D378">
        <v>827.56</v>
      </c>
      <c r="E378">
        <v>92</v>
      </c>
      <c r="F378" t="s">
        <v>108</v>
      </c>
    </row>
    <row r="379" spans="1:6">
      <c r="A379" t="s">
        <v>855</v>
      </c>
      <c r="B379" t="s">
        <v>856</v>
      </c>
      <c r="C379" t="s">
        <v>97</v>
      </c>
      <c r="D379">
        <v>695.98</v>
      </c>
      <c r="E379">
        <v>57</v>
      </c>
      <c r="F379" t="s">
        <v>111</v>
      </c>
    </row>
    <row r="380" spans="1:6">
      <c r="A380" t="s">
        <v>857</v>
      </c>
      <c r="B380" t="s">
        <v>858</v>
      </c>
      <c r="C380" t="s">
        <v>101</v>
      </c>
      <c r="D380">
        <v>902.33</v>
      </c>
      <c r="E380">
        <v>46</v>
      </c>
      <c r="F380" t="s">
        <v>115</v>
      </c>
    </row>
    <row r="381" spans="1:6">
      <c r="A381" t="s">
        <v>859</v>
      </c>
      <c r="B381" t="s">
        <v>860</v>
      </c>
      <c r="C381" t="s">
        <v>97</v>
      </c>
      <c r="D381">
        <v>420.41</v>
      </c>
      <c r="E381">
        <v>58</v>
      </c>
      <c r="F381" t="s">
        <v>118</v>
      </c>
    </row>
    <row r="382" spans="1:6">
      <c r="A382" t="s">
        <v>861</v>
      </c>
      <c r="B382" t="s">
        <v>862</v>
      </c>
      <c r="C382" t="s">
        <v>97</v>
      </c>
      <c r="D382">
        <v>798.08</v>
      </c>
      <c r="E382">
        <v>97</v>
      </c>
      <c r="F382" t="s">
        <v>86</v>
      </c>
    </row>
    <row r="383" spans="1:6">
      <c r="A383" t="s">
        <v>863</v>
      </c>
      <c r="B383" t="s">
        <v>864</v>
      </c>
      <c r="C383" t="s">
        <v>101</v>
      </c>
      <c r="D383">
        <v>468.78</v>
      </c>
      <c r="E383">
        <v>-5</v>
      </c>
      <c r="F383" t="s">
        <v>90</v>
      </c>
    </row>
    <row r="384" spans="1:6">
      <c r="A384" t="s">
        <v>865</v>
      </c>
      <c r="B384" t="s">
        <v>866</v>
      </c>
      <c r="C384" t="s">
        <v>101</v>
      </c>
      <c r="D384">
        <v>846.18</v>
      </c>
      <c r="E384">
        <v>37</v>
      </c>
      <c r="F384" t="s">
        <v>94</v>
      </c>
    </row>
    <row r="385" spans="1:6">
      <c r="A385" t="s">
        <v>867</v>
      </c>
      <c r="B385" t="s">
        <v>868</v>
      </c>
      <c r="C385" t="s">
        <v>156</v>
      </c>
      <c r="D385">
        <v>668.87</v>
      </c>
      <c r="E385">
        <v>82</v>
      </c>
      <c r="F385" t="s">
        <v>98</v>
      </c>
    </row>
    <row r="386" spans="1:6">
      <c r="A386" t="s">
        <v>869</v>
      </c>
      <c r="B386" t="s">
        <v>870</v>
      </c>
      <c r="C386" t="s">
        <v>97</v>
      </c>
      <c r="D386">
        <v>285.81</v>
      </c>
      <c r="E386">
        <v>1</v>
      </c>
      <c r="F386" t="s">
        <v>102</v>
      </c>
    </row>
    <row r="387" spans="1:6">
      <c r="A387" t="s">
        <v>871</v>
      </c>
      <c r="B387" t="s">
        <v>872</v>
      </c>
      <c r="C387" t="s">
        <v>89</v>
      </c>
      <c r="D387">
        <v>901.5</v>
      </c>
      <c r="E387">
        <v>62</v>
      </c>
      <c r="F387" t="s">
        <v>105</v>
      </c>
    </row>
    <row r="388" spans="1:6">
      <c r="A388" t="s">
        <v>873</v>
      </c>
      <c r="B388" t="s">
        <v>874</v>
      </c>
      <c r="C388" t="s">
        <v>89</v>
      </c>
      <c r="D388">
        <v>228.39</v>
      </c>
      <c r="E388">
        <v>-7</v>
      </c>
      <c r="F388" t="s">
        <v>108</v>
      </c>
    </row>
    <row r="389" spans="1:6">
      <c r="A389" t="s">
        <v>875</v>
      </c>
      <c r="B389" t="s">
        <v>876</v>
      </c>
      <c r="C389" t="s">
        <v>97</v>
      </c>
      <c r="D389">
        <v>905.74</v>
      </c>
      <c r="E389">
        <v>59</v>
      </c>
      <c r="F389" t="s">
        <v>111</v>
      </c>
    </row>
    <row r="390" spans="1:6">
      <c r="A390" t="s">
        <v>877</v>
      </c>
      <c r="B390" t="s">
        <v>878</v>
      </c>
      <c r="C390" t="s">
        <v>101</v>
      </c>
      <c r="D390">
        <v>821.84</v>
      </c>
      <c r="E390">
        <v>74</v>
      </c>
      <c r="F390" t="s">
        <v>115</v>
      </c>
    </row>
    <row r="391" spans="1:6">
      <c r="A391" t="s">
        <v>879</v>
      </c>
      <c r="B391" t="s">
        <v>880</v>
      </c>
      <c r="C391" t="s">
        <v>114</v>
      </c>
      <c r="D391">
        <v>99.42</v>
      </c>
      <c r="E391">
        <v>92</v>
      </c>
      <c r="F391" t="s">
        <v>118</v>
      </c>
    </row>
    <row r="392" spans="1:6">
      <c r="A392" t="s">
        <v>881</v>
      </c>
      <c r="B392" t="s">
        <v>882</v>
      </c>
      <c r="C392" t="s">
        <v>89</v>
      </c>
      <c r="D392">
        <v>888.88</v>
      </c>
      <c r="E392">
        <v>1</v>
      </c>
      <c r="F392" t="s">
        <v>86</v>
      </c>
    </row>
    <row r="393" spans="1:6">
      <c r="A393" t="s">
        <v>883</v>
      </c>
      <c r="B393" t="s">
        <v>884</v>
      </c>
      <c r="C393" t="s">
        <v>114</v>
      </c>
      <c r="D393">
        <v>513.07000000000005</v>
      </c>
      <c r="E393">
        <v>64</v>
      </c>
      <c r="F393" t="s">
        <v>90</v>
      </c>
    </row>
    <row r="394" spans="1:6">
      <c r="A394" t="s">
        <v>885</v>
      </c>
      <c r="B394" t="s">
        <v>886</v>
      </c>
      <c r="C394" t="s">
        <v>114</v>
      </c>
      <c r="D394">
        <v>145.58000000000001</v>
      </c>
      <c r="E394">
        <v>-4</v>
      </c>
      <c r="F394" t="s">
        <v>94</v>
      </c>
    </row>
    <row r="395" spans="1:6">
      <c r="A395" t="s">
        <v>887</v>
      </c>
      <c r="B395" t="s">
        <v>888</v>
      </c>
      <c r="C395" t="s">
        <v>89</v>
      </c>
      <c r="D395">
        <v>958.08</v>
      </c>
      <c r="E395">
        <v>13</v>
      </c>
      <c r="F395" t="s">
        <v>98</v>
      </c>
    </row>
    <row r="396" spans="1:6">
      <c r="A396" t="s">
        <v>889</v>
      </c>
      <c r="B396" t="s">
        <v>890</v>
      </c>
      <c r="C396" t="s">
        <v>156</v>
      </c>
      <c r="D396">
        <v>357.59</v>
      </c>
      <c r="E396">
        <v>21</v>
      </c>
      <c r="F396" t="s">
        <v>102</v>
      </c>
    </row>
    <row r="397" spans="1:6">
      <c r="A397" t="s">
        <v>891</v>
      </c>
      <c r="B397" t="s">
        <v>892</v>
      </c>
      <c r="C397" t="s">
        <v>156</v>
      </c>
      <c r="D397">
        <v>371.86</v>
      </c>
      <c r="E397">
        <v>54</v>
      </c>
      <c r="F397" t="s">
        <v>105</v>
      </c>
    </row>
    <row r="398" spans="1:6">
      <c r="A398" t="s">
        <v>893</v>
      </c>
      <c r="B398" t="s">
        <v>894</v>
      </c>
      <c r="C398" t="s">
        <v>89</v>
      </c>
      <c r="D398">
        <v>466.12</v>
      </c>
      <c r="E398">
        <v>37</v>
      </c>
      <c r="F398" t="s">
        <v>108</v>
      </c>
    </row>
    <row r="399" spans="1:6">
      <c r="A399" t="s">
        <v>895</v>
      </c>
      <c r="B399" t="s">
        <v>896</v>
      </c>
      <c r="C399" t="s">
        <v>89</v>
      </c>
      <c r="D399">
        <v>822.82</v>
      </c>
      <c r="E399">
        <v>84</v>
      </c>
      <c r="F399" t="s">
        <v>111</v>
      </c>
    </row>
    <row r="400" spans="1:6">
      <c r="A400" t="s">
        <v>897</v>
      </c>
      <c r="B400" t="s">
        <v>898</v>
      </c>
      <c r="C400" t="s">
        <v>101</v>
      </c>
      <c r="D400">
        <v>759.65</v>
      </c>
      <c r="E400">
        <v>75</v>
      </c>
      <c r="F400" t="s">
        <v>115</v>
      </c>
    </row>
    <row r="401" spans="1:6">
      <c r="A401" t="s">
        <v>899</v>
      </c>
      <c r="B401" t="s">
        <v>900</v>
      </c>
      <c r="C401" t="s">
        <v>97</v>
      </c>
      <c r="D401">
        <v>715.03</v>
      </c>
      <c r="E401">
        <v>-6</v>
      </c>
      <c r="F401" t="s">
        <v>118</v>
      </c>
    </row>
    <row r="402" spans="1:6">
      <c r="A402" t="s">
        <v>901</v>
      </c>
      <c r="B402" t="s">
        <v>902</v>
      </c>
      <c r="C402" t="s">
        <v>156</v>
      </c>
      <c r="D402">
        <v>960.29</v>
      </c>
      <c r="E402">
        <v>23</v>
      </c>
      <c r="F402" t="s">
        <v>86</v>
      </c>
    </row>
    <row r="403" spans="1:6">
      <c r="A403" t="s">
        <v>903</v>
      </c>
      <c r="B403" t="s">
        <v>904</v>
      </c>
      <c r="C403" t="s">
        <v>156</v>
      </c>
      <c r="D403">
        <v>499.52</v>
      </c>
      <c r="E403">
        <v>48</v>
      </c>
      <c r="F403" t="s">
        <v>90</v>
      </c>
    </row>
    <row r="404" spans="1:6">
      <c r="A404" t="s">
        <v>905</v>
      </c>
      <c r="B404" t="s">
        <v>906</v>
      </c>
      <c r="C404" t="s">
        <v>156</v>
      </c>
      <c r="D404">
        <v>931.21</v>
      </c>
      <c r="E404">
        <v>2</v>
      </c>
      <c r="F404" t="s">
        <v>94</v>
      </c>
    </row>
    <row r="405" spans="1:6">
      <c r="A405" t="s">
        <v>907</v>
      </c>
      <c r="B405" t="s">
        <v>908</v>
      </c>
      <c r="C405" t="s">
        <v>89</v>
      </c>
      <c r="D405">
        <v>931.88</v>
      </c>
      <c r="E405">
        <v>53</v>
      </c>
      <c r="F405" t="s">
        <v>98</v>
      </c>
    </row>
    <row r="406" spans="1:6">
      <c r="A406" t="s">
        <v>909</v>
      </c>
      <c r="B406" t="s">
        <v>910</v>
      </c>
      <c r="C406" t="s">
        <v>114</v>
      </c>
      <c r="D406">
        <v>895.39</v>
      </c>
      <c r="E406">
        <v>78</v>
      </c>
      <c r="F406" t="s">
        <v>102</v>
      </c>
    </row>
    <row r="407" spans="1:6">
      <c r="A407" t="s">
        <v>911</v>
      </c>
      <c r="B407" t="s">
        <v>912</v>
      </c>
      <c r="C407" t="s">
        <v>101</v>
      </c>
      <c r="D407">
        <v>736.04</v>
      </c>
      <c r="E407">
        <v>-9</v>
      </c>
      <c r="F407" t="s">
        <v>105</v>
      </c>
    </row>
    <row r="408" spans="1:6">
      <c r="A408" t="s">
        <v>913</v>
      </c>
      <c r="B408" t="s">
        <v>914</v>
      </c>
      <c r="C408" t="s">
        <v>89</v>
      </c>
      <c r="D408">
        <v>315.91000000000003</v>
      </c>
      <c r="E408">
        <v>63</v>
      </c>
      <c r="F408" t="s">
        <v>108</v>
      </c>
    </row>
    <row r="409" spans="1:6">
      <c r="A409" t="s">
        <v>915</v>
      </c>
      <c r="B409" t="s">
        <v>916</v>
      </c>
      <c r="C409" t="s">
        <v>156</v>
      </c>
      <c r="D409">
        <v>390.05</v>
      </c>
      <c r="E409">
        <v>70</v>
      </c>
      <c r="F409" t="s">
        <v>111</v>
      </c>
    </row>
    <row r="410" spans="1:6">
      <c r="A410" t="s">
        <v>917</v>
      </c>
      <c r="B410" t="s">
        <v>918</v>
      </c>
      <c r="C410" t="s">
        <v>101</v>
      </c>
      <c r="D410">
        <v>86.41</v>
      </c>
      <c r="E410">
        <v>64</v>
      </c>
      <c r="F410" t="s">
        <v>115</v>
      </c>
    </row>
    <row r="411" spans="1:6">
      <c r="A411" t="s">
        <v>919</v>
      </c>
      <c r="B411" t="s">
        <v>920</v>
      </c>
      <c r="C411" t="s">
        <v>114</v>
      </c>
      <c r="D411">
        <v>297.97000000000003</v>
      </c>
      <c r="E411">
        <v>41</v>
      </c>
      <c r="F411" t="s">
        <v>118</v>
      </c>
    </row>
    <row r="412" spans="1:6">
      <c r="A412" t="s">
        <v>921</v>
      </c>
      <c r="B412" t="s">
        <v>922</v>
      </c>
      <c r="C412" t="s">
        <v>114</v>
      </c>
      <c r="D412">
        <v>982.28</v>
      </c>
      <c r="E412">
        <v>14</v>
      </c>
      <c r="F412" t="s">
        <v>86</v>
      </c>
    </row>
    <row r="413" spans="1:6">
      <c r="A413" t="s">
        <v>923</v>
      </c>
      <c r="B413" t="s">
        <v>924</v>
      </c>
      <c r="C413" t="s">
        <v>101</v>
      </c>
      <c r="D413">
        <v>229.63</v>
      </c>
      <c r="E413">
        <v>-7</v>
      </c>
      <c r="F413" t="s">
        <v>90</v>
      </c>
    </row>
    <row r="414" spans="1:6">
      <c r="A414" t="s">
        <v>925</v>
      </c>
      <c r="B414" t="s">
        <v>926</v>
      </c>
      <c r="C414" t="s">
        <v>114</v>
      </c>
      <c r="D414">
        <v>324.85000000000002</v>
      </c>
      <c r="E414">
        <v>8</v>
      </c>
      <c r="F414" t="s">
        <v>94</v>
      </c>
    </row>
    <row r="415" spans="1:6">
      <c r="A415" t="s">
        <v>927</v>
      </c>
      <c r="B415" t="s">
        <v>928</v>
      </c>
      <c r="C415" t="s">
        <v>101</v>
      </c>
      <c r="D415">
        <v>380.52</v>
      </c>
      <c r="E415">
        <v>49</v>
      </c>
      <c r="F415" t="s">
        <v>98</v>
      </c>
    </row>
    <row r="416" spans="1:6">
      <c r="A416" t="s">
        <v>929</v>
      </c>
      <c r="B416" t="s">
        <v>930</v>
      </c>
      <c r="C416" t="s">
        <v>89</v>
      </c>
      <c r="D416">
        <v>877.99</v>
      </c>
      <c r="E416">
        <v>30</v>
      </c>
      <c r="F416" t="s">
        <v>102</v>
      </c>
    </row>
    <row r="417" spans="1:6">
      <c r="A417" t="s">
        <v>931</v>
      </c>
      <c r="B417" t="s">
        <v>932</v>
      </c>
      <c r="C417" t="s">
        <v>156</v>
      </c>
      <c r="D417">
        <v>938.45</v>
      </c>
      <c r="E417">
        <v>53</v>
      </c>
      <c r="F417" t="s">
        <v>105</v>
      </c>
    </row>
    <row r="418" spans="1:6">
      <c r="A418" t="s">
        <v>933</v>
      </c>
      <c r="B418" t="s">
        <v>934</v>
      </c>
      <c r="C418" t="s">
        <v>97</v>
      </c>
      <c r="D418">
        <v>713.93</v>
      </c>
      <c r="E418">
        <v>47</v>
      </c>
      <c r="F418" t="s">
        <v>108</v>
      </c>
    </row>
    <row r="419" spans="1:6">
      <c r="A419" t="s">
        <v>935</v>
      </c>
      <c r="B419" t="s">
        <v>936</v>
      </c>
      <c r="C419" t="s">
        <v>97</v>
      </c>
      <c r="D419">
        <v>352.05</v>
      </c>
      <c r="E419">
        <v>79</v>
      </c>
      <c r="F419" t="s">
        <v>111</v>
      </c>
    </row>
    <row r="420" spans="1:6">
      <c r="A420" t="s">
        <v>937</v>
      </c>
      <c r="B420" t="s">
        <v>938</v>
      </c>
      <c r="C420" t="s">
        <v>156</v>
      </c>
      <c r="D420">
        <v>471.7</v>
      </c>
      <c r="E420">
        <v>61</v>
      </c>
      <c r="F420" t="s">
        <v>115</v>
      </c>
    </row>
    <row r="421" spans="1:6">
      <c r="A421" t="s">
        <v>939</v>
      </c>
      <c r="B421" t="s">
        <v>940</v>
      </c>
      <c r="C421" t="s">
        <v>114</v>
      </c>
      <c r="D421">
        <v>384.83</v>
      </c>
      <c r="E421">
        <v>39</v>
      </c>
      <c r="F421" t="s">
        <v>118</v>
      </c>
    </row>
    <row r="422" spans="1:6">
      <c r="A422" t="s">
        <v>941</v>
      </c>
      <c r="B422" t="s">
        <v>942</v>
      </c>
      <c r="C422" t="s">
        <v>97</v>
      </c>
      <c r="D422">
        <v>925.55</v>
      </c>
      <c r="E422">
        <v>78</v>
      </c>
      <c r="F422" t="s">
        <v>86</v>
      </c>
    </row>
    <row r="423" spans="1:6">
      <c r="A423" t="s">
        <v>943</v>
      </c>
      <c r="B423" t="s">
        <v>944</v>
      </c>
      <c r="C423" t="s">
        <v>114</v>
      </c>
      <c r="D423">
        <v>524.37</v>
      </c>
      <c r="E423">
        <v>-3</v>
      </c>
      <c r="F423" t="s">
        <v>90</v>
      </c>
    </row>
    <row r="424" spans="1:6">
      <c r="A424" t="s">
        <v>945</v>
      </c>
      <c r="B424" t="s">
        <v>946</v>
      </c>
      <c r="C424" t="s">
        <v>101</v>
      </c>
      <c r="D424">
        <v>915.99</v>
      </c>
      <c r="E424">
        <v>39</v>
      </c>
      <c r="F424" t="s">
        <v>94</v>
      </c>
    </row>
    <row r="425" spans="1:6">
      <c r="A425" t="s">
        <v>947</v>
      </c>
      <c r="B425" t="s">
        <v>948</v>
      </c>
      <c r="C425" t="s">
        <v>156</v>
      </c>
      <c r="D425">
        <v>88.13</v>
      </c>
      <c r="E425">
        <v>84</v>
      </c>
      <c r="F425" t="s">
        <v>98</v>
      </c>
    </row>
    <row r="426" spans="1:6">
      <c r="A426" t="s">
        <v>949</v>
      </c>
      <c r="B426" t="s">
        <v>950</v>
      </c>
      <c r="C426" t="s">
        <v>97</v>
      </c>
      <c r="D426">
        <v>586.4</v>
      </c>
      <c r="E426">
        <v>37</v>
      </c>
      <c r="F426" t="s">
        <v>102</v>
      </c>
    </row>
    <row r="427" spans="1:6">
      <c r="A427" t="s">
        <v>951</v>
      </c>
      <c r="B427" t="s">
        <v>952</v>
      </c>
      <c r="C427" t="s">
        <v>89</v>
      </c>
      <c r="D427">
        <v>403.36</v>
      </c>
      <c r="E427">
        <v>4</v>
      </c>
      <c r="F427" t="s">
        <v>105</v>
      </c>
    </row>
    <row r="428" spans="1:6">
      <c r="A428" t="s">
        <v>953</v>
      </c>
      <c r="B428" t="s">
        <v>954</v>
      </c>
      <c r="C428" t="s">
        <v>101</v>
      </c>
      <c r="D428">
        <v>931.83</v>
      </c>
      <c r="E428">
        <v>82</v>
      </c>
      <c r="F428" t="s">
        <v>108</v>
      </c>
    </row>
    <row r="429" spans="1:6">
      <c r="A429" t="s">
        <v>955</v>
      </c>
      <c r="B429" t="s">
        <v>956</v>
      </c>
      <c r="C429" t="s">
        <v>89</v>
      </c>
      <c r="D429">
        <v>786.65</v>
      </c>
      <c r="E429">
        <v>51</v>
      </c>
      <c r="F429" t="s">
        <v>111</v>
      </c>
    </row>
    <row r="430" spans="1:6">
      <c r="A430" t="s">
        <v>957</v>
      </c>
      <c r="B430" t="s">
        <v>958</v>
      </c>
      <c r="C430" t="s">
        <v>101</v>
      </c>
      <c r="D430">
        <v>104.1</v>
      </c>
      <c r="E430">
        <v>26</v>
      </c>
      <c r="F430" t="s">
        <v>115</v>
      </c>
    </row>
    <row r="431" spans="1:6">
      <c r="A431" t="s">
        <v>959</v>
      </c>
      <c r="B431" t="s">
        <v>960</v>
      </c>
      <c r="C431" t="s">
        <v>101</v>
      </c>
      <c r="D431">
        <v>792.62</v>
      </c>
      <c r="E431">
        <v>-1</v>
      </c>
      <c r="F431" t="s">
        <v>118</v>
      </c>
    </row>
    <row r="432" spans="1:6">
      <c r="A432" t="s">
        <v>961</v>
      </c>
      <c r="B432" t="s">
        <v>962</v>
      </c>
      <c r="C432" t="s">
        <v>101</v>
      </c>
      <c r="D432">
        <v>772.48</v>
      </c>
      <c r="E432">
        <v>78</v>
      </c>
      <c r="F432" t="s">
        <v>86</v>
      </c>
    </row>
    <row r="433" spans="1:6">
      <c r="A433" t="s">
        <v>963</v>
      </c>
      <c r="B433" t="s">
        <v>964</v>
      </c>
      <c r="C433" t="s">
        <v>156</v>
      </c>
      <c r="D433">
        <v>251.37</v>
      </c>
      <c r="E433">
        <v>73</v>
      </c>
      <c r="F433" t="s">
        <v>90</v>
      </c>
    </row>
    <row r="434" spans="1:6">
      <c r="A434" t="s">
        <v>965</v>
      </c>
      <c r="B434" t="s">
        <v>966</v>
      </c>
      <c r="C434" t="s">
        <v>114</v>
      </c>
      <c r="D434">
        <v>697.04</v>
      </c>
      <c r="E434">
        <v>77</v>
      </c>
      <c r="F434" t="s">
        <v>94</v>
      </c>
    </row>
    <row r="435" spans="1:6">
      <c r="A435" t="s">
        <v>967</v>
      </c>
      <c r="B435" t="s">
        <v>968</v>
      </c>
      <c r="C435" t="s">
        <v>156</v>
      </c>
      <c r="D435">
        <v>954.59</v>
      </c>
      <c r="E435">
        <v>52</v>
      </c>
      <c r="F435" t="s">
        <v>98</v>
      </c>
    </row>
    <row r="436" spans="1:6">
      <c r="A436" t="s">
        <v>969</v>
      </c>
      <c r="B436" t="s">
        <v>970</v>
      </c>
      <c r="C436" t="s">
        <v>97</v>
      </c>
      <c r="D436">
        <v>763.67</v>
      </c>
      <c r="E436">
        <v>52</v>
      </c>
      <c r="F436" t="s">
        <v>102</v>
      </c>
    </row>
    <row r="437" spans="1:6">
      <c r="A437" t="s">
        <v>971</v>
      </c>
      <c r="B437" t="s">
        <v>972</v>
      </c>
      <c r="C437" t="s">
        <v>156</v>
      </c>
      <c r="D437">
        <v>260.13</v>
      </c>
      <c r="E437">
        <v>27</v>
      </c>
      <c r="F437" t="s">
        <v>105</v>
      </c>
    </row>
    <row r="438" spans="1:6">
      <c r="A438" t="s">
        <v>973</v>
      </c>
      <c r="B438" t="s">
        <v>974</v>
      </c>
      <c r="C438" t="s">
        <v>114</v>
      </c>
      <c r="D438">
        <v>167.31</v>
      </c>
      <c r="E438">
        <v>-1</v>
      </c>
      <c r="F438" t="s">
        <v>108</v>
      </c>
    </row>
    <row r="439" spans="1:6">
      <c r="A439" t="s">
        <v>975</v>
      </c>
      <c r="B439" t="s">
        <v>976</v>
      </c>
      <c r="C439" t="s">
        <v>97</v>
      </c>
      <c r="D439">
        <v>476.71</v>
      </c>
      <c r="E439">
        <v>16</v>
      </c>
      <c r="F439" t="s">
        <v>111</v>
      </c>
    </row>
    <row r="440" spans="1:6">
      <c r="A440" t="s">
        <v>977</v>
      </c>
      <c r="B440" t="s">
        <v>978</v>
      </c>
      <c r="C440" t="s">
        <v>156</v>
      </c>
      <c r="D440">
        <v>821.49</v>
      </c>
      <c r="E440">
        <v>2</v>
      </c>
      <c r="F440" t="s">
        <v>115</v>
      </c>
    </row>
    <row r="441" spans="1:6">
      <c r="A441" t="s">
        <v>979</v>
      </c>
      <c r="B441" t="s">
        <v>980</v>
      </c>
      <c r="C441" t="s">
        <v>101</v>
      </c>
      <c r="D441">
        <v>355.44</v>
      </c>
      <c r="E441">
        <v>37</v>
      </c>
      <c r="F441" t="s">
        <v>118</v>
      </c>
    </row>
    <row r="442" spans="1:6">
      <c r="A442" t="s">
        <v>981</v>
      </c>
      <c r="B442" t="s">
        <v>982</v>
      </c>
      <c r="C442" t="s">
        <v>114</v>
      </c>
      <c r="D442">
        <v>484.2</v>
      </c>
      <c r="E442">
        <v>96</v>
      </c>
      <c r="F442" t="s">
        <v>86</v>
      </c>
    </row>
    <row r="443" spans="1:6">
      <c r="A443" t="s">
        <v>983</v>
      </c>
      <c r="B443" t="s">
        <v>984</v>
      </c>
      <c r="C443" t="s">
        <v>101</v>
      </c>
      <c r="D443">
        <v>909.45</v>
      </c>
      <c r="E443">
        <v>0</v>
      </c>
      <c r="F443" t="s">
        <v>90</v>
      </c>
    </row>
    <row r="444" spans="1:6">
      <c r="A444" t="s">
        <v>985</v>
      </c>
      <c r="B444" t="s">
        <v>986</v>
      </c>
      <c r="C444" t="s">
        <v>156</v>
      </c>
      <c r="D444">
        <v>219.38</v>
      </c>
      <c r="E444">
        <v>96</v>
      </c>
      <c r="F444" t="s">
        <v>94</v>
      </c>
    </row>
    <row r="445" spans="1:6">
      <c r="A445" t="s">
        <v>987</v>
      </c>
      <c r="B445" t="s">
        <v>988</v>
      </c>
      <c r="C445" t="s">
        <v>101</v>
      </c>
      <c r="D445">
        <v>498.82</v>
      </c>
      <c r="E445">
        <v>51</v>
      </c>
      <c r="F445" t="s">
        <v>98</v>
      </c>
    </row>
    <row r="446" spans="1:6">
      <c r="A446" t="s">
        <v>989</v>
      </c>
      <c r="B446" t="s">
        <v>990</v>
      </c>
      <c r="C446" t="s">
        <v>101</v>
      </c>
      <c r="D446">
        <v>266.77999999999997</v>
      </c>
      <c r="E446">
        <v>72</v>
      </c>
      <c r="F446" t="s">
        <v>102</v>
      </c>
    </row>
    <row r="447" spans="1:6">
      <c r="A447" t="s">
        <v>991</v>
      </c>
      <c r="B447" t="s">
        <v>992</v>
      </c>
      <c r="C447" t="s">
        <v>114</v>
      </c>
      <c r="D447">
        <v>171.68</v>
      </c>
      <c r="E447">
        <v>67</v>
      </c>
      <c r="F447" t="s">
        <v>105</v>
      </c>
    </row>
    <row r="448" spans="1:6">
      <c r="A448" t="s">
        <v>993</v>
      </c>
      <c r="B448" t="s">
        <v>994</v>
      </c>
      <c r="C448" t="s">
        <v>97</v>
      </c>
      <c r="D448">
        <v>328.08</v>
      </c>
      <c r="E448">
        <v>67</v>
      </c>
      <c r="F448" t="s">
        <v>108</v>
      </c>
    </row>
    <row r="449" spans="1:6">
      <c r="A449" t="s">
        <v>995</v>
      </c>
      <c r="B449" t="s">
        <v>996</v>
      </c>
      <c r="C449" t="s">
        <v>156</v>
      </c>
      <c r="D449">
        <v>733.66</v>
      </c>
      <c r="E449">
        <v>30</v>
      </c>
      <c r="F449" t="s">
        <v>111</v>
      </c>
    </row>
    <row r="450" spans="1:6">
      <c r="A450" t="s">
        <v>997</v>
      </c>
      <c r="B450" t="s">
        <v>998</v>
      </c>
      <c r="C450" t="s">
        <v>101</v>
      </c>
      <c r="D450">
        <v>958.9</v>
      </c>
      <c r="E450">
        <v>65</v>
      </c>
      <c r="F450" t="s">
        <v>115</v>
      </c>
    </row>
    <row r="451" spans="1:6">
      <c r="A451" t="s">
        <v>999</v>
      </c>
      <c r="B451" t="s">
        <v>1000</v>
      </c>
      <c r="C451" t="s">
        <v>114</v>
      </c>
      <c r="D451">
        <v>644.04</v>
      </c>
      <c r="E451">
        <v>51</v>
      </c>
      <c r="F451" t="s">
        <v>118</v>
      </c>
    </row>
    <row r="452" spans="1:6">
      <c r="A452" t="s">
        <v>1001</v>
      </c>
      <c r="B452" t="s">
        <v>1002</v>
      </c>
      <c r="C452" t="s">
        <v>89</v>
      </c>
      <c r="D452">
        <v>752.65</v>
      </c>
      <c r="E452">
        <v>79</v>
      </c>
      <c r="F452" t="s">
        <v>86</v>
      </c>
    </row>
    <row r="453" spans="1:6">
      <c r="A453" t="s">
        <v>1003</v>
      </c>
      <c r="B453" t="s">
        <v>1004</v>
      </c>
      <c r="C453" t="s">
        <v>89</v>
      </c>
      <c r="D453">
        <v>661.07</v>
      </c>
      <c r="E453">
        <v>32</v>
      </c>
      <c r="F453" t="s">
        <v>90</v>
      </c>
    </row>
    <row r="454" spans="1:6">
      <c r="A454" t="s">
        <v>1005</v>
      </c>
      <c r="B454" t="s">
        <v>1006</v>
      </c>
      <c r="C454" t="s">
        <v>156</v>
      </c>
      <c r="D454">
        <v>122.17</v>
      </c>
      <c r="E454">
        <v>-10</v>
      </c>
      <c r="F454" t="s">
        <v>94</v>
      </c>
    </row>
    <row r="455" spans="1:6">
      <c r="A455" t="s">
        <v>1007</v>
      </c>
      <c r="B455" t="s">
        <v>1008</v>
      </c>
      <c r="C455" t="s">
        <v>97</v>
      </c>
      <c r="D455">
        <v>788.1</v>
      </c>
      <c r="E455">
        <v>87</v>
      </c>
      <c r="F455" t="s">
        <v>98</v>
      </c>
    </row>
    <row r="456" spans="1:6">
      <c r="A456" t="s">
        <v>1009</v>
      </c>
      <c r="B456" t="s">
        <v>1010</v>
      </c>
      <c r="C456" t="s">
        <v>89</v>
      </c>
      <c r="D456">
        <v>525.85</v>
      </c>
      <c r="E456">
        <v>88</v>
      </c>
      <c r="F456" t="s">
        <v>102</v>
      </c>
    </row>
    <row r="457" spans="1:6">
      <c r="A457" t="s">
        <v>1011</v>
      </c>
      <c r="B457" t="s">
        <v>1012</v>
      </c>
      <c r="C457" t="s">
        <v>89</v>
      </c>
      <c r="D457">
        <v>880.15</v>
      </c>
      <c r="E457">
        <v>3</v>
      </c>
      <c r="F457" t="s">
        <v>105</v>
      </c>
    </row>
    <row r="458" spans="1:6">
      <c r="A458" t="s">
        <v>1013</v>
      </c>
      <c r="B458" t="s">
        <v>1014</v>
      </c>
      <c r="C458" t="s">
        <v>89</v>
      </c>
      <c r="D458">
        <v>797.5</v>
      </c>
      <c r="E458">
        <v>55</v>
      </c>
      <c r="F458" t="s">
        <v>108</v>
      </c>
    </row>
    <row r="459" spans="1:6">
      <c r="A459" t="s">
        <v>1015</v>
      </c>
      <c r="B459" t="s">
        <v>1016</v>
      </c>
      <c r="C459" t="s">
        <v>114</v>
      </c>
      <c r="D459">
        <v>714.46</v>
      </c>
      <c r="E459">
        <v>60</v>
      </c>
      <c r="F459" t="s">
        <v>111</v>
      </c>
    </row>
    <row r="460" spans="1:6">
      <c r="A460" t="s">
        <v>1017</v>
      </c>
      <c r="B460" t="s">
        <v>1018</v>
      </c>
      <c r="C460" t="s">
        <v>97</v>
      </c>
      <c r="D460">
        <v>246.84</v>
      </c>
      <c r="E460">
        <v>62</v>
      </c>
      <c r="F460" t="s">
        <v>115</v>
      </c>
    </row>
    <row r="461" spans="1:6">
      <c r="A461" t="s">
        <v>1019</v>
      </c>
      <c r="B461" t="s">
        <v>1020</v>
      </c>
      <c r="C461" t="s">
        <v>156</v>
      </c>
      <c r="D461">
        <v>747.89</v>
      </c>
      <c r="E461">
        <v>73</v>
      </c>
      <c r="F461" t="s">
        <v>118</v>
      </c>
    </row>
    <row r="462" spans="1:6">
      <c r="A462" t="s">
        <v>1021</v>
      </c>
      <c r="B462" t="s">
        <v>1022</v>
      </c>
      <c r="C462" t="s">
        <v>89</v>
      </c>
      <c r="D462">
        <v>412.17</v>
      </c>
      <c r="E462">
        <v>49</v>
      </c>
      <c r="F462" t="s">
        <v>86</v>
      </c>
    </row>
    <row r="463" spans="1:6">
      <c r="A463" t="s">
        <v>1023</v>
      </c>
      <c r="B463" t="s">
        <v>1024</v>
      </c>
      <c r="C463" t="s">
        <v>101</v>
      </c>
      <c r="D463">
        <v>208.83</v>
      </c>
      <c r="E463">
        <v>37</v>
      </c>
      <c r="F463" t="s">
        <v>90</v>
      </c>
    </row>
    <row r="464" spans="1:6">
      <c r="A464" t="s">
        <v>1025</v>
      </c>
      <c r="B464" t="s">
        <v>1026</v>
      </c>
      <c r="C464" t="s">
        <v>89</v>
      </c>
      <c r="D464">
        <v>945.09</v>
      </c>
      <c r="E464">
        <v>31</v>
      </c>
      <c r="F464" t="s">
        <v>94</v>
      </c>
    </row>
    <row r="465" spans="1:6">
      <c r="A465" t="s">
        <v>1027</v>
      </c>
      <c r="B465" t="s">
        <v>1028</v>
      </c>
      <c r="C465" t="s">
        <v>101</v>
      </c>
      <c r="D465">
        <v>697.99</v>
      </c>
      <c r="E465">
        <v>52</v>
      </c>
      <c r="F465" t="s">
        <v>98</v>
      </c>
    </row>
    <row r="466" spans="1:6">
      <c r="A466" t="s">
        <v>1029</v>
      </c>
      <c r="B466" t="s">
        <v>1030</v>
      </c>
      <c r="C466" t="s">
        <v>97</v>
      </c>
      <c r="D466">
        <v>438.87</v>
      </c>
      <c r="E466">
        <v>98</v>
      </c>
      <c r="F466" t="s">
        <v>102</v>
      </c>
    </row>
    <row r="467" spans="1:6">
      <c r="A467" t="s">
        <v>1031</v>
      </c>
      <c r="B467" t="s">
        <v>1032</v>
      </c>
      <c r="C467" t="s">
        <v>89</v>
      </c>
      <c r="D467">
        <v>933.13</v>
      </c>
      <c r="E467">
        <v>-9</v>
      </c>
      <c r="F467" t="s">
        <v>105</v>
      </c>
    </row>
    <row r="468" spans="1:6">
      <c r="A468" t="s">
        <v>1033</v>
      </c>
      <c r="B468" t="s">
        <v>1034</v>
      </c>
      <c r="C468" t="s">
        <v>156</v>
      </c>
      <c r="D468">
        <v>212.2</v>
      </c>
      <c r="E468">
        <v>26</v>
      </c>
      <c r="F468" t="s">
        <v>108</v>
      </c>
    </row>
    <row r="469" spans="1:6">
      <c r="A469" t="s">
        <v>1035</v>
      </c>
      <c r="B469" t="s">
        <v>1036</v>
      </c>
      <c r="C469" t="s">
        <v>114</v>
      </c>
      <c r="D469">
        <v>775.72</v>
      </c>
      <c r="E469">
        <v>89</v>
      </c>
      <c r="F469" t="s">
        <v>111</v>
      </c>
    </row>
    <row r="470" spans="1:6">
      <c r="A470" t="s">
        <v>1037</v>
      </c>
      <c r="B470" t="s">
        <v>1038</v>
      </c>
      <c r="C470" t="s">
        <v>114</v>
      </c>
      <c r="D470">
        <v>548.39</v>
      </c>
      <c r="E470">
        <v>46</v>
      </c>
      <c r="F470" t="s">
        <v>115</v>
      </c>
    </row>
    <row r="471" spans="1:6">
      <c r="A471" t="s">
        <v>1039</v>
      </c>
      <c r="B471" t="s">
        <v>1040</v>
      </c>
      <c r="C471" t="s">
        <v>156</v>
      </c>
      <c r="D471">
        <v>715.81</v>
      </c>
      <c r="E471">
        <v>28</v>
      </c>
      <c r="F471" t="s">
        <v>118</v>
      </c>
    </row>
    <row r="472" spans="1:6">
      <c r="A472" t="s">
        <v>1041</v>
      </c>
      <c r="B472" t="s">
        <v>1042</v>
      </c>
      <c r="C472" t="s">
        <v>89</v>
      </c>
      <c r="D472">
        <v>910.29</v>
      </c>
      <c r="E472">
        <v>72</v>
      </c>
      <c r="F472" t="s">
        <v>86</v>
      </c>
    </row>
    <row r="473" spans="1:6">
      <c r="A473" t="s">
        <v>1043</v>
      </c>
      <c r="B473" t="s">
        <v>1044</v>
      </c>
      <c r="C473" t="s">
        <v>97</v>
      </c>
      <c r="D473">
        <v>916.16</v>
      </c>
      <c r="E473">
        <v>31</v>
      </c>
      <c r="F473" t="s">
        <v>90</v>
      </c>
    </row>
    <row r="474" spans="1:6">
      <c r="A474" t="s">
        <v>1045</v>
      </c>
      <c r="B474" t="s">
        <v>1046</v>
      </c>
      <c r="C474" t="s">
        <v>101</v>
      </c>
      <c r="D474">
        <v>390.05</v>
      </c>
      <c r="E474">
        <v>7</v>
      </c>
      <c r="F474" t="s">
        <v>94</v>
      </c>
    </row>
    <row r="475" spans="1:6">
      <c r="A475" t="s">
        <v>1047</v>
      </c>
      <c r="B475" t="s">
        <v>1048</v>
      </c>
      <c r="C475" t="s">
        <v>97</v>
      </c>
      <c r="D475">
        <v>972.19</v>
      </c>
      <c r="E475">
        <v>57</v>
      </c>
      <c r="F475" t="s">
        <v>98</v>
      </c>
    </row>
    <row r="476" spans="1:6">
      <c r="A476" t="s">
        <v>1049</v>
      </c>
      <c r="B476" t="s">
        <v>1050</v>
      </c>
      <c r="C476" t="s">
        <v>156</v>
      </c>
      <c r="D476">
        <v>469.35</v>
      </c>
      <c r="E476">
        <v>11</v>
      </c>
      <c r="F476" t="s">
        <v>102</v>
      </c>
    </row>
    <row r="477" spans="1:6">
      <c r="A477" t="s">
        <v>1051</v>
      </c>
      <c r="B477" t="s">
        <v>1052</v>
      </c>
      <c r="C477" t="s">
        <v>97</v>
      </c>
      <c r="D477">
        <v>954.63</v>
      </c>
      <c r="E477">
        <v>-7</v>
      </c>
      <c r="F477" t="s">
        <v>105</v>
      </c>
    </row>
    <row r="478" spans="1:6">
      <c r="A478" t="s">
        <v>1053</v>
      </c>
      <c r="B478" t="s">
        <v>1054</v>
      </c>
      <c r="C478" t="s">
        <v>89</v>
      </c>
      <c r="D478">
        <v>555.6</v>
      </c>
      <c r="E478">
        <v>-8</v>
      </c>
      <c r="F478" t="s">
        <v>108</v>
      </c>
    </row>
    <row r="479" spans="1:6">
      <c r="A479" t="s">
        <v>1055</v>
      </c>
      <c r="B479" t="s">
        <v>1056</v>
      </c>
      <c r="C479" t="s">
        <v>101</v>
      </c>
      <c r="D479">
        <v>223.33</v>
      </c>
      <c r="E479">
        <v>19</v>
      </c>
      <c r="F479" t="s">
        <v>111</v>
      </c>
    </row>
    <row r="480" spans="1:6">
      <c r="A480" t="s">
        <v>1057</v>
      </c>
      <c r="B480" t="s">
        <v>1058</v>
      </c>
      <c r="C480" t="s">
        <v>89</v>
      </c>
      <c r="D480">
        <v>228.16</v>
      </c>
      <c r="E480">
        <v>82</v>
      </c>
      <c r="F480" t="s">
        <v>115</v>
      </c>
    </row>
    <row r="481" spans="1:6">
      <c r="A481" t="s">
        <v>1059</v>
      </c>
      <c r="B481" t="s">
        <v>1060</v>
      </c>
      <c r="C481" t="s">
        <v>156</v>
      </c>
      <c r="D481">
        <v>624.48</v>
      </c>
      <c r="E481">
        <v>20</v>
      </c>
      <c r="F481" t="s">
        <v>118</v>
      </c>
    </row>
    <row r="482" spans="1:6">
      <c r="A482" t="s">
        <v>1061</v>
      </c>
      <c r="B482" t="s">
        <v>1062</v>
      </c>
      <c r="C482" t="s">
        <v>97</v>
      </c>
      <c r="D482">
        <v>849.96</v>
      </c>
      <c r="E482">
        <v>88</v>
      </c>
      <c r="F482" t="s">
        <v>86</v>
      </c>
    </row>
    <row r="483" spans="1:6">
      <c r="A483" t="s">
        <v>1063</v>
      </c>
      <c r="B483" t="s">
        <v>1064</v>
      </c>
      <c r="C483" t="s">
        <v>101</v>
      </c>
      <c r="D483">
        <v>835.6</v>
      </c>
      <c r="E483">
        <v>41</v>
      </c>
      <c r="F483" t="s">
        <v>90</v>
      </c>
    </row>
    <row r="484" spans="1:6">
      <c r="A484" t="s">
        <v>1065</v>
      </c>
      <c r="B484" t="s">
        <v>1066</v>
      </c>
      <c r="C484" t="s">
        <v>97</v>
      </c>
      <c r="D484">
        <v>262.29000000000002</v>
      </c>
      <c r="E484">
        <v>47</v>
      </c>
      <c r="F484" t="s">
        <v>94</v>
      </c>
    </row>
    <row r="485" spans="1:6">
      <c r="A485" t="s">
        <v>1067</v>
      </c>
      <c r="B485" t="s">
        <v>1068</v>
      </c>
      <c r="C485" t="s">
        <v>156</v>
      </c>
      <c r="D485">
        <v>515.14</v>
      </c>
      <c r="E485">
        <v>-8</v>
      </c>
      <c r="F485" t="s">
        <v>98</v>
      </c>
    </row>
    <row r="486" spans="1:6">
      <c r="A486" t="s">
        <v>1069</v>
      </c>
      <c r="B486" t="s">
        <v>1070</v>
      </c>
      <c r="C486" t="s">
        <v>101</v>
      </c>
      <c r="D486">
        <v>869.96</v>
      </c>
      <c r="E486">
        <v>15</v>
      </c>
      <c r="F486" t="s">
        <v>102</v>
      </c>
    </row>
    <row r="487" spans="1:6">
      <c r="A487" t="s">
        <v>1071</v>
      </c>
      <c r="B487" t="s">
        <v>1072</v>
      </c>
      <c r="C487" t="s">
        <v>97</v>
      </c>
      <c r="D487">
        <v>522.66999999999996</v>
      </c>
      <c r="E487">
        <v>76</v>
      </c>
      <c r="F487" t="s">
        <v>105</v>
      </c>
    </row>
    <row r="488" spans="1:6">
      <c r="A488" t="s">
        <v>1073</v>
      </c>
      <c r="B488" t="s">
        <v>1074</v>
      </c>
      <c r="C488" t="s">
        <v>156</v>
      </c>
      <c r="D488">
        <v>357.51</v>
      </c>
      <c r="E488">
        <v>96</v>
      </c>
      <c r="F488" t="s">
        <v>108</v>
      </c>
    </row>
    <row r="489" spans="1:6">
      <c r="A489" t="s">
        <v>1075</v>
      </c>
      <c r="B489" t="s">
        <v>1076</v>
      </c>
      <c r="C489" t="s">
        <v>97</v>
      </c>
      <c r="D489">
        <v>316.04000000000002</v>
      </c>
      <c r="E489">
        <v>68</v>
      </c>
      <c r="F489" t="s">
        <v>111</v>
      </c>
    </row>
    <row r="490" spans="1:6">
      <c r="A490" t="s">
        <v>1077</v>
      </c>
      <c r="B490" t="s">
        <v>1078</v>
      </c>
      <c r="C490" t="s">
        <v>89</v>
      </c>
      <c r="D490">
        <v>637.07000000000005</v>
      </c>
      <c r="E490">
        <v>-8</v>
      </c>
      <c r="F490" t="s">
        <v>115</v>
      </c>
    </row>
    <row r="491" spans="1:6">
      <c r="A491" t="s">
        <v>1079</v>
      </c>
      <c r="B491" t="s">
        <v>1080</v>
      </c>
      <c r="C491" t="s">
        <v>114</v>
      </c>
      <c r="D491">
        <v>767.59</v>
      </c>
      <c r="E491">
        <v>4</v>
      </c>
      <c r="F491" t="s">
        <v>118</v>
      </c>
    </row>
    <row r="492" spans="1:6">
      <c r="A492" t="s">
        <v>1081</v>
      </c>
      <c r="B492" t="s">
        <v>1082</v>
      </c>
      <c r="C492" t="s">
        <v>101</v>
      </c>
      <c r="D492">
        <v>105.85</v>
      </c>
      <c r="E492">
        <v>22</v>
      </c>
      <c r="F492" t="s">
        <v>86</v>
      </c>
    </row>
    <row r="493" spans="1:6">
      <c r="A493" t="s">
        <v>1083</v>
      </c>
      <c r="B493" t="s">
        <v>1084</v>
      </c>
      <c r="C493" t="s">
        <v>156</v>
      </c>
      <c r="D493">
        <v>101.25</v>
      </c>
      <c r="E493">
        <v>0</v>
      </c>
      <c r="F493" t="s">
        <v>90</v>
      </c>
    </row>
    <row r="494" spans="1:6">
      <c r="A494" t="s">
        <v>1085</v>
      </c>
      <c r="B494" t="s">
        <v>1086</v>
      </c>
      <c r="C494" t="s">
        <v>97</v>
      </c>
      <c r="D494">
        <v>711.14</v>
      </c>
      <c r="E494">
        <v>16</v>
      </c>
      <c r="F494" t="s">
        <v>94</v>
      </c>
    </row>
    <row r="495" spans="1:6">
      <c r="A495" t="s">
        <v>1087</v>
      </c>
      <c r="B495" t="s">
        <v>1088</v>
      </c>
      <c r="C495" t="s">
        <v>156</v>
      </c>
      <c r="D495">
        <v>260.72000000000003</v>
      </c>
      <c r="E495">
        <v>-4</v>
      </c>
      <c r="F495" t="s">
        <v>98</v>
      </c>
    </row>
    <row r="496" spans="1:6">
      <c r="A496" t="s">
        <v>1089</v>
      </c>
      <c r="B496" t="s">
        <v>1090</v>
      </c>
      <c r="C496" t="s">
        <v>89</v>
      </c>
      <c r="D496">
        <v>732.11</v>
      </c>
      <c r="E496">
        <v>49</v>
      </c>
      <c r="F496" t="s">
        <v>102</v>
      </c>
    </row>
    <row r="497" spans="1:6">
      <c r="A497" t="s">
        <v>1091</v>
      </c>
      <c r="B497" t="s">
        <v>1092</v>
      </c>
      <c r="C497" t="s">
        <v>89</v>
      </c>
      <c r="D497">
        <v>408.03</v>
      </c>
      <c r="E497">
        <v>78</v>
      </c>
      <c r="F497" t="s">
        <v>105</v>
      </c>
    </row>
    <row r="498" spans="1:6">
      <c r="A498" t="s">
        <v>1093</v>
      </c>
      <c r="B498" t="s">
        <v>1094</v>
      </c>
      <c r="C498" t="s">
        <v>156</v>
      </c>
      <c r="D498">
        <v>273.8</v>
      </c>
      <c r="E498">
        <v>51</v>
      </c>
      <c r="F498" t="s">
        <v>108</v>
      </c>
    </row>
    <row r="499" spans="1:6">
      <c r="A499" t="s">
        <v>1095</v>
      </c>
      <c r="B499" t="s">
        <v>1096</v>
      </c>
      <c r="C499" t="s">
        <v>156</v>
      </c>
      <c r="D499">
        <v>424.2</v>
      </c>
      <c r="E499">
        <v>18</v>
      </c>
      <c r="F499" t="s">
        <v>111</v>
      </c>
    </row>
    <row r="500" spans="1:6">
      <c r="A500" t="s">
        <v>1097</v>
      </c>
      <c r="B500" t="s">
        <v>1098</v>
      </c>
      <c r="C500" t="s">
        <v>97</v>
      </c>
      <c r="D500">
        <v>468.88</v>
      </c>
      <c r="E500">
        <v>83</v>
      </c>
      <c r="F500" t="s">
        <v>115</v>
      </c>
    </row>
    <row r="501" spans="1:6">
      <c r="A501" t="s">
        <v>1099</v>
      </c>
      <c r="B501" t="s">
        <v>1100</v>
      </c>
      <c r="C501" t="s">
        <v>156</v>
      </c>
      <c r="D501">
        <v>975.37</v>
      </c>
      <c r="E501">
        <v>38</v>
      </c>
      <c r="F501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3FB67-DE89-4E08-A0B3-CAF898F03BAD}">
  <dimension ref="A1:Q11"/>
  <sheetViews>
    <sheetView zoomScaleNormal="100" workbookViewId="0">
      <selection activeCell="L3" sqref="L3"/>
    </sheetView>
  </sheetViews>
  <sheetFormatPr defaultRowHeight="14.4"/>
  <cols>
    <col min="1" max="1" width="10.44140625" bestFit="1" customWidth="1"/>
    <col min="2" max="3" width="19.44140625" bestFit="1" customWidth="1"/>
    <col min="4" max="4" width="6.33203125" bestFit="1" customWidth="1"/>
    <col min="5" max="5" width="5.109375" bestFit="1" customWidth="1"/>
    <col min="6" max="6" width="17.21875" bestFit="1" customWidth="1"/>
    <col min="7" max="7" width="6.33203125" bestFit="1" customWidth="1"/>
    <col min="8" max="8" width="11.44140625" bestFit="1" customWidth="1"/>
    <col min="9" max="9" width="19.44140625" bestFit="1" customWidth="1"/>
    <col min="10" max="10" width="10.44140625" bestFit="1" customWidth="1"/>
    <col min="11" max="11" width="19.44140625" bestFit="1" customWidth="1"/>
    <col min="12" max="12" width="14.77734375" bestFit="1" customWidth="1"/>
    <col min="13" max="13" width="11.109375" customWidth="1"/>
    <col min="14" max="14" width="5.109375" bestFit="1" customWidth="1"/>
    <col min="15" max="15" width="17.21875" bestFit="1" customWidth="1"/>
    <col min="16" max="16" width="6.33203125" bestFit="1" customWidth="1"/>
    <col min="17" max="17" width="11.44140625" bestFit="1" customWidth="1"/>
  </cols>
  <sheetData>
    <row r="1" spans="1:17">
      <c r="A1" s="10" t="s">
        <v>50</v>
      </c>
      <c r="B1" s="10" t="s">
        <v>51</v>
      </c>
      <c r="C1" s="10" t="s">
        <v>52</v>
      </c>
      <c r="D1" s="10" t="s">
        <v>1101</v>
      </c>
      <c r="E1" s="10" t="s">
        <v>53</v>
      </c>
      <c r="F1" s="10" t="s">
        <v>54</v>
      </c>
      <c r="G1" s="10" t="s">
        <v>55</v>
      </c>
      <c r="H1" s="10" t="s">
        <v>56</v>
      </c>
      <c r="J1" s="10" t="s">
        <v>50</v>
      </c>
      <c r="K1" s="10" t="s">
        <v>51</v>
      </c>
      <c r="L1" s="10" t="s">
        <v>1103</v>
      </c>
      <c r="M1" s="10" t="s">
        <v>1102</v>
      </c>
      <c r="N1" s="10" t="s">
        <v>53</v>
      </c>
      <c r="O1" s="10" t="s">
        <v>54</v>
      </c>
      <c r="P1" s="10" t="s">
        <v>55</v>
      </c>
      <c r="Q1" s="10" t="s">
        <v>56</v>
      </c>
    </row>
    <row r="2" spans="1:17">
      <c r="A2" s="11">
        <v>101</v>
      </c>
      <c r="B2" s="11" t="s">
        <v>57</v>
      </c>
      <c r="C2" s="11" t="s">
        <v>58</v>
      </c>
      <c r="D2" s="11">
        <f>LEN(C2)</f>
        <v>10</v>
      </c>
      <c r="E2" s="11">
        <v>799</v>
      </c>
      <c r="F2" s="11">
        <v>50</v>
      </c>
      <c r="G2" s="11">
        <v>4.5</v>
      </c>
      <c r="H2" s="11" t="s">
        <v>59</v>
      </c>
      <c r="J2" s="11">
        <v>101</v>
      </c>
      <c r="K2" s="11" t="s">
        <v>57</v>
      </c>
      <c r="L2" s="11" t="s">
        <v>1104</v>
      </c>
      <c r="M2" s="11">
        <f>LEN(L2)</f>
        <v>6</v>
      </c>
      <c r="N2" s="11">
        <v>799</v>
      </c>
      <c r="O2" s="11">
        <v>50</v>
      </c>
      <c r="P2" s="11">
        <v>4.5</v>
      </c>
      <c r="Q2" s="11" t="s">
        <v>59</v>
      </c>
    </row>
    <row r="3" spans="1:17">
      <c r="A3" s="11">
        <v>102</v>
      </c>
      <c r="B3" s="11" t="s">
        <v>60</v>
      </c>
      <c r="C3" s="11" t="s">
        <v>61</v>
      </c>
      <c r="D3" s="11">
        <f t="shared" ref="D3:D9" si="0">LEN(C3)</f>
        <v>17</v>
      </c>
      <c r="E3" s="11">
        <v>999</v>
      </c>
      <c r="F3" s="11">
        <v>30</v>
      </c>
      <c r="G3" s="11">
        <v>4.7</v>
      </c>
      <c r="H3" s="11" t="s">
        <v>62</v>
      </c>
      <c r="J3" s="11">
        <v>102</v>
      </c>
      <c r="K3" s="11" t="s">
        <v>60</v>
      </c>
      <c r="L3" s="11" t="s">
        <v>1104</v>
      </c>
      <c r="M3" s="11">
        <f t="shared" ref="M3:M9" si="1">LEN(L3)</f>
        <v>6</v>
      </c>
      <c r="N3" s="11">
        <v>999</v>
      </c>
      <c r="O3" s="11">
        <v>30</v>
      </c>
      <c r="P3" s="11">
        <v>4.7</v>
      </c>
      <c r="Q3" s="11" t="s">
        <v>62</v>
      </c>
    </row>
    <row r="4" spans="1:17">
      <c r="A4" s="11">
        <v>103</v>
      </c>
      <c r="B4" s="11" t="s">
        <v>63</v>
      </c>
      <c r="C4" s="11" t="s">
        <v>64</v>
      </c>
      <c r="D4" s="11">
        <f t="shared" si="0"/>
        <v>13</v>
      </c>
      <c r="E4" s="11">
        <v>399</v>
      </c>
      <c r="F4" s="11">
        <v>15</v>
      </c>
      <c r="G4" s="11">
        <v>4.5999999999999996</v>
      </c>
      <c r="H4" s="11" t="s">
        <v>65</v>
      </c>
      <c r="J4" s="11">
        <v>103</v>
      </c>
      <c r="K4" s="11" t="s">
        <v>63</v>
      </c>
      <c r="L4" s="11" t="s">
        <v>1105</v>
      </c>
      <c r="M4" s="11">
        <f t="shared" si="1"/>
        <v>10</v>
      </c>
      <c r="N4" s="11">
        <v>399</v>
      </c>
      <c r="O4" s="11">
        <v>15</v>
      </c>
      <c r="P4" s="11">
        <v>4.5999999999999996</v>
      </c>
      <c r="Q4" s="11" t="s">
        <v>65</v>
      </c>
    </row>
    <row r="5" spans="1:17">
      <c r="A5" s="11">
        <v>104</v>
      </c>
      <c r="B5" s="11" t="s">
        <v>66</v>
      </c>
      <c r="C5" s="11" t="s">
        <v>67</v>
      </c>
      <c r="D5" s="11">
        <f t="shared" si="0"/>
        <v>12</v>
      </c>
      <c r="E5" s="11">
        <v>1249</v>
      </c>
      <c r="F5" s="11">
        <v>10</v>
      </c>
      <c r="G5" s="11">
        <v>4.8</v>
      </c>
      <c r="H5" s="11" t="s">
        <v>68</v>
      </c>
      <c r="J5" s="11">
        <v>104</v>
      </c>
      <c r="K5" s="11" t="s">
        <v>66</v>
      </c>
      <c r="L5" s="11" t="s">
        <v>1106</v>
      </c>
      <c r="M5" s="11">
        <f t="shared" si="1"/>
        <v>6</v>
      </c>
      <c r="N5" s="11">
        <v>1249</v>
      </c>
      <c r="O5" s="11">
        <v>10</v>
      </c>
      <c r="P5" s="11">
        <v>4.8</v>
      </c>
      <c r="Q5" s="11" t="s">
        <v>68</v>
      </c>
    </row>
    <row r="6" spans="1:17">
      <c r="A6" s="11">
        <v>105</v>
      </c>
      <c r="B6" s="11" t="s">
        <v>70</v>
      </c>
      <c r="C6" s="11" t="s">
        <v>71</v>
      </c>
      <c r="D6" s="11">
        <f t="shared" si="0"/>
        <v>8</v>
      </c>
      <c r="E6" s="11">
        <v>1349</v>
      </c>
      <c r="F6" s="11">
        <v>8</v>
      </c>
      <c r="G6" s="11">
        <v>4.7</v>
      </c>
      <c r="H6" s="11" t="s">
        <v>72</v>
      </c>
      <c r="J6" s="11">
        <v>105</v>
      </c>
      <c r="K6" s="11" t="s">
        <v>70</v>
      </c>
      <c r="L6" s="11" t="s">
        <v>1106</v>
      </c>
      <c r="M6" s="11">
        <f t="shared" si="1"/>
        <v>6</v>
      </c>
      <c r="N6" s="11">
        <v>1349</v>
      </c>
      <c r="O6" s="11">
        <v>8</v>
      </c>
      <c r="P6" s="11">
        <v>4.7</v>
      </c>
      <c r="Q6" s="11" t="s">
        <v>72</v>
      </c>
    </row>
    <row r="7" spans="1:17">
      <c r="A7" s="11">
        <v>106</v>
      </c>
      <c r="B7" s="11" t="s">
        <v>73</v>
      </c>
      <c r="C7" s="11" t="s">
        <v>74</v>
      </c>
      <c r="D7" s="11">
        <f t="shared" si="0"/>
        <v>12</v>
      </c>
      <c r="E7" s="11">
        <v>329</v>
      </c>
      <c r="F7" s="11">
        <v>25</v>
      </c>
      <c r="G7" s="11">
        <v>4.4000000000000004</v>
      </c>
      <c r="H7" s="11" t="s">
        <v>65</v>
      </c>
      <c r="J7" s="11">
        <v>106</v>
      </c>
      <c r="K7" s="11" t="s">
        <v>73</v>
      </c>
      <c r="L7" s="11" t="s">
        <v>1105</v>
      </c>
      <c r="M7" s="11">
        <f t="shared" si="1"/>
        <v>10</v>
      </c>
      <c r="N7" s="11">
        <v>329</v>
      </c>
      <c r="O7" s="11">
        <v>25</v>
      </c>
      <c r="P7" s="11">
        <v>4.4000000000000004</v>
      </c>
      <c r="Q7" s="11" t="s">
        <v>65</v>
      </c>
    </row>
    <row r="8" spans="1:17">
      <c r="A8" s="11">
        <v>107</v>
      </c>
      <c r="B8" s="11" t="s">
        <v>63</v>
      </c>
      <c r="C8" s="11" t="s">
        <v>75</v>
      </c>
      <c r="D8" s="11">
        <f t="shared" si="0"/>
        <v>18</v>
      </c>
      <c r="E8" s="11">
        <v>399</v>
      </c>
      <c r="F8" s="11">
        <v>15</v>
      </c>
      <c r="G8" s="11">
        <v>4.5999999999999996</v>
      </c>
      <c r="H8" s="11" t="s">
        <v>65</v>
      </c>
      <c r="J8" s="11">
        <v>107</v>
      </c>
      <c r="K8" s="11" t="s">
        <v>63</v>
      </c>
      <c r="L8" s="11" t="s">
        <v>1105</v>
      </c>
      <c r="M8" s="11">
        <f t="shared" si="1"/>
        <v>10</v>
      </c>
      <c r="N8" s="11">
        <v>399</v>
      </c>
      <c r="O8" s="11">
        <v>15</v>
      </c>
      <c r="P8" s="11">
        <v>4.5999999999999996</v>
      </c>
      <c r="Q8" s="11" t="s">
        <v>65</v>
      </c>
    </row>
    <row r="9" spans="1:17">
      <c r="A9" s="11">
        <v>108</v>
      </c>
      <c r="B9" s="11" t="s">
        <v>76</v>
      </c>
      <c r="C9" s="11" t="s">
        <v>77</v>
      </c>
      <c r="D9" s="11">
        <f t="shared" si="0"/>
        <v>8</v>
      </c>
      <c r="E9" s="11">
        <v>1299</v>
      </c>
      <c r="F9" s="11">
        <v>6</v>
      </c>
      <c r="G9" s="11">
        <v>4.8</v>
      </c>
      <c r="H9" s="11" t="s">
        <v>68</v>
      </c>
      <c r="J9" s="11">
        <v>108</v>
      </c>
      <c r="K9" s="11" t="s">
        <v>76</v>
      </c>
      <c r="L9" s="11" t="s">
        <v>1106</v>
      </c>
      <c r="M9" s="11">
        <f t="shared" si="1"/>
        <v>6</v>
      </c>
      <c r="N9" s="11">
        <v>1299</v>
      </c>
      <c r="O9" s="11">
        <v>6</v>
      </c>
      <c r="P9" s="11">
        <v>4.8</v>
      </c>
      <c r="Q9" s="11" t="s">
        <v>68</v>
      </c>
    </row>
    <row r="11" spans="1:17">
      <c r="I11" s="12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300FE-0D1E-462A-AB80-30CCC4948AF9}">
  <dimension ref="A1:E24"/>
  <sheetViews>
    <sheetView workbookViewId="0">
      <selection activeCell="D2" sqref="D2"/>
    </sheetView>
  </sheetViews>
  <sheetFormatPr defaultRowHeight="14.4"/>
  <cols>
    <col min="1" max="1" width="18.77734375" bestFit="1" customWidth="1"/>
    <col min="3" max="3" width="19.44140625" bestFit="1" customWidth="1"/>
    <col min="4" max="4" width="16.77734375" bestFit="1" customWidth="1"/>
  </cols>
  <sheetData>
    <row r="1" spans="1:5">
      <c r="A1" s="13" t="s">
        <v>1107</v>
      </c>
      <c r="B1" s="15" t="s">
        <v>1101</v>
      </c>
      <c r="D1" s="16" t="s">
        <v>1107</v>
      </c>
      <c r="E1" s="17" t="s">
        <v>1102</v>
      </c>
    </row>
    <row r="2" spans="1:5">
      <c r="A2" s="14" t="s">
        <v>1108</v>
      </c>
      <c r="B2">
        <f>LEN(A2)</f>
        <v>19</v>
      </c>
      <c r="D2" s="11" t="str">
        <f t="shared" ref="D2:D22" si="0">SUBSTITUTE(A2,CHAR(160),"")</f>
        <v>WH1881NL01</v>
      </c>
      <c r="E2" s="11">
        <f>LEN(D2)</f>
        <v>10</v>
      </c>
    </row>
    <row r="3" spans="1:5">
      <c r="A3" s="14" t="s">
        <v>1109</v>
      </c>
      <c r="B3">
        <f t="shared" ref="B3:B22" si="1">LEN(A3)</f>
        <v>19</v>
      </c>
      <c r="D3" s="11" t="str">
        <f t="shared" si="0"/>
        <v>WH10017QM01</v>
      </c>
      <c r="E3" s="11">
        <f t="shared" ref="E3:E22" si="2">LEN(D3)</f>
        <v>11</v>
      </c>
    </row>
    <row r="4" spans="1:5">
      <c r="A4" s="14" t="s">
        <v>1110</v>
      </c>
      <c r="B4">
        <f t="shared" si="1"/>
        <v>19</v>
      </c>
      <c r="D4" s="11" t="str">
        <f t="shared" si="0"/>
        <v>WH10017SL01</v>
      </c>
      <c r="E4" s="11">
        <f t="shared" si="2"/>
        <v>11</v>
      </c>
    </row>
    <row r="5" spans="1:5">
      <c r="A5" s="14" t="s">
        <v>1111</v>
      </c>
      <c r="B5">
        <f t="shared" si="1"/>
        <v>19</v>
      </c>
      <c r="D5" s="11" t="str">
        <f t="shared" si="0"/>
        <v>WH1043NM01</v>
      </c>
      <c r="E5" s="11">
        <f t="shared" si="2"/>
        <v>10</v>
      </c>
    </row>
    <row r="6" spans="1:5">
      <c r="A6" s="14" t="s">
        <v>1112</v>
      </c>
      <c r="B6">
        <f t="shared" si="1"/>
        <v>19</v>
      </c>
      <c r="D6" s="11" t="str">
        <f t="shared" si="0"/>
        <v>WH1043YL05</v>
      </c>
      <c r="E6" s="11">
        <f t="shared" si="2"/>
        <v>10</v>
      </c>
    </row>
    <row r="7" spans="1:5">
      <c r="A7" s="14" t="s">
        <v>1113</v>
      </c>
      <c r="B7">
        <f t="shared" si="1"/>
        <v>19</v>
      </c>
      <c r="D7" s="11" t="str">
        <f t="shared" si="0"/>
        <v>WH1043YM01</v>
      </c>
      <c r="E7" s="11">
        <f t="shared" si="2"/>
        <v>10</v>
      </c>
    </row>
    <row r="8" spans="1:5">
      <c r="A8" s="14" t="s">
        <v>1114</v>
      </c>
      <c r="B8">
        <f t="shared" si="1"/>
        <v>19</v>
      </c>
      <c r="D8" s="11" t="str">
        <f t="shared" si="0"/>
        <v>WH1044YM07</v>
      </c>
      <c r="E8" s="11">
        <f t="shared" si="2"/>
        <v>10</v>
      </c>
    </row>
    <row r="9" spans="1:5">
      <c r="A9" s="14" t="s">
        <v>1115</v>
      </c>
      <c r="B9">
        <f t="shared" si="1"/>
        <v>19</v>
      </c>
      <c r="D9" s="11" t="str">
        <f t="shared" si="0"/>
        <v>WH15952655WL01</v>
      </c>
      <c r="E9" s="11">
        <f t="shared" si="2"/>
        <v>14</v>
      </c>
    </row>
    <row r="10" spans="1:5">
      <c r="A10" s="14" t="s">
        <v>1116</v>
      </c>
      <c r="B10">
        <f t="shared" si="1"/>
        <v>19</v>
      </c>
      <c r="D10" s="11" t="str">
        <f t="shared" si="0"/>
        <v>WH1595NL01</v>
      </c>
      <c r="E10" s="11">
        <f t="shared" si="2"/>
        <v>10</v>
      </c>
    </row>
    <row r="11" spans="1:5">
      <c r="A11" s="14" t="s">
        <v>1117</v>
      </c>
      <c r="B11">
        <f t="shared" si="1"/>
        <v>19</v>
      </c>
      <c r="D11" s="11" t="str">
        <f t="shared" si="0"/>
        <v>WH1595NM01</v>
      </c>
      <c r="E11" s="11">
        <f t="shared" si="2"/>
        <v>10</v>
      </c>
    </row>
    <row r="12" spans="1:5">
      <c r="A12" s="14" t="s">
        <v>1118</v>
      </c>
      <c r="B12">
        <f t="shared" si="1"/>
        <v>19</v>
      </c>
      <c r="D12" s="11" t="str">
        <f t="shared" si="0"/>
        <v>WH1595SL03</v>
      </c>
      <c r="E12" s="11">
        <f t="shared" si="2"/>
        <v>10</v>
      </c>
    </row>
    <row r="13" spans="1:5">
      <c r="A13" s="14" t="s">
        <v>1119</v>
      </c>
      <c r="B13">
        <f t="shared" si="1"/>
        <v>19</v>
      </c>
      <c r="D13" s="11" t="str">
        <f t="shared" si="0"/>
        <v>WH1595SL06</v>
      </c>
      <c r="E13" s="11">
        <f t="shared" si="2"/>
        <v>10</v>
      </c>
    </row>
    <row r="14" spans="1:5">
      <c r="A14" s="14" t="s">
        <v>1120</v>
      </c>
      <c r="B14">
        <f t="shared" si="1"/>
        <v>19</v>
      </c>
      <c r="D14" s="11" t="str">
        <f t="shared" si="0"/>
        <v>WH1595SL505</v>
      </c>
      <c r="E14" s="11">
        <f t="shared" si="2"/>
        <v>11</v>
      </c>
    </row>
    <row r="15" spans="1:5">
      <c r="A15" s="14" t="s">
        <v>1121</v>
      </c>
      <c r="B15">
        <f t="shared" si="1"/>
        <v>19</v>
      </c>
      <c r="D15" s="11" t="str">
        <f t="shared" si="0"/>
        <v>WH1595WL01</v>
      </c>
      <c r="E15" s="11">
        <f t="shared" si="2"/>
        <v>10</v>
      </c>
    </row>
    <row r="16" spans="1:5">
      <c r="A16" s="14" t="s">
        <v>1122</v>
      </c>
      <c r="B16">
        <f t="shared" si="1"/>
        <v>19</v>
      </c>
      <c r="D16" s="11" t="str">
        <f t="shared" si="0"/>
        <v>WH1595WL09</v>
      </c>
      <c r="E16" s="11">
        <f t="shared" si="2"/>
        <v>10</v>
      </c>
    </row>
    <row r="17" spans="1:5">
      <c r="A17" s="14" t="s">
        <v>1123</v>
      </c>
      <c r="B17">
        <f t="shared" si="1"/>
        <v>19</v>
      </c>
      <c r="D17" s="11" t="str">
        <f t="shared" si="0"/>
        <v>WH1595WM01</v>
      </c>
      <c r="E17" s="11">
        <f t="shared" si="2"/>
        <v>10</v>
      </c>
    </row>
    <row r="18" spans="1:5">
      <c r="A18" s="14" t="s">
        <v>1124</v>
      </c>
      <c r="B18">
        <f t="shared" si="1"/>
        <v>19</v>
      </c>
      <c r="D18" s="11" t="str">
        <f t="shared" si="0"/>
        <v>WH1596NL01</v>
      </c>
      <c r="E18" s="11">
        <f t="shared" si="2"/>
        <v>10</v>
      </c>
    </row>
    <row r="19" spans="1:5">
      <c r="A19" s="14" t="s">
        <v>1125</v>
      </c>
      <c r="B19">
        <f t="shared" si="1"/>
        <v>19</v>
      </c>
      <c r="D19" s="11" t="str">
        <f t="shared" si="0"/>
        <v>WH1843NM01</v>
      </c>
      <c r="E19" s="11">
        <f t="shared" si="2"/>
        <v>10</v>
      </c>
    </row>
    <row r="20" spans="1:5">
      <c r="A20" s="14" t="s">
        <v>1126</v>
      </c>
      <c r="B20">
        <f t="shared" si="1"/>
        <v>19</v>
      </c>
      <c r="D20" s="11" t="str">
        <f t="shared" si="0"/>
        <v>WH1843QM02</v>
      </c>
      <c r="E20" s="11">
        <f t="shared" si="2"/>
        <v>10</v>
      </c>
    </row>
    <row r="21" spans="1:5">
      <c r="A21" s="14" t="s">
        <v>1127</v>
      </c>
      <c r="B21">
        <f t="shared" si="1"/>
        <v>19</v>
      </c>
      <c r="D21" s="11" t="str">
        <f t="shared" si="0"/>
        <v>WH1843WL01</v>
      </c>
      <c r="E21" s="11">
        <f t="shared" si="2"/>
        <v>10</v>
      </c>
    </row>
    <row r="22" spans="1:5">
      <c r="A22" s="14" t="s">
        <v>1128</v>
      </c>
      <c r="B22">
        <f t="shared" si="1"/>
        <v>19</v>
      </c>
      <c r="D22" s="11" t="str">
        <f t="shared" si="0"/>
        <v>WH2654WM01</v>
      </c>
      <c r="E22" s="11">
        <f t="shared" si="2"/>
        <v>10</v>
      </c>
    </row>
    <row r="24" spans="1:5">
      <c r="C24" s="12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AC1A6-D502-4547-A40F-E793D56B7D9D}">
  <dimension ref="A1:I501"/>
  <sheetViews>
    <sheetView workbookViewId="0">
      <selection activeCell="D2" sqref="D2"/>
    </sheetView>
  </sheetViews>
  <sheetFormatPr defaultRowHeight="14.4"/>
  <cols>
    <col min="1" max="1" width="12.44140625" bestFit="1" customWidth="1"/>
    <col min="2" max="2" width="13.21875" bestFit="1" customWidth="1"/>
    <col min="3" max="3" width="10.21875" bestFit="1" customWidth="1"/>
    <col min="4" max="4" width="10.21875" customWidth="1"/>
    <col min="5" max="5" width="7" bestFit="1" customWidth="1"/>
    <col min="6" max="6" width="5.6640625" bestFit="1" customWidth="1"/>
    <col min="9" max="9" width="30" bestFit="1" customWidth="1"/>
  </cols>
  <sheetData>
    <row r="1" spans="1:9">
      <c r="A1" s="8" t="s">
        <v>79</v>
      </c>
      <c r="B1" s="8" t="s">
        <v>80</v>
      </c>
      <c r="C1" s="8" t="s">
        <v>52</v>
      </c>
      <c r="D1" s="8" t="s">
        <v>52</v>
      </c>
      <c r="E1" s="8" t="s">
        <v>53</v>
      </c>
      <c r="F1" s="8" t="s">
        <v>81</v>
      </c>
    </row>
    <row r="2" spans="1:9" ht="18">
      <c r="A2" t="s">
        <v>83</v>
      </c>
      <c r="B2" t="s">
        <v>84</v>
      </c>
      <c r="C2" t="s">
        <v>85</v>
      </c>
      <c r="D2" t="s">
        <v>89</v>
      </c>
      <c r="E2">
        <v>363.54</v>
      </c>
      <c r="F2">
        <v>-3</v>
      </c>
      <c r="I2" s="18" t="s">
        <v>1129</v>
      </c>
    </row>
    <row r="3" spans="1:9">
      <c r="A3" t="s">
        <v>87</v>
      </c>
      <c r="B3" t="s">
        <v>88</v>
      </c>
      <c r="C3" t="s">
        <v>89</v>
      </c>
      <c r="D3" t="s">
        <v>89</v>
      </c>
      <c r="E3">
        <v>906.15</v>
      </c>
      <c r="F3">
        <v>40</v>
      </c>
    </row>
    <row r="4" spans="1:9">
      <c r="A4" t="s">
        <v>91</v>
      </c>
      <c r="B4" t="s">
        <v>92</v>
      </c>
      <c r="C4" t="s">
        <v>93</v>
      </c>
      <c r="D4" t="s">
        <v>156</v>
      </c>
      <c r="E4">
        <v>234.14</v>
      </c>
      <c r="F4">
        <v>26</v>
      </c>
    </row>
    <row r="5" spans="1:9">
      <c r="A5" t="s">
        <v>95</v>
      </c>
      <c r="B5" t="s">
        <v>96</v>
      </c>
      <c r="C5" t="s">
        <v>97</v>
      </c>
      <c r="D5" t="s">
        <v>97</v>
      </c>
      <c r="E5">
        <v>903.5</v>
      </c>
      <c r="F5">
        <v>69</v>
      </c>
    </row>
    <row r="6" spans="1:9">
      <c r="A6" t="s">
        <v>99</v>
      </c>
      <c r="B6" t="s">
        <v>100</v>
      </c>
      <c r="C6" t="s">
        <v>101</v>
      </c>
      <c r="D6" t="s">
        <v>101</v>
      </c>
      <c r="E6">
        <v>352.9</v>
      </c>
      <c r="F6">
        <v>87</v>
      </c>
    </row>
    <row r="7" spans="1:9">
      <c r="A7" t="s">
        <v>103</v>
      </c>
      <c r="B7" t="s">
        <v>104</v>
      </c>
      <c r="C7" t="s">
        <v>85</v>
      </c>
      <c r="D7" t="s">
        <v>89</v>
      </c>
      <c r="E7">
        <v>549.17999999999995</v>
      </c>
      <c r="F7">
        <v>31</v>
      </c>
    </row>
    <row r="8" spans="1:9">
      <c r="A8" t="s">
        <v>106</v>
      </c>
      <c r="B8" t="s">
        <v>107</v>
      </c>
      <c r="C8" t="s">
        <v>93</v>
      </c>
      <c r="D8" t="s">
        <v>156</v>
      </c>
      <c r="E8">
        <v>222.56</v>
      </c>
      <c r="F8">
        <v>59</v>
      </c>
    </row>
    <row r="9" spans="1:9">
      <c r="A9" t="s">
        <v>109</v>
      </c>
      <c r="B9" t="s">
        <v>110</v>
      </c>
      <c r="C9" t="s">
        <v>89</v>
      </c>
      <c r="D9" t="s">
        <v>89</v>
      </c>
      <c r="E9">
        <v>969.7</v>
      </c>
      <c r="F9">
        <v>78</v>
      </c>
    </row>
    <row r="10" spans="1:9">
      <c r="A10" t="s">
        <v>112</v>
      </c>
      <c r="B10" t="s">
        <v>113</v>
      </c>
      <c r="C10" t="s">
        <v>114</v>
      </c>
      <c r="D10" t="s">
        <v>114</v>
      </c>
      <c r="E10">
        <v>321.88</v>
      </c>
      <c r="F10">
        <v>92</v>
      </c>
    </row>
    <row r="11" spans="1:9">
      <c r="A11" t="s">
        <v>116</v>
      </c>
      <c r="B11" t="s">
        <v>117</v>
      </c>
      <c r="C11" t="s">
        <v>93</v>
      </c>
      <c r="D11" t="s">
        <v>156</v>
      </c>
      <c r="E11">
        <v>230.28</v>
      </c>
      <c r="F11">
        <v>-5</v>
      </c>
    </row>
    <row r="12" spans="1:9">
      <c r="A12" t="s">
        <v>119</v>
      </c>
      <c r="B12" t="s">
        <v>120</v>
      </c>
      <c r="C12" t="s">
        <v>93</v>
      </c>
      <c r="D12" t="s">
        <v>156</v>
      </c>
      <c r="E12">
        <v>763.66</v>
      </c>
      <c r="F12">
        <v>22</v>
      </c>
    </row>
    <row r="13" spans="1:9">
      <c r="A13" t="s">
        <v>121</v>
      </c>
      <c r="B13" t="s">
        <v>122</v>
      </c>
      <c r="C13" t="s">
        <v>89</v>
      </c>
      <c r="D13" t="s">
        <v>89</v>
      </c>
      <c r="E13">
        <v>368.76</v>
      </c>
      <c r="F13">
        <v>45</v>
      </c>
    </row>
    <row r="14" spans="1:9">
      <c r="A14" t="s">
        <v>123</v>
      </c>
      <c r="B14" t="s">
        <v>124</v>
      </c>
      <c r="C14" t="s">
        <v>125</v>
      </c>
      <c r="D14" t="s">
        <v>114</v>
      </c>
      <c r="E14">
        <v>669.92</v>
      </c>
      <c r="F14">
        <v>87</v>
      </c>
    </row>
    <row r="15" spans="1:9">
      <c r="A15" t="s">
        <v>126</v>
      </c>
      <c r="B15" t="s">
        <v>127</v>
      </c>
      <c r="C15" t="s">
        <v>93</v>
      </c>
      <c r="D15" t="s">
        <v>156</v>
      </c>
      <c r="E15">
        <v>914.74</v>
      </c>
      <c r="F15">
        <v>-1</v>
      </c>
    </row>
    <row r="16" spans="1:9">
      <c r="A16" t="s">
        <v>128</v>
      </c>
      <c r="B16" t="s">
        <v>129</v>
      </c>
      <c r="C16" t="s">
        <v>114</v>
      </c>
      <c r="D16" t="s">
        <v>114</v>
      </c>
      <c r="E16">
        <v>137.79</v>
      </c>
      <c r="F16">
        <v>78</v>
      </c>
    </row>
    <row r="17" spans="1:6">
      <c r="A17" t="s">
        <v>130</v>
      </c>
      <c r="B17" t="s">
        <v>131</v>
      </c>
      <c r="C17" t="s">
        <v>101</v>
      </c>
      <c r="D17" t="s">
        <v>101</v>
      </c>
      <c r="E17">
        <v>840.84</v>
      </c>
      <c r="F17">
        <v>39</v>
      </c>
    </row>
    <row r="18" spans="1:6">
      <c r="A18" t="s">
        <v>132</v>
      </c>
      <c r="B18" t="s">
        <v>133</v>
      </c>
      <c r="C18" t="s">
        <v>125</v>
      </c>
      <c r="D18" t="s">
        <v>114</v>
      </c>
      <c r="E18">
        <v>784.71</v>
      </c>
      <c r="F18">
        <v>96</v>
      </c>
    </row>
    <row r="19" spans="1:6">
      <c r="A19" t="s">
        <v>134</v>
      </c>
      <c r="B19" t="s">
        <v>135</v>
      </c>
      <c r="C19" t="s">
        <v>89</v>
      </c>
      <c r="D19" t="s">
        <v>89</v>
      </c>
      <c r="E19">
        <v>588.75</v>
      </c>
      <c r="F19">
        <v>51</v>
      </c>
    </row>
    <row r="20" spans="1:6">
      <c r="A20" t="s">
        <v>136</v>
      </c>
      <c r="B20" t="s">
        <v>137</v>
      </c>
      <c r="C20" t="s">
        <v>89</v>
      </c>
      <c r="D20" t="s">
        <v>89</v>
      </c>
      <c r="E20">
        <v>227.05</v>
      </c>
      <c r="F20">
        <v>8</v>
      </c>
    </row>
    <row r="21" spans="1:6">
      <c r="A21" t="s">
        <v>138</v>
      </c>
      <c r="B21" t="s">
        <v>139</v>
      </c>
      <c r="C21" t="s">
        <v>125</v>
      </c>
      <c r="D21" t="s">
        <v>114</v>
      </c>
      <c r="E21">
        <v>944.43</v>
      </c>
      <c r="F21">
        <v>97</v>
      </c>
    </row>
    <row r="22" spans="1:6">
      <c r="A22" t="s">
        <v>140</v>
      </c>
      <c r="B22" t="s">
        <v>141</v>
      </c>
      <c r="C22" t="s">
        <v>101</v>
      </c>
      <c r="D22" t="s">
        <v>101</v>
      </c>
      <c r="E22">
        <v>763.27</v>
      </c>
      <c r="F22">
        <v>85</v>
      </c>
    </row>
    <row r="23" spans="1:6">
      <c r="A23" t="s">
        <v>142</v>
      </c>
      <c r="B23" t="s">
        <v>143</v>
      </c>
      <c r="C23" t="s">
        <v>97</v>
      </c>
      <c r="D23" t="s">
        <v>97</v>
      </c>
      <c r="E23">
        <v>262.69</v>
      </c>
      <c r="F23">
        <v>38</v>
      </c>
    </row>
    <row r="24" spans="1:6">
      <c r="A24" t="s">
        <v>144</v>
      </c>
      <c r="B24" t="s">
        <v>145</v>
      </c>
      <c r="C24" t="s">
        <v>89</v>
      </c>
      <c r="D24" t="s">
        <v>89</v>
      </c>
      <c r="E24">
        <v>705.49</v>
      </c>
      <c r="F24">
        <v>40</v>
      </c>
    </row>
    <row r="25" spans="1:6">
      <c r="A25" t="s">
        <v>146</v>
      </c>
      <c r="B25" t="s">
        <v>147</v>
      </c>
      <c r="C25" t="s">
        <v>114</v>
      </c>
      <c r="D25" t="s">
        <v>114</v>
      </c>
      <c r="E25">
        <v>531.58000000000004</v>
      </c>
      <c r="F25">
        <v>42</v>
      </c>
    </row>
    <row r="26" spans="1:6">
      <c r="A26" t="s">
        <v>148</v>
      </c>
      <c r="B26" t="s">
        <v>149</v>
      </c>
      <c r="C26" t="s">
        <v>97</v>
      </c>
      <c r="D26" t="s">
        <v>97</v>
      </c>
      <c r="E26">
        <v>187.08</v>
      </c>
      <c r="F26">
        <v>34</v>
      </c>
    </row>
    <row r="27" spans="1:6">
      <c r="A27" t="s">
        <v>150</v>
      </c>
      <c r="B27" t="s">
        <v>151</v>
      </c>
      <c r="C27" t="s">
        <v>114</v>
      </c>
      <c r="D27" t="s">
        <v>114</v>
      </c>
      <c r="E27">
        <v>843.67</v>
      </c>
      <c r="F27">
        <v>46</v>
      </c>
    </row>
    <row r="28" spans="1:6">
      <c r="A28" t="s">
        <v>152</v>
      </c>
      <c r="B28" t="s">
        <v>153</v>
      </c>
      <c r="C28" t="s">
        <v>114</v>
      </c>
      <c r="D28" t="s">
        <v>114</v>
      </c>
      <c r="E28">
        <v>434</v>
      </c>
      <c r="F28">
        <v>74</v>
      </c>
    </row>
    <row r="29" spans="1:6">
      <c r="A29" t="s">
        <v>154</v>
      </c>
      <c r="B29" t="s">
        <v>155</v>
      </c>
      <c r="C29" t="s">
        <v>156</v>
      </c>
      <c r="D29" t="s">
        <v>156</v>
      </c>
      <c r="E29">
        <v>566.44000000000005</v>
      </c>
      <c r="F29">
        <v>11</v>
      </c>
    </row>
    <row r="30" spans="1:6">
      <c r="A30" t="s">
        <v>157</v>
      </c>
      <c r="B30" t="s">
        <v>158</v>
      </c>
      <c r="C30" t="s">
        <v>156</v>
      </c>
      <c r="D30" t="s">
        <v>156</v>
      </c>
      <c r="E30">
        <v>448.08</v>
      </c>
      <c r="F30">
        <v>77</v>
      </c>
    </row>
    <row r="31" spans="1:6">
      <c r="A31" t="s">
        <v>159</v>
      </c>
      <c r="B31" t="s">
        <v>160</v>
      </c>
      <c r="C31" t="s">
        <v>156</v>
      </c>
      <c r="D31" t="s">
        <v>156</v>
      </c>
      <c r="E31">
        <v>142.6</v>
      </c>
      <c r="F31">
        <v>64</v>
      </c>
    </row>
    <row r="32" spans="1:6">
      <c r="A32" t="s">
        <v>161</v>
      </c>
      <c r="B32" t="s">
        <v>162</v>
      </c>
      <c r="C32" t="s">
        <v>89</v>
      </c>
      <c r="D32" t="s">
        <v>89</v>
      </c>
      <c r="E32">
        <v>430.97</v>
      </c>
      <c r="F32">
        <v>0</v>
      </c>
    </row>
    <row r="33" spans="1:6">
      <c r="A33" t="s">
        <v>163</v>
      </c>
      <c r="B33" t="s">
        <v>164</v>
      </c>
      <c r="C33" t="s">
        <v>89</v>
      </c>
      <c r="D33" t="s">
        <v>89</v>
      </c>
      <c r="E33">
        <v>508.75</v>
      </c>
      <c r="F33">
        <v>40</v>
      </c>
    </row>
    <row r="34" spans="1:6">
      <c r="A34" t="s">
        <v>165</v>
      </c>
      <c r="B34" t="s">
        <v>166</v>
      </c>
      <c r="C34" t="s">
        <v>97</v>
      </c>
      <c r="D34" t="s">
        <v>97</v>
      </c>
      <c r="E34">
        <v>421.87</v>
      </c>
      <c r="F34">
        <v>64</v>
      </c>
    </row>
    <row r="35" spans="1:6">
      <c r="A35" t="s">
        <v>167</v>
      </c>
      <c r="B35" t="s">
        <v>168</v>
      </c>
      <c r="C35" t="s">
        <v>101</v>
      </c>
      <c r="D35" t="s">
        <v>101</v>
      </c>
      <c r="E35">
        <v>736</v>
      </c>
      <c r="F35">
        <v>74</v>
      </c>
    </row>
    <row r="36" spans="1:6">
      <c r="A36" t="s">
        <v>169</v>
      </c>
      <c r="B36" t="s">
        <v>170</v>
      </c>
      <c r="C36" t="s">
        <v>101</v>
      </c>
      <c r="D36" t="s">
        <v>101</v>
      </c>
      <c r="E36">
        <v>269.37</v>
      </c>
      <c r="F36">
        <v>8</v>
      </c>
    </row>
    <row r="37" spans="1:6">
      <c r="A37" t="s">
        <v>171</v>
      </c>
      <c r="B37" t="s">
        <v>172</v>
      </c>
      <c r="C37" t="s">
        <v>114</v>
      </c>
      <c r="D37" t="s">
        <v>114</v>
      </c>
      <c r="E37">
        <v>79.55</v>
      </c>
      <c r="F37">
        <v>18</v>
      </c>
    </row>
    <row r="38" spans="1:6">
      <c r="A38" t="s">
        <v>173</v>
      </c>
      <c r="B38" t="s">
        <v>174</v>
      </c>
      <c r="C38" t="s">
        <v>89</v>
      </c>
      <c r="D38" t="s">
        <v>89</v>
      </c>
      <c r="E38">
        <v>319.07</v>
      </c>
      <c r="F38">
        <v>19</v>
      </c>
    </row>
    <row r="39" spans="1:6">
      <c r="A39" t="s">
        <v>175</v>
      </c>
      <c r="B39" t="s">
        <v>176</v>
      </c>
      <c r="C39" t="s">
        <v>114</v>
      </c>
      <c r="D39" t="s">
        <v>114</v>
      </c>
      <c r="E39">
        <v>720.06</v>
      </c>
      <c r="F39">
        <v>95</v>
      </c>
    </row>
    <row r="40" spans="1:6">
      <c r="A40" t="s">
        <v>177</v>
      </c>
      <c r="B40" t="s">
        <v>178</v>
      </c>
      <c r="C40" t="s">
        <v>101</v>
      </c>
      <c r="D40" t="s">
        <v>101</v>
      </c>
      <c r="E40">
        <v>760.24</v>
      </c>
      <c r="F40">
        <v>48</v>
      </c>
    </row>
    <row r="41" spans="1:6">
      <c r="A41" t="s">
        <v>179</v>
      </c>
      <c r="B41" t="s">
        <v>180</v>
      </c>
      <c r="C41" t="s">
        <v>156</v>
      </c>
      <c r="D41" t="s">
        <v>156</v>
      </c>
      <c r="E41">
        <v>768.09</v>
      </c>
      <c r="F41">
        <v>-4</v>
      </c>
    </row>
    <row r="42" spans="1:6">
      <c r="A42" t="s">
        <v>181</v>
      </c>
      <c r="B42" t="s">
        <v>182</v>
      </c>
      <c r="C42" t="s">
        <v>89</v>
      </c>
      <c r="D42" t="s">
        <v>89</v>
      </c>
      <c r="E42">
        <v>108.44</v>
      </c>
      <c r="F42">
        <v>-10</v>
      </c>
    </row>
    <row r="43" spans="1:6">
      <c r="A43" t="s">
        <v>183</v>
      </c>
      <c r="B43" t="s">
        <v>184</v>
      </c>
      <c r="C43" t="s">
        <v>114</v>
      </c>
      <c r="D43" t="s">
        <v>114</v>
      </c>
      <c r="E43">
        <v>779.74</v>
      </c>
      <c r="F43">
        <v>53</v>
      </c>
    </row>
    <row r="44" spans="1:6">
      <c r="A44" t="s">
        <v>185</v>
      </c>
      <c r="B44" t="s">
        <v>186</v>
      </c>
      <c r="C44" t="s">
        <v>101</v>
      </c>
      <c r="D44" t="s">
        <v>101</v>
      </c>
      <c r="E44">
        <v>636.39</v>
      </c>
      <c r="F44">
        <v>46</v>
      </c>
    </row>
    <row r="45" spans="1:6">
      <c r="A45" t="s">
        <v>187</v>
      </c>
      <c r="B45" t="s">
        <v>188</v>
      </c>
      <c r="C45" t="s">
        <v>101</v>
      </c>
      <c r="D45" t="s">
        <v>101</v>
      </c>
      <c r="E45">
        <v>191.12</v>
      </c>
      <c r="F45">
        <v>40</v>
      </c>
    </row>
    <row r="46" spans="1:6">
      <c r="A46" t="s">
        <v>189</v>
      </c>
      <c r="B46" t="s">
        <v>190</v>
      </c>
      <c r="C46" t="s">
        <v>97</v>
      </c>
      <c r="D46" t="s">
        <v>97</v>
      </c>
      <c r="E46">
        <v>990.39</v>
      </c>
      <c r="F46">
        <v>49</v>
      </c>
    </row>
    <row r="47" spans="1:6">
      <c r="A47" t="s">
        <v>191</v>
      </c>
      <c r="B47" t="s">
        <v>192</v>
      </c>
      <c r="C47" t="s">
        <v>101</v>
      </c>
      <c r="D47" t="s">
        <v>101</v>
      </c>
      <c r="E47">
        <v>797.12</v>
      </c>
      <c r="F47">
        <v>63</v>
      </c>
    </row>
    <row r="48" spans="1:6">
      <c r="A48" t="s">
        <v>193</v>
      </c>
      <c r="B48" t="s">
        <v>194</v>
      </c>
      <c r="C48" t="s">
        <v>156</v>
      </c>
      <c r="D48" t="s">
        <v>156</v>
      </c>
      <c r="E48">
        <v>635.09</v>
      </c>
      <c r="F48">
        <v>73</v>
      </c>
    </row>
    <row r="49" spans="1:6">
      <c r="A49" t="s">
        <v>195</v>
      </c>
      <c r="B49" t="s">
        <v>196</v>
      </c>
      <c r="C49" t="s">
        <v>97</v>
      </c>
      <c r="D49" t="s">
        <v>97</v>
      </c>
      <c r="E49">
        <v>394.76</v>
      </c>
      <c r="F49">
        <v>15</v>
      </c>
    </row>
    <row r="50" spans="1:6">
      <c r="A50" t="s">
        <v>197</v>
      </c>
      <c r="B50" t="s">
        <v>198</v>
      </c>
      <c r="C50" t="s">
        <v>97</v>
      </c>
      <c r="D50" t="s">
        <v>97</v>
      </c>
      <c r="E50">
        <v>291.57</v>
      </c>
      <c r="F50">
        <v>45</v>
      </c>
    </row>
    <row r="51" spans="1:6">
      <c r="A51" t="s">
        <v>199</v>
      </c>
      <c r="B51" t="s">
        <v>200</v>
      </c>
      <c r="C51" t="s">
        <v>156</v>
      </c>
      <c r="D51" t="s">
        <v>156</v>
      </c>
      <c r="E51">
        <v>451.98</v>
      </c>
      <c r="F51">
        <v>16</v>
      </c>
    </row>
    <row r="52" spans="1:6">
      <c r="A52" t="s">
        <v>201</v>
      </c>
      <c r="B52" t="s">
        <v>202</v>
      </c>
      <c r="C52" t="s">
        <v>89</v>
      </c>
      <c r="D52" t="s">
        <v>89</v>
      </c>
      <c r="E52">
        <v>699.79</v>
      </c>
      <c r="F52">
        <v>74</v>
      </c>
    </row>
    <row r="53" spans="1:6">
      <c r="A53" t="s">
        <v>203</v>
      </c>
      <c r="B53" t="s">
        <v>204</v>
      </c>
      <c r="C53" t="s">
        <v>89</v>
      </c>
      <c r="D53" t="s">
        <v>89</v>
      </c>
      <c r="E53">
        <v>844.49</v>
      </c>
      <c r="F53">
        <v>42</v>
      </c>
    </row>
    <row r="54" spans="1:6">
      <c r="A54" t="s">
        <v>205</v>
      </c>
      <c r="B54" t="s">
        <v>206</v>
      </c>
      <c r="C54" t="s">
        <v>156</v>
      </c>
      <c r="D54" t="s">
        <v>156</v>
      </c>
      <c r="E54">
        <v>733.54</v>
      </c>
      <c r="F54">
        <v>84</v>
      </c>
    </row>
    <row r="55" spans="1:6">
      <c r="A55" t="s">
        <v>207</v>
      </c>
      <c r="B55" t="s">
        <v>208</v>
      </c>
      <c r="C55" t="s">
        <v>156</v>
      </c>
      <c r="D55" t="s">
        <v>156</v>
      </c>
      <c r="E55">
        <v>652.5</v>
      </c>
      <c r="F55">
        <v>97</v>
      </c>
    </row>
    <row r="56" spans="1:6">
      <c r="A56" t="s">
        <v>209</v>
      </c>
      <c r="B56" t="s">
        <v>210</v>
      </c>
      <c r="C56" t="s">
        <v>97</v>
      </c>
      <c r="D56" t="s">
        <v>97</v>
      </c>
      <c r="E56">
        <v>195.42</v>
      </c>
      <c r="F56">
        <v>50</v>
      </c>
    </row>
    <row r="57" spans="1:6">
      <c r="A57" t="s">
        <v>211</v>
      </c>
      <c r="B57" t="s">
        <v>212</v>
      </c>
      <c r="C57" t="s">
        <v>97</v>
      </c>
      <c r="D57" t="s">
        <v>97</v>
      </c>
      <c r="E57">
        <v>695.68</v>
      </c>
      <c r="F57">
        <v>28</v>
      </c>
    </row>
    <row r="58" spans="1:6">
      <c r="A58" t="s">
        <v>213</v>
      </c>
      <c r="B58" t="s">
        <v>214</v>
      </c>
      <c r="C58" t="s">
        <v>114</v>
      </c>
      <c r="D58" t="s">
        <v>114</v>
      </c>
      <c r="E58">
        <v>585.20000000000005</v>
      </c>
      <c r="F58">
        <v>67</v>
      </c>
    </row>
    <row r="59" spans="1:6">
      <c r="A59" t="s">
        <v>215</v>
      </c>
      <c r="B59" t="s">
        <v>216</v>
      </c>
      <c r="C59" t="s">
        <v>97</v>
      </c>
      <c r="D59" t="s">
        <v>97</v>
      </c>
      <c r="E59">
        <v>607.80999999999995</v>
      </c>
      <c r="F59">
        <v>76</v>
      </c>
    </row>
    <row r="60" spans="1:6">
      <c r="A60" t="s">
        <v>217</v>
      </c>
      <c r="B60" t="s">
        <v>218</v>
      </c>
      <c r="C60" t="s">
        <v>101</v>
      </c>
      <c r="D60" t="s">
        <v>101</v>
      </c>
      <c r="E60">
        <v>367.37</v>
      </c>
      <c r="F60">
        <v>56</v>
      </c>
    </row>
    <row r="61" spans="1:6">
      <c r="A61" t="s">
        <v>219</v>
      </c>
      <c r="B61" t="s">
        <v>220</v>
      </c>
      <c r="C61" t="s">
        <v>156</v>
      </c>
      <c r="D61" t="s">
        <v>156</v>
      </c>
      <c r="E61">
        <v>474</v>
      </c>
      <c r="F61">
        <v>48</v>
      </c>
    </row>
    <row r="62" spans="1:6">
      <c r="A62" t="s">
        <v>221</v>
      </c>
      <c r="B62" t="s">
        <v>222</v>
      </c>
      <c r="C62" t="s">
        <v>114</v>
      </c>
      <c r="D62" t="s">
        <v>114</v>
      </c>
      <c r="E62">
        <v>679.73</v>
      </c>
      <c r="F62">
        <v>91</v>
      </c>
    </row>
    <row r="63" spans="1:6">
      <c r="A63" t="s">
        <v>223</v>
      </c>
      <c r="B63" t="s">
        <v>224</v>
      </c>
      <c r="C63" t="s">
        <v>97</v>
      </c>
      <c r="D63" t="s">
        <v>97</v>
      </c>
      <c r="E63">
        <v>492.24</v>
      </c>
      <c r="F63">
        <v>-8</v>
      </c>
    </row>
    <row r="64" spans="1:6">
      <c r="A64" t="s">
        <v>225</v>
      </c>
      <c r="B64" t="s">
        <v>226</v>
      </c>
      <c r="C64" t="s">
        <v>114</v>
      </c>
      <c r="D64" t="s">
        <v>114</v>
      </c>
      <c r="E64">
        <v>823.49</v>
      </c>
      <c r="F64">
        <v>6</v>
      </c>
    </row>
    <row r="65" spans="1:6">
      <c r="A65" t="s">
        <v>227</v>
      </c>
      <c r="B65" t="s">
        <v>228</v>
      </c>
      <c r="C65" t="s">
        <v>101</v>
      </c>
      <c r="D65" t="s">
        <v>101</v>
      </c>
      <c r="E65">
        <v>117.4</v>
      </c>
      <c r="F65">
        <v>-5</v>
      </c>
    </row>
    <row r="66" spans="1:6">
      <c r="A66" t="s">
        <v>229</v>
      </c>
      <c r="B66" t="s">
        <v>230</v>
      </c>
      <c r="C66" t="s">
        <v>101</v>
      </c>
      <c r="D66" t="s">
        <v>101</v>
      </c>
      <c r="E66">
        <v>628.92999999999995</v>
      </c>
      <c r="F66">
        <v>8</v>
      </c>
    </row>
    <row r="67" spans="1:6">
      <c r="A67" t="s">
        <v>231</v>
      </c>
      <c r="B67" t="s">
        <v>232</v>
      </c>
      <c r="C67" t="s">
        <v>114</v>
      </c>
      <c r="D67" t="s">
        <v>114</v>
      </c>
      <c r="E67">
        <v>678.41</v>
      </c>
      <c r="F67">
        <v>54</v>
      </c>
    </row>
    <row r="68" spans="1:6">
      <c r="A68" t="s">
        <v>233</v>
      </c>
      <c r="B68" t="s">
        <v>234</v>
      </c>
      <c r="C68" t="s">
        <v>156</v>
      </c>
      <c r="D68" t="s">
        <v>156</v>
      </c>
      <c r="E68">
        <v>135.61000000000001</v>
      </c>
      <c r="F68">
        <v>57</v>
      </c>
    </row>
    <row r="69" spans="1:6">
      <c r="A69" t="s">
        <v>235</v>
      </c>
      <c r="B69" t="s">
        <v>236</v>
      </c>
      <c r="C69" t="s">
        <v>156</v>
      </c>
      <c r="D69" t="s">
        <v>156</v>
      </c>
      <c r="E69">
        <v>465.71</v>
      </c>
      <c r="F69">
        <v>64</v>
      </c>
    </row>
    <row r="70" spans="1:6">
      <c r="A70" t="s">
        <v>237</v>
      </c>
      <c r="B70" t="s">
        <v>238</v>
      </c>
      <c r="C70" t="s">
        <v>97</v>
      </c>
      <c r="D70" t="s">
        <v>97</v>
      </c>
      <c r="E70">
        <v>225.49</v>
      </c>
      <c r="F70">
        <v>67</v>
      </c>
    </row>
    <row r="71" spans="1:6">
      <c r="A71" t="s">
        <v>239</v>
      </c>
      <c r="B71" t="s">
        <v>240</v>
      </c>
      <c r="C71" t="s">
        <v>89</v>
      </c>
      <c r="D71" t="s">
        <v>89</v>
      </c>
      <c r="E71">
        <v>431.57</v>
      </c>
      <c r="F71">
        <v>9</v>
      </c>
    </row>
    <row r="72" spans="1:6">
      <c r="A72" t="s">
        <v>241</v>
      </c>
      <c r="B72" t="s">
        <v>242</v>
      </c>
      <c r="C72" t="s">
        <v>156</v>
      </c>
      <c r="D72" t="s">
        <v>156</v>
      </c>
      <c r="E72">
        <v>230.14</v>
      </c>
      <c r="F72">
        <v>56</v>
      </c>
    </row>
    <row r="73" spans="1:6">
      <c r="A73" t="s">
        <v>243</v>
      </c>
      <c r="B73" t="s">
        <v>244</v>
      </c>
      <c r="C73" t="s">
        <v>156</v>
      </c>
      <c r="D73" t="s">
        <v>156</v>
      </c>
      <c r="E73">
        <v>955.7</v>
      </c>
      <c r="F73">
        <v>63</v>
      </c>
    </row>
    <row r="74" spans="1:6">
      <c r="A74" t="s">
        <v>245</v>
      </c>
      <c r="B74" t="s">
        <v>246</v>
      </c>
      <c r="C74" t="s">
        <v>97</v>
      </c>
      <c r="D74" t="s">
        <v>97</v>
      </c>
      <c r="E74">
        <v>270.33</v>
      </c>
      <c r="F74">
        <v>66</v>
      </c>
    </row>
    <row r="75" spans="1:6">
      <c r="A75" t="s">
        <v>247</v>
      </c>
      <c r="B75" t="s">
        <v>248</v>
      </c>
      <c r="C75" t="s">
        <v>101</v>
      </c>
      <c r="D75" t="s">
        <v>101</v>
      </c>
      <c r="E75">
        <v>411.36</v>
      </c>
      <c r="F75">
        <v>74</v>
      </c>
    </row>
    <row r="76" spans="1:6">
      <c r="A76" t="s">
        <v>249</v>
      </c>
      <c r="B76" t="s">
        <v>250</v>
      </c>
      <c r="C76" t="s">
        <v>97</v>
      </c>
      <c r="D76" t="s">
        <v>97</v>
      </c>
      <c r="E76">
        <v>132.56</v>
      </c>
      <c r="F76">
        <v>4</v>
      </c>
    </row>
    <row r="77" spans="1:6">
      <c r="A77" t="s">
        <v>251</v>
      </c>
      <c r="B77" t="s">
        <v>252</v>
      </c>
      <c r="C77" t="s">
        <v>101</v>
      </c>
      <c r="D77" t="s">
        <v>101</v>
      </c>
      <c r="E77">
        <v>527.69000000000005</v>
      </c>
      <c r="F77">
        <v>97</v>
      </c>
    </row>
    <row r="78" spans="1:6">
      <c r="A78" t="s">
        <v>253</v>
      </c>
      <c r="B78" t="s">
        <v>254</v>
      </c>
      <c r="C78" t="s">
        <v>114</v>
      </c>
      <c r="D78" t="s">
        <v>114</v>
      </c>
      <c r="E78">
        <v>580.25</v>
      </c>
      <c r="F78">
        <v>21</v>
      </c>
    </row>
    <row r="79" spans="1:6">
      <c r="A79" t="s">
        <v>255</v>
      </c>
      <c r="B79" t="s">
        <v>256</v>
      </c>
      <c r="C79" t="s">
        <v>89</v>
      </c>
      <c r="D79" t="s">
        <v>89</v>
      </c>
      <c r="E79">
        <v>626.32000000000005</v>
      </c>
      <c r="F79">
        <v>65</v>
      </c>
    </row>
    <row r="80" spans="1:6">
      <c r="A80" t="s">
        <v>257</v>
      </c>
      <c r="B80" t="s">
        <v>258</v>
      </c>
      <c r="C80" t="s">
        <v>114</v>
      </c>
      <c r="D80" t="s">
        <v>114</v>
      </c>
      <c r="E80">
        <v>828.12</v>
      </c>
      <c r="F80">
        <v>84</v>
      </c>
    </row>
    <row r="81" spans="1:6">
      <c r="A81" t="s">
        <v>259</v>
      </c>
      <c r="B81" t="s">
        <v>260</v>
      </c>
      <c r="C81" t="s">
        <v>89</v>
      </c>
      <c r="D81" t="s">
        <v>89</v>
      </c>
      <c r="E81">
        <v>219.41</v>
      </c>
      <c r="F81">
        <v>18</v>
      </c>
    </row>
    <row r="82" spans="1:6">
      <c r="A82" t="s">
        <v>261</v>
      </c>
      <c r="B82" t="s">
        <v>262</v>
      </c>
      <c r="C82" t="s">
        <v>156</v>
      </c>
      <c r="D82" t="s">
        <v>156</v>
      </c>
      <c r="E82">
        <v>490.56</v>
      </c>
      <c r="F82">
        <v>4</v>
      </c>
    </row>
    <row r="83" spans="1:6">
      <c r="A83" t="s">
        <v>263</v>
      </c>
      <c r="B83" t="s">
        <v>264</v>
      </c>
      <c r="C83" t="s">
        <v>156</v>
      </c>
      <c r="D83" t="s">
        <v>156</v>
      </c>
      <c r="E83">
        <v>72.930000000000007</v>
      </c>
      <c r="F83">
        <v>1</v>
      </c>
    </row>
    <row r="84" spans="1:6">
      <c r="A84" t="s">
        <v>265</v>
      </c>
      <c r="B84" t="s">
        <v>266</v>
      </c>
      <c r="C84" t="s">
        <v>89</v>
      </c>
      <c r="D84" t="s">
        <v>89</v>
      </c>
      <c r="E84">
        <v>792.19</v>
      </c>
      <c r="F84">
        <v>41</v>
      </c>
    </row>
    <row r="85" spans="1:6">
      <c r="A85" t="s">
        <v>267</v>
      </c>
      <c r="B85" t="s">
        <v>268</v>
      </c>
      <c r="C85" t="s">
        <v>101</v>
      </c>
      <c r="D85" t="s">
        <v>101</v>
      </c>
      <c r="E85">
        <v>329.11</v>
      </c>
      <c r="F85">
        <v>68</v>
      </c>
    </row>
    <row r="86" spans="1:6">
      <c r="A86" t="s">
        <v>269</v>
      </c>
      <c r="B86" t="s">
        <v>270</v>
      </c>
      <c r="C86" t="s">
        <v>101</v>
      </c>
      <c r="D86" t="s">
        <v>101</v>
      </c>
      <c r="E86">
        <v>536.46</v>
      </c>
      <c r="F86">
        <v>25</v>
      </c>
    </row>
    <row r="87" spans="1:6">
      <c r="A87" t="s">
        <v>271</v>
      </c>
      <c r="B87" t="s">
        <v>272</v>
      </c>
      <c r="C87" t="s">
        <v>97</v>
      </c>
      <c r="D87" t="s">
        <v>97</v>
      </c>
      <c r="E87">
        <v>112.84</v>
      </c>
      <c r="F87">
        <v>67</v>
      </c>
    </row>
    <row r="88" spans="1:6">
      <c r="A88" t="s">
        <v>273</v>
      </c>
      <c r="B88" t="s">
        <v>274</v>
      </c>
      <c r="C88" t="s">
        <v>89</v>
      </c>
      <c r="D88" t="s">
        <v>89</v>
      </c>
      <c r="E88">
        <v>340.83</v>
      </c>
      <c r="F88">
        <v>9</v>
      </c>
    </row>
    <row r="89" spans="1:6">
      <c r="A89" t="s">
        <v>275</v>
      </c>
      <c r="B89" t="s">
        <v>276</v>
      </c>
      <c r="C89" t="s">
        <v>101</v>
      </c>
      <c r="D89" t="s">
        <v>101</v>
      </c>
      <c r="E89">
        <v>995.34</v>
      </c>
      <c r="F89">
        <v>77</v>
      </c>
    </row>
    <row r="90" spans="1:6">
      <c r="A90" t="s">
        <v>277</v>
      </c>
      <c r="B90" t="s">
        <v>278</v>
      </c>
      <c r="C90" t="s">
        <v>101</v>
      </c>
      <c r="D90" t="s">
        <v>101</v>
      </c>
      <c r="E90">
        <v>769.9</v>
      </c>
      <c r="F90">
        <v>99</v>
      </c>
    </row>
    <row r="91" spans="1:6">
      <c r="A91" t="s">
        <v>279</v>
      </c>
      <c r="B91" t="s">
        <v>280</v>
      </c>
      <c r="C91" t="s">
        <v>89</v>
      </c>
      <c r="D91" t="s">
        <v>89</v>
      </c>
      <c r="E91">
        <v>475.06</v>
      </c>
      <c r="F91">
        <v>95</v>
      </c>
    </row>
    <row r="92" spans="1:6">
      <c r="A92" t="s">
        <v>281</v>
      </c>
      <c r="B92" t="s">
        <v>282</v>
      </c>
      <c r="C92" t="s">
        <v>101</v>
      </c>
      <c r="D92" t="s">
        <v>101</v>
      </c>
      <c r="E92">
        <v>984.78</v>
      </c>
      <c r="F92">
        <v>59</v>
      </c>
    </row>
    <row r="93" spans="1:6">
      <c r="A93" t="s">
        <v>283</v>
      </c>
      <c r="B93" t="s">
        <v>284</v>
      </c>
      <c r="C93" t="s">
        <v>101</v>
      </c>
      <c r="D93" t="s">
        <v>101</v>
      </c>
      <c r="E93">
        <v>827.37</v>
      </c>
      <c r="F93">
        <v>39</v>
      </c>
    </row>
    <row r="94" spans="1:6">
      <c r="A94" t="s">
        <v>285</v>
      </c>
      <c r="B94" t="s">
        <v>286</v>
      </c>
      <c r="C94" t="s">
        <v>97</v>
      </c>
      <c r="D94" t="s">
        <v>97</v>
      </c>
      <c r="E94">
        <v>583.88</v>
      </c>
      <c r="F94">
        <v>20</v>
      </c>
    </row>
    <row r="95" spans="1:6">
      <c r="A95" t="s">
        <v>287</v>
      </c>
      <c r="B95" t="s">
        <v>288</v>
      </c>
      <c r="C95" t="s">
        <v>156</v>
      </c>
      <c r="D95" t="s">
        <v>156</v>
      </c>
      <c r="E95">
        <v>147.41999999999999</v>
      </c>
      <c r="F95">
        <v>68</v>
      </c>
    </row>
    <row r="96" spans="1:6">
      <c r="A96" t="s">
        <v>289</v>
      </c>
      <c r="B96" t="s">
        <v>290</v>
      </c>
      <c r="C96" t="s">
        <v>156</v>
      </c>
      <c r="D96" t="s">
        <v>156</v>
      </c>
      <c r="E96">
        <v>728.6</v>
      </c>
      <c r="F96">
        <v>30</v>
      </c>
    </row>
    <row r="97" spans="1:6">
      <c r="A97" t="s">
        <v>291</v>
      </c>
      <c r="B97" t="s">
        <v>292</v>
      </c>
      <c r="C97" t="s">
        <v>114</v>
      </c>
      <c r="D97" t="s">
        <v>114</v>
      </c>
      <c r="E97">
        <v>590.16</v>
      </c>
      <c r="F97">
        <v>63</v>
      </c>
    </row>
    <row r="98" spans="1:6">
      <c r="A98" t="s">
        <v>293</v>
      </c>
      <c r="B98" t="s">
        <v>294</v>
      </c>
      <c r="C98" t="s">
        <v>89</v>
      </c>
      <c r="D98" t="s">
        <v>89</v>
      </c>
      <c r="E98">
        <v>889.08</v>
      </c>
      <c r="F98">
        <v>9</v>
      </c>
    </row>
    <row r="99" spans="1:6">
      <c r="A99" t="s">
        <v>295</v>
      </c>
      <c r="B99" t="s">
        <v>296</v>
      </c>
      <c r="C99" t="s">
        <v>156</v>
      </c>
      <c r="D99" t="s">
        <v>156</v>
      </c>
      <c r="E99">
        <v>57.22</v>
      </c>
      <c r="F99">
        <v>34</v>
      </c>
    </row>
    <row r="100" spans="1:6">
      <c r="A100" t="s">
        <v>297</v>
      </c>
      <c r="B100" t="s">
        <v>298</v>
      </c>
      <c r="C100" t="s">
        <v>89</v>
      </c>
      <c r="D100" t="s">
        <v>89</v>
      </c>
      <c r="E100">
        <v>401.24</v>
      </c>
      <c r="F100">
        <v>43</v>
      </c>
    </row>
    <row r="101" spans="1:6">
      <c r="A101" t="s">
        <v>299</v>
      </c>
      <c r="B101" t="s">
        <v>300</v>
      </c>
      <c r="C101" t="s">
        <v>101</v>
      </c>
      <c r="D101" t="s">
        <v>101</v>
      </c>
      <c r="E101">
        <v>796.33</v>
      </c>
      <c r="F101">
        <v>99</v>
      </c>
    </row>
    <row r="102" spans="1:6">
      <c r="A102" t="s">
        <v>301</v>
      </c>
      <c r="B102" t="s">
        <v>302</v>
      </c>
      <c r="C102" t="s">
        <v>97</v>
      </c>
      <c r="D102" t="s">
        <v>97</v>
      </c>
      <c r="E102">
        <v>802.31</v>
      </c>
      <c r="F102">
        <v>97</v>
      </c>
    </row>
    <row r="103" spans="1:6">
      <c r="A103" t="s">
        <v>303</v>
      </c>
      <c r="B103" t="s">
        <v>304</v>
      </c>
      <c r="C103" t="s">
        <v>89</v>
      </c>
      <c r="D103" t="s">
        <v>89</v>
      </c>
      <c r="E103">
        <v>612.07000000000005</v>
      </c>
      <c r="F103">
        <v>25</v>
      </c>
    </row>
    <row r="104" spans="1:6">
      <c r="A104" t="s">
        <v>305</v>
      </c>
      <c r="B104" t="s">
        <v>306</v>
      </c>
      <c r="C104" t="s">
        <v>156</v>
      </c>
      <c r="D104" t="s">
        <v>156</v>
      </c>
      <c r="E104">
        <v>366.32</v>
      </c>
      <c r="F104">
        <v>12</v>
      </c>
    </row>
    <row r="105" spans="1:6">
      <c r="A105" t="s">
        <v>307</v>
      </c>
      <c r="B105" t="s">
        <v>308</v>
      </c>
      <c r="C105" t="s">
        <v>97</v>
      </c>
      <c r="D105" t="s">
        <v>97</v>
      </c>
      <c r="E105">
        <v>241.28</v>
      </c>
      <c r="F105">
        <v>21</v>
      </c>
    </row>
    <row r="106" spans="1:6">
      <c r="A106" t="s">
        <v>309</v>
      </c>
      <c r="B106" t="s">
        <v>310</v>
      </c>
      <c r="C106" t="s">
        <v>97</v>
      </c>
      <c r="D106" t="s">
        <v>97</v>
      </c>
      <c r="E106">
        <v>55.88</v>
      </c>
      <c r="F106">
        <v>11</v>
      </c>
    </row>
    <row r="107" spans="1:6">
      <c r="A107" t="s">
        <v>311</v>
      </c>
      <c r="B107" t="s">
        <v>312</v>
      </c>
      <c r="C107" t="s">
        <v>114</v>
      </c>
      <c r="D107" t="s">
        <v>114</v>
      </c>
      <c r="E107">
        <v>876.55</v>
      </c>
      <c r="F107">
        <v>-9</v>
      </c>
    </row>
    <row r="108" spans="1:6">
      <c r="A108" t="s">
        <v>313</v>
      </c>
      <c r="B108" t="s">
        <v>314</v>
      </c>
      <c r="C108" t="s">
        <v>156</v>
      </c>
      <c r="D108" t="s">
        <v>156</v>
      </c>
      <c r="E108">
        <v>411.54</v>
      </c>
      <c r="F108">
        <v>98</v>
      </c>
    </row>
    <row r="109" spans="1:6">
      <c r="A109" t="s">
        <v>315</v>
      </c>
      <c r="B109" t="s">
        <v>316</v>
      </c>
      <c r="C109" t="s">
        <v>97</v>
      </c>
      <c r="D109" t="s">
        <v>97</v>
      </c>
      <c r="E109">
        <v>756.41</v>
      </c>
      <c r="F109">
        <v>63</v>
      </c>
    </row>
    <row r="110" spans="1:6">
      <c r="A110" t="s">
        <v>317</v>
      </c>
      <c r="B110" t="s">
        <v>318</v>
      </c>
      <c r="C110" t="s">
        <v>114</v>
      </c>
      <c r="D110" t="s">
        <v>114</v>
      </c>
      <c r="E110">
        <v>302.37</v>
      </c>
      <c r="F110">
        <v>75</v>
      </c>
    </row>
    <row r="111" spans="1:6">
      <c r="A111" t="s">
        <v>319</v>
      </c>
      <c r="B111" t="s">
        <v>320</v>
      </c>
      <c r="C111" t="s">
        <v>114</v>
      </c>
      <c r="D111" t="s">
        <v>114</v>
      </c>
      <c r="E111">
        <v>510.18</v>
      </c>
      <c r="F111">
        <v>86</v>
      </c>
    </row>
    <row r="112" spans="1:6">
      <c r="A112" t="s">
        <v>321</v>
      </c>
      <c r="B112" t="s">
        <v>322</v>
      </c>
      <c r="C112" t="s">
        <v>101</v>
      </c>
      <c r="D112" t="s">
        <v>101</v>
      </c>
      <c r="E112">
        <v>220.09</v>
      </c>
      <c r="F112">
        <v>82</v>
      </c>
    </row>
    <row r="113" spans="1:6">
      <c r="A113" t="s">
        <v>323</v>
      </c>
      <c r="B113" t="s">
        <v>324</v>
      </c>
      <c r="C113" t="s">
        <v>114</v>
      </c>
      <c r="D113" t="s">
        <v>114</v>
      </c>
      <c r="E113">
        <v>601.62</v>
      </c>
      <c r="F113">
        <v>42</v>
      </c>
    </row>
    <row r="114" spans="1:6">
      <c r="A114" t="s">
        <v>325</v>
      </c>
      <c r="B114" t="s">
        <v>326</v>
      </c>
      <c r="C114" t="s">
        <v>89</v>
      </c>
      <c r="D114" t="s">
        <v>89</v>
      </c>
      <c r="E114">
        <v>919.78</v>
      </c>
      <c r="F114">
        <v>90</v>
      </c>
    </row>
    <row r="115" spans="1:6">
      <c r="A115" t="s">
        <v>327</v>
      </c>
      <c r="B115" t="s">
        <v>328</v>
      </c>
      <c r="C115" t="s">
        <v>156</v>
      </c>
      <c r="D115" t="s">
        <v>156</v>
      </c>
      <c r="E115">
        <v>290.58999999999997</v>
      </c>
      <c r="F115">
        <v>55</v>
      </c>
    </row>
    <row r="116" spans="1:6">
      <c r="A116" t="s">
        <v>329</v>
      </c>
      <c r="B116" t="s">
        <v>330</v>
      </c>
      <c r="C116" t="s">
        <v>89</v>
      </c>
      <c r="D116" t="s">
        <v>89</v>
      </c>
      <c r="E116">
        <v>237.22</v>
      </c>
      <c r="F116">
        <v>42</v>
      </c>
    </row>
    <row r="117" spans="1:6">
      <c r="A117" t="s">
        <v>331</v>
      </c>
      <c r="B117" t="s">
        <v>332</v>
      </c>
      <c r="C117" t="s">
        <v>97</v>
      </c>
      <c r="D117" t="s">
        <v>97</v>
      </c>
      <c r="E117">
        <v>100.65</v>
      </c>
      <c r="F117">
        <v>84</v>
      </c>
    </row>
    <row r="118" spans="1:6">
      <c r="A118" t="s">
        <v>333</v>
      </c>
      <c r="B118" t="s">
        <v>334</v>
      </c>
      <c r="C118" t="s">
        <v>89</v>
      </c>
      <c r="D118" t="s">
        <v>89</v>
      </c>
      <c r="E118">
        <v>274.7</v>
      </c>
      <c r="F118">
        <v>96</v>
      </c>
    </row>
    <row r="119" spans="1:6">
      <c r="A119" t="s">
        <v>335</v>
      </c>
      <c r="B119" t="s">
        <v>336</v>
      </c>
      <c r="C119" t="s">
        <v>114</v>
      </c>
      <c r="D119" t="s">
        <v>114</v>
      </c>
      <c r="E119">
        <v>524.96</v>
      </c>
      <c r="F119">
        <v>62</v>
      </c>
    </row>
    <row r="120" spans="1:6">
      <c r="A120" t="s">
        <v>337</v>
      </c>
      <c r="B120" t="s">
        <v>338</v>
      </c>
      <c r="C120" t="s">
        <v>89</v>
      </c>
      <c r="D120" t="s">
        <v>89</v>
      </c>
      <c r="E120">
        <v>794.42</v>
      </c>
      <c r="F120">
        <v>25</v>
      </c>
    </row>
    <row r="121" spans="1:6">
      <c r="A121" t="s">
        <v>339</v>
      </c>
      <c r="B121" t="s">
        <v>340</v>
      </c>
      <c r="C121" t="s">
        <v>114</v>
      </c>
      <c r="D121" t="s">
        <v>114</v>
      </c>
      <c r="E121">
        <v>466.35</v>
      </c>
      <c r="F121">
        <v>36</v>
      </c>
    </row>
    <row r="122" spans="1:6">
      <c r="A122" t="s">
        <v>341</v>
      </c>
      <c r="B122" t="s">
        <v>342</v>
      </c>
      <c r="C122" t="s">
        <v>89</v>
      </c>
      <c r="D122" t="s">
        <v>89</v>
      </c>
      <c r="E122">
        <v>304.88</v>
      </c>
      <c r="F122">
        <v>68</v>
      </c>
    </row>
    <row r="123" spans="1:6">
      <c r="A123" t="s">
        <v>343</v>
      </c>
      <c r="B123" t="s">
        <v>344</v>
      </c>
      <c r="C123" t="s">
        <v>89</v>
      </c>
      <c r="D123" t="s">
        <v>89</v>
      </c>
      <c r="E123">
        <v>134.71</v>
      </c>
      <c r="F123">
        <v>45</v>
      </c>
    </row>
    <row r="124" spans="1:6">
      <c r="A124" t="s">
        <v>345</v>
      </c>
      <c r="B124" t="s">
        <v>346</v>
      </c>
      <c r="C124" t="s">
        <v>101</v>
      </c>
      <c r="D124" t="s">
        <v>101</v>
      </c>
      <c r="E124">
        <v>458.52</v>
      </c>
      <c r="F124">
        <v>76</v>
      </c>
    </row>
    <row r="125" spans="1:6">
      <c r="A125" t="s">
        <v>347</v>
      </c>
      <c r="B125" t="s">
        <v>348</v>
      </c>
      <c r="C125" t="s">
        <v>156</v>
      </c>
      <c r="D125" t="s">
        <v>156</v>
      </c>
      <c r="E125">
        <v>892.51</v>
      </c>
      <c r="F125">
        <v>80</v>
      </c>
    </row>
    <row r="126" spans="1:6">
      <c r="A126" t="s">
        <v>349</v>
      </c>
      <c r="B126" t="s">
        <v>350</v>
      </c>
      <c r="C126" t="s">
        <v>97</v>
      </c>
      <c r="D126" t="s">
        <v>97</v>
      </c>
      <c r="E126">
        <v>884.02</v>
      </c>
      <c r="F126">
        <v>41</v>
      </c>
    </row>
    <row r="127" spans="1:6">
      <c r="A127" t="s">
        <v>351</v>
      </c>
      <c r="B127" t="s">
        <v>352</v>
      </c>
      <c r="C127" t="s">
        <v>89</v>
      </c>
      <c r="D127" t="s">
        <v>89</v>
      </c>
      <c r="E127">
        <v>987.58</v>
      </c>
      <c r="F127">
        <v>84</v>
      </c>
    </row>
    <row r="128" spans="1:6">
      <c r="A128" t="s">
        <v>353</v>
      </c>
      <c r="B128" t="s">
        <v>354</v>
      </c>
      <c r="C128" t="s">
        <v>97</v>
      </c>
      <c r="D128" t="s">
        <v>97</v>
      </c>
      <c r="E128">
        <v>377.17</v>
      </c>
      <c r="F128">
        <v>94</v>
      </c>
    </row>
    <row r="129" spans="1:6">
      <c r="A129" t="s">
        <v>355</v>
      </c>
      <c r="B129" t="s">
        <v>356</v>
      </c>
      <c r="C129" t="s">
        <v>97</v>
      </c>
      <c r="D129" t="s">
        <v>97</v>
      </c>
      <c r="E129">
        <v>163.44</v>
      </c>
      <c r="F129">
        <v>12</v>
      </c>
    </row>
    <row r="130" spans="1:6">
      <c r="A130" t="s">
        <v>357</v>
      </c>
      <c r="B130" t="s">
        <v>358</v>
      </c>
      <c r="C130" t="s">
        <v>156</v>
      </c>
      <c r="D130" t="s">
        <v>156</v>
      </c>
      <c r="E130">
        <v>328.15</v>
      </c>
      <c r="F130">
        <v>70</v>
      </c>
    </row>
    <row r="131" spans="1:6">
      <c r="A131" t="s">
        <v>359</v>
      </c>
      <c r="B131" t="s">
        <v>360</v>
      </c>
      <c r="C131" t="s">
        <v>89</v>
      </c>
      <c r="D131" t="s">
        <v>89</v>
      </c>
      <c r="E131">
        <v>73.709999999999994</v>
      </c>
      <c r="F131">
        <v>78</v>
      </c>
    </row>
    <row r="132" spans="1:6">
      <c r="A132" t="s">
        <v>361</v>
      </c>
      <c r="B132" t="s">
        <v>362</v>
      </c>
      <c r="C132" t="s">
        <v>89</v>
      </c>
      <c r="D132" t="s">
        <v>89</v>
      </c>
      <c r="E132">
        <v>140.4</v>
      </c>
      <c r="F132">
        <v>32</v>
      </c>
    </row>
    <row r="133" spans="1:6">
      <c r="A133" t="s">
        <v>363</v>
      </c>
      <c r="B133" t="s">
        <v>364</v>
      </c>
      <c r="C133" t="s">
        <v>156</v>
      </c>
      <c r="D133" t="s">
        <v>156</v>
      </c>
      <c r="E133">
        <v>212.57</v>
      </c>
      <c r="F133">
        <v>13</v>
      </c>
    </row>
    <row r="134" spans="1:6">
      <c r="A134" t="s">
        <v>365</v>
      </c>
      <c r="B134" t="s">
        <v>366</v>
      </c>
      <c r="C134" t="s">
        <v>156</v>
      </c>
      <c r="D134" t="s">
        <v>156</v>
      </c>
      <c r="E134">
        <v>949.27</v>
      </c>
      <c r="F134">
        <v>94</v>
      </c>
    </row>
    <row r="135" spans="1:6">
      <c r="A135" t="s">
        <v>367</v>
      </c>
      <c r="B135" t="s">
        <v>368</v>
      </c>
      <c r="C135" t="s">
        <v>89</v>
      </c>
      <c r="D135" t="s">
        <v>89</v>
      </c>
      <c r="E135">
        <v>497.68</v>
      </c>
      <c r="F135">
        <v>-2</v>
      </c>
    </row>
    <row r="136" spans="1:6">
      <c r="A136" t="s">
        <v>369</v>
      </c>
      <c r="B136" t="s">
        <v>370</v>
      </c>
      <c r="C136" t="s">
        <v>114</v>
      </c>
      <c r="D136" t="s">
        <v>114</v>
      </c>
      <c r="E136">
        <v>603.72</v>
      </c>
      <c r="F136">
        <v>45</v>
      </c>
    </row>
    <row r="137" spans="1:6">
      <c r="A137" t="s">
        <v>371</v>
      </c>
      <c r="B137" t="s">
        <v>372</v>
      </c>
      <c r="C137" t="s">
        <v>156</v>
      </c>
      <c r="D137" t="s">
        <v>156</v>
      </c>
      <c r="E137">
        <v>229.05</v>
      </c>
      <c r="F137">
        <v>-8</v>
      </c>
    </row>
    <row r="138" spans="1:6">
      <c r="A138" t="s">
        <v>373</v>
      </c>
      <c r="B138" t="s">
        <v>374</v>
      </c>
      <c r="C138" t="s">
        <v>156</v>
      </c>
      <c r="D138" t="s">
        <v>156</v>
      </c>
      <c r="E138">
        <v>704</v>
      </c>
      <c r="F138">
        <v>68</v>
      </c>
    </row>
    <row r="139" spans="1:6">
      <c r="A139" t="s">
        <v>375</v>
      </c>
      <c r="B139" t="s">
        <v>376</v>
      </c>
      <c r="C139" t="s">
        <v>156</v>
      </c>
      <c r="D139" t="s">
        <v>156</v>
      </c>
      <c r="E139">
        <v>187.68</v>
      </c>
      <c r="F139">
        <v>64</v>
      </c>
    </row>
    <row r="140" spans="1:6">
      <c r="A140" t="s">
        <v>377</v>
      </c>
      <c r="B140" t="s">
        <v>378</v>
      </c>
      <c r="C140" t="s">
        <v>101</v>
      </c>
      <c r="D140" t="s">
        <v>101</v>
      </c>
      <c r="E140">
        <v>794.47</v>
      </c>
      <c r="F140">
        <v>85</v>
      </c>
    </row>
    <row r="141" spans="1:6">
      <c r="A141" t="s">
        <v>379</v>
      </c>
      <c r="B141" t="s">
        <v>380</v>
      </c>
      <c r="C141" t="s">
        <v>114</v>
      </c>
      <c r="D141" t="s">
        <v>114</v>
      </c>
      <c r="E141">
        <v>113.89</v>
      </c>
      <c r="F141">
        <v>-2</v>
      </c>
    </row>
    <row r="142" spans="1:6">
      <c r="A142" t="s">
        <v>381</v>
      </c>
      <c r="B142" t="s">
        <v>382</v>
      </c>
      <c r="C142" t="s">
        <v>89</v>
      </c>
      <c r="D142" t="s">
        <v>89</v>
      </c>
      <c r="E142">
        <v>579.39</v>
      </c>
      <c r="F142">
        <v>62</v>
      </c>
    </row>
    <row r="143" spans="1:6">
      <c r="A143" t="s">
        <v>383</v>
      </c>
      <c r="B143" t="s">
        <v>384</v>
      </c>
      <c r="C143" t="s">
        <v>114</v>
      </c>
      <c r="D143" t="s">
        <v>114</v>
      </c>
      <c r="E143">
        <v>681.47</v>
      </c>
      <c r="F143">
        <v>24</v>
      </c>
    </row>
    <row r="144" spans="1:6">
      <c r="A144" t="s">
        <v>385</v>
      </c>
      <c r="B144" t="s">
        <v>386</v>
      </c>
      <c r="C144" t="s">
        <v>114</v>
      </c>
      <c r="D144" t="s">
        <v>114</v>
      </c>
      <c r="E144">
        <v>86.67</v>
      </c>
      <c r="F144">
        <v>14</v>
      </c>
    </row>
    <row r="145" spans="1:6">
      <c r="A145" t="s">
        <v>387</v>
      </c>
      <c r="B145" t="s">
        <v>388</v>
      </c>
      <c r="C145" t="s">
        <v>101</v>
      </c>
      <c r="D145" t="s">
        <v>101</v>
      </c>
      <c r="E145">
        <v>380.33</v>
      </c>
      <c r="F145">
        <v>38</v>
      </c>
    </row>
    <row r="146" spans="1:6">
      <c r="A146" t="s">
        <v>389</v>
      </c>
      <c r="B146" t="s">
        <v>390</v>
      </c>
      <c r="C146" t="s">
        <v>97</v>
      </c>
      <c r="D146" t="s">
        <v>97</v>
      </c>
      <c r="E146">
        <v>684.58</v>
      </c>
      <c r="F146">
        <v>52</v>
      </c>
    </row>
    <row r="147" spans="1:6">
      <c r="A147" t="s">
        <v>391</v>
      </c>
      <c r="B147" t="s">
        <v>392</v>
      </c>
      <c r="C147" t="s">
        <v>101</v>
      </c>
      <c r="D147" t="s">
        <v>101</v>
      </c>
      <c r="E147">
        <v>618.16999999999996</v>
      </c>
      <c r="F147">
        <v>28</v>
      </c>
    </row>
    <row r="148" spans="1:6">
      <c r="A148" t="s">
        <v>393</v>
      </c>
      <c r="B148" t="s">
        <v>394</v>
      </c>
      <c r="C148" t="s">
        <v>101</v>
      </c>
      <c r="D148" t="s">
        <v>101</v>
      </c>
      <c r="E148">
        <v>156.01</v>
      </c>
      <c r="F148">
        <v>88</v>
      </c>
    </row>
    <row r="149" spans="1:6">
      <c r="A149" t="s">
        <v>395</v>
      </c>
      <c r="B149" t="s">
        <v>396</v>
      </c>
      <c r="C149" t="s">
        <v>97</v>
      </c>
      <c r="D149" t="s">
        <v>97</v>
      </c>
      <c r="E149">
        <v>515.30999999999995</v>
      </c>
      <c r="F149">
        <v>55</v>
      </c>
    </row>
    <row r="150" spans="1:6">
      <c r="A150" t="s">
        <v>397</v>
      </c>
      <c r="B150" t="s">
        <v>398</v>
      </c>
      <c r="C150" t="s">
        <v>114</v>
      </c>
      <c r="D150" t="s">
        <v>114</v>
      </c>
      <c r="E150">
        <v>696.43</v>
      </c>
      <c r="F150">
        <v>53</v>
      </c>
    </row>
    <row r="151" spans="1:6">
      <c r="A151" t="s">
        <v>399</v>
      </c>
      <c r="B151" t="s">
        <v>400</v>
      </c>
      <c r="C151" t="s">
        <v>101</v>
      </c>
      <c r="D151" t="s">
        <v>101</v>
      </c>
      <c r="E151">
        <v>179.42</v>
      </c>
      <c r="F151">
        <v>43</v>
      </c>
    </row>
    <row r="152" spans="1:6">
      <c r="A152" t="s">
        <v>401</v>
      </c>
      <c r="B152" t="s">
        <v>402</v>
      </c>
      <c r="C152" t="s">
        <v>156</v>
      </c>
      <c r="D152" t="s">
        <v>156</v>
      </c>
      <c r="E152">
        <v>129.47999999999999</v>
      </c>
      <c r="F152">
        <v>94</v>
      </c>
    </row>
    <row r="153" spans="1:6">
      <c r="A153" t="s">
        <v>403</v>
      </c>
      <c r="B153" t="s">
        <v>404</v>
      </c>
      <c r="C153" t="s">
        <v>89</v>
      </c>
      <c r="D153" t="s">
        <v>89</v>
      </c>
      <c r="E153">
        <v>447.07</v>
      </c>
      <c r="F153">
        <v>45</v>
      </c>
    </row>
    <row r="154" spans="1:6">
      <c r="A154" t="s">
        <v>405</v>
      </c>
      <c r="B154" t="s">
        <v>406</v>
      </c>
      <c r="C154" t="s">
        <v>156</v>
      </c>
      <c r="D154" t="s">
        <v>156</v>
      </c>
      <c r="E154">
        <v>223.62</v>
      </c>
      <c r="F154">
        <v>71</v>
      </c>
    </row>
    <row r="155" spans="1:6">
      <c r="A155" t="s">
        <v>407</v>
      </c>
      <c r="B155" t="s">
        <v>408</v>
      </c>
      <c r="C155" t="s">
        <v>101</v>
      </c>
      <c r="D155" t="s">
        <v>101</v>
      </c>
      <c r="E155">
        <v>183.53</v>
      </c>
      <c r="F155">
        <v>91</v>
      </c>
    </row>
    <row r="156" spans="1:6">
      <c r="A156" t="s">
        <v>409</v>
      </c>
      <c r="B156" t="s">
        <v>410</v>
      </c>
      <c r="C156" t="s">
        <v>156</v>
      </c>
      <c r="D156" t="s">
        <v>156</v>
      </c>
      <c r="E156">
        <v>183.46</v>
      </c>
      <c r="F156">
        <v>21</v>
      </c>
    </row>
    <row r="157" spans="1:6">
      <c r="A157" t="s">
        <v>411</v>
      </c>
      <c r="B157" t="s">
        <v>412</v>
      </c>
      <c r="C157" t="s">
        <v>89</v>
      </c>
      <c r="D157" t="s">
        <v>89</v>
      </c>
      <c r="E157">
        <v>516.53</v>
      </c>
      <c r="F157">
        <v>8</v>
      </c>
    </row>
    <row r="158" spans="1:6">
      <c r="A158" t="s">
        <v>413</v>
      </c>
      <c r="B158" t="s">
        <v>414</v>
      </c>
      <c r="C158" t="s">
        <v>97</v>
      </c>
      <c r="D158" t="s">
        <v>97</v>
      </c>
      <c r="E158">
        <v>87.03</v>
      </c>
      <c r="F158">
        <v>59</v>
      </c>
    </row>
    <row r="159" spans="1:6">
      <c r="A159" t="s">
        <v>415</v>
      </c>
      <c r="B159" t="s">
        <v>416</v>
      </c>
      <c r="C159" t="s">
        <v>89</v>
      </c>
      <c r="D159" t="s">
        <v>89</v>
      </c>
      <c r="E159">
        <v>685.79</v>
      </c>
      <c r="F159">
        <v>41</v>
      </c>
    </row>
    <row r="160" spans="1:6">
      <c r="A160" t="s">
        <v>417</v>
      </c>
      <c r="B160" t="s">
        <v>418</v>
      </c>
      <c r="C160" t="s">
        <v>101</v>
      </c>
      <c r="D160" t="s">
        <v>101</v>
      </c>
      <c r="E160">
        <v>729.48</v>
      </c>
      <c r="F160">
        <v>53</v>
      </c>
    </row>
    <row r="161" spans="1:6">
      <c r="A161" t="s">
        <v>419</v>
      </c>
      <c r="B161" t="s">
        <v>420</v>
      </c>
      <c r="C161" t="s">
        <v>97</v>
      </c>
      <c r="D161" t="s">
        <v>97</v>
      </c>
      <c r="E161">
        <v>597.36</v>
      </c>
      <c r="F161">
        <v>97</v>
      </c>
    </row>
    <row r="162" spans="1:6">
      <c r="A162" t="s">
        <v>421</v>
      </c>
      <c r="B162" t="s">
        <v>422</v>
      </c>
      <c r="C162" t="s">
        <v>156</v>
      </c>
      <c r="D162" t="s">
        <v>156</v>
      </c>
      <c r="E162">
        <v>529.05999999999995</v>
      </c>
      <c r="F162">
        <v>93</v>
      </c>
    </row>
    <row r="163" spans="1:6">
      <c r="A163" t="s">
        <v>423</v>
      </c>
      <c r="B163" t="s">
        <v>424</v>
      </c>
      <c r="C163" t="s">
        <v>89</v>
      </c>
      <c r="D163" t="s">
        <v>89</v>
      </c>
      <c r="E163">
        <v>558.6</v>
      </c>
      <c r="F163">
        <v>83</v>
      </c>
    </row>
    <row r="164" spans="1:6">
      <c r="A164" t="s">
        <v>425</v>
      </c>
      <c r="B164" t="s">
        <v>426</v>
      </c>
      <c r="C164" t="s">
        <v>156</v>
      </c>
      <c r="D164" t="s">
        <v>156</v>
      </c>
      <c r="E164">
        <v>154.30000000000001</v>
      </c>
      <c r="F164">
        <v>51</v>
      </c>
    </row>
    <row r="165" spans="1:6">
      <c r="A165" t="s">
        <v>427</v>
      </c>
      <c r="B165" t="s">
        <v>428</v>
      </c>
      <c r="C165" t="s">
        <v>89</v>
      </c>
      <c r="D165" t="s">
        <v>89</v>
      </c>
      <c r="E165">
        <v>458.38</v>
      </c>
      <c r="F165">
        <v>64</v>
      </c>
    </row>
    <row r="166" spans="1:6">
      <c r="A166" t="s">
        <v>429</v>
      </c>
      <c r="B166" t="s">
        <v>430</v>
      </c>
      <c r="C166" t="s">
        <v>101</v>
      </c>
      <c r="D166" t="s">
        <v>101</v>
      </c>
      <c r="E166">
        <v>297.58</v>
      </c>
      <c r="F166">
        <v>60</v>
      </c>
    </row>
    <row r="167" spans="1:6">
      <c r="A167" t="s">
        <v>431</v>
      </c>
      <c r="B167" t="s">
        <v>432</v>
      </c>
      <c r="C167" t="s">
        <v>156</v>
      </c>
      <c r="D167" t="s">
        <v>156</v>
      </c>
      <c r="E167">
        <v>579.45000000000005</v>
      </c>
      <c r="F167">
        <v>66</v>
      </c>
    </row>
    <row r="168" spans="1:6">
      <c r="A168" t="s">
        <v>433</v>
      </c>
      <c r="B168" t="s">
        <v>434</v>
      </c>
      <c r="C168" t="s">
        <v>97</v>
      </c>
      <c r="D168" t="s">
        <v>97</v>
      </c>
      <c r="E168">
        <v>182.71</v>
      </c>
      <c r="F168">
        <v>62</v>
      </c>
    </row>
    <row r="169" spans="1:6">
      <c r="A169" t="s">
        <v>435</v>
      </c>
      <c r="B169" t="s">
        <v>436</v>
      </c>
      <c r="C169" t="s">
        <v>89</v>
      </c>
      <c r="D169" t="s">
        <v>89</v>
      </c>
      <c r="E169">
        <v>119.27</v>
      </c>
      <c r="F169">
        <v>22</v>
      </c>
    </row>
    <row r="170" spans="1:6">
      <c r="A170" t="s">
        <v>437</v>
      </c>
      <c r="B170" t="s">
        <v>438</v>
      </c>
      <c r="C170" t="s">
        <v>114</v>
      </c>
      <c r="D170" t="s">
        <v>114</v>
      </c>
      <c r="E170">
        <v>60.27</v>
      </c>
      <c r="F170">
        <v>33</v>
      </c>
    </row>
    <row r="171" spans="1:6">
      <c r="A171" t="s">
        <v>439</v>
      </c>
      <c r="B171" t="s">
        <v>440</v>
      </c>
      <c r="C171" t="s">
        <v>156</v>
      </c>
      <c r="D171" t="s">
        <v>156</v>
      </c>
      <c r="E171">
        <v>200.96</v>
      </c>
      <c r="F171">
        <v>97</v>
      </c>
    </row>
    <row r="172" spans="1:6">
      <c r="A172" t="s">
        <v>441</v>
      </c>
      <c r="B172" t="s">
        <v>442</v>
      </c>
      <c r="C172" t="s">
        <v>114</v>
      </c>
      <c r="D172" t="s">
        <v>114</v>
      </c>
      <c r="E172">
        <v>75.959999999999994</v>
      </c>
      <c r="F172">
        <v>51</v>
      </c>
    </row>
    <row r="173" spans="1:6">
      <c r="A173" t="s">
        <v>443</v>
      </c>
      <c r="B173" t="s">
        <v>444</v>
      </c>
      <c r="C173" t="s">
        <v>89</v>
      </c>
      <c r="D173" t="s">
        <v>89</v>
      </c>
      <c r="E173">
        <v>834.87</v>
      </c>
      <c r="F173">
        <v>62</v>
      </c>
    </row>
    <row r="174" spans="1:6">
      <c r="A174" t="s">
        <v>445</v>
      </c>
      <c r="B174" t="s">
        <v>446</v>
      </c>
      <c r="C174" t="s">
        <v>97</v>
      </c>
      <c r="D174" t="s">
        <v>97</v>
      </c>
      <c r="E174">
        <v>798.81</v>
      </c>
      <c r="F174">
        <v>69</v>
      </c>
    </row>
    <row r="175" spans="1:6">
      <c r="A175" t="s">
        <v>447</v>
      </c>
      <c r="B175" t="s">
        <v>448</v>
      </c>
      <c r="C175" t="s">
        <v>89</v>
      </c>
      <c r="D175" t="s">
        <v>89</v>
      </c>
      <c r="E175">
        <v>107.67</v>
      </c>
      <c r="F175">
        <v>21</v>
      </c>
    </row>
    <row r="176" spans="1:6">
      <c r="A176" t="s">
        <v>449</v>
      </c>
      <c r="B176" t="s">
        <v>450</v>
      </c>
      <c r="C176" t="s">
        <v>89</v>
      </c>
      <c r="D176" t="s">
        <v>89</v>
      </c>
      <c r="E176">
        <v>670.38</v>
      </c>
      <c r="F176">
        <v>74</v>
      </c>
    </row>
    <row r="177" spans="1:6">
      <c r="A177" t="s">
        <v>451</v>
      </c>
      <c r="B177" t="s">
        <v>452</v>
      </c>
      <c r="C177" t="s">
        <v>97</v>
      </c>
      <c r="D177" t="s">
        <v>97</v>
      </c>
      <c r="E177">
        <v>278.58</v>
      </c>
      <c r="F177">
        <v>-2</v>
      </c>
    </row>
    <row r="178" spans="1:6">
      <c r="A178" t="s">
        <v>453</v>
      </c>
      <c r="B178" t="s">
        <v>454</v>
      </c>
      <c r="C178" t="s">
        <v>97</v>
      </c>
      <c r="D178" t="s">
        <v>97</v>
      </c>
      <c r="E178">
        <v>825.88</v>
      </c>
      <c r="F178">
        <v>28</v>
      </c>
    </row>
    <row r="179" spans="1:6">
      <c r="A179" t="s">
        <v>455</v>
      </c>
      <c r="B179" t="s">
        <v>456</v>
      </c>
      <c r="C179" t="s">
        <v>101</v>
      </c>
      <c r="D179" t="s">
        <v>101</v>
      </c>
      <c r="E179">
        <v>747.94</v>
      </c>
      <c r="F179">
        <v>80</v>
      </c>
    </row>
    <row r="180" spans="1:6">
      <c r="A180" t="s">
        <v>457</v>
      </c>
      <c r="B180" t="s">
        <v>458</v>
      </c>
      <c r="C180" t="s">
        <v>114</v>
      </c>
      <c r="D180" t="s">
        <v>114</v>
      </c>
      <c r="E180">
        <v>800.03</v>
      </c>
      <c r="F180">
        <v>91</v>
      </c>
    </row>
    <row r="181" spans="1:6">
      <c r="A181" t="s">
        <v>459</v>
      </c>
      <c r="B181" t="s">
        <v>460</v>
      </c>
      <c r="C181" t="s">
        <v>89</v>
      </c>
      <c r="D181" t="s">
        <v>89</v>
      </c>
      <c r="E181">
        <v>429.74</v>
      </c>
      <c r="F181">
        <v>65</v>
      </c>
    </row>
    <row r="182" spans="1:6">
      <c r="A182" t="s">
        <v>461</v>
      </c>
      <c r="B182" t="s">
        <v>462</v>
      </c>
      <c r="C182" t="s">
        <v>114</v>
      </c>
      <c r="D182" t="s">
        <v>114</v>
      </c>
      <c r="E182">
        <v>363.5</v>
      </c>
      <c r="F182">
        <v>35</v>
      </c>
    </row>
    <row r="183" spans="1:6">
      <c r="A183" t="s">
        <v>463</v>
      </c>
      <c r="B183" t="s">
        <v>464</v>
      </c>
      <c r="C183" t="s">
        <v>89</v>
      </c>
      <c r="D183" t="s">
        <v>89</v>
      </c>
      <c r="E183">
        <v>838.3</v>
      </c>
      <c r="F183">
        <v>62</v>
      </c>
    </row>
    <row r="184" spans="1:6">
      <c r="A184" t="s">
        <v>465</v>
      </c>
      <c r="B184" t="s">
        <v>466</v>
      </c>
      <c r="C184" t="s">
        <v>101</v>
      </c>
      <c r="D184" t="s">
        <v>101</v>
      </c>
      <c r="E184">
        <v>967.51</v>
      </c>
      <c r="F184">
        <v>-7</v>
      </c>
    </row>
    <row r="185" spans="1:6">
      <c r="A185" t="s">
        <v>467</v>
      </c>
      <c r="B185" t="s">
        <v>468</v>
      </c>
      <c r="C185" t="s">
        <v>97</v>
      </c>
      <c r="D185" t="s">
        <v>97</v>
      </c>
      <c r="E185">
        <v>965.71</v>
      </c>
      <c r="F185">
        <v>15</v>
      </c>
    </row>
    <row r="186" spans="1:6">
      <c r="A186" t="s">
        <v>469</v>
      </c>
      <c r="B186" t="s">
        <v>470</v>
      </c>
      <c r="C186" t="s">
        <v>97</v>
      </c>
      <c r="D186" t="s">
        <v>97</v>
      </c>
      <c r="E186">
        <v>392.8</v>
      </c>
      <c r="F186">
        <v>80</v>
      </c>
    </row>
    <row r="187" spans="1:6">
      <c r="A187" t="s">
        <v>471</v>
      </c>
      <c r="B187" t="s">
        <v>472</v>
      </c>
      <c r="C187" t="s">
        <v>156</v>
      </c>
      <c r="D187" t="s">
        <v>156</v>
      </c>
      <c r="E187">
        <v>121.02</v>
      </c>
      <c r="F187">
        <v>63</v>
      </c>
    </row>
    <row r="188" spans="1:6">
      <c r="A188" t="s">
        <v>473</v>
      </c>
      <c r="B188" t="s">
        <v>474</v>
      </c>
      <c r="C188" t="s">
        <v>89</v>
      </c>
      <c r="D188" t="s">
        <v>89</v>
      </c>
      <c r="E188">
        <v>369.8</v>
      </c>
      <c r="F188">
        <v>75</v>
      </c>
    </row>
    <row r="189" spans="1:6">
      <c r="A189" t="s">
        <v>475</v>
      </c>
      <c r="B189" t="s">
        <v>476</v>
      </c>
      <c r="C189" t="s">
        <v>156</v>
      </c>
      <c r="D189" t="s">
        <v>156</v>
      </c>
      <c r="E189">
        <v>68.900000000000006</v>
      </c>
      <c r="F189">
        <v>48</v>
      </c>
    </row>
    <row r="190" spans="1:6">
      <c r="A190" t="s">
        <v>477</v>
      </c>
      <c r="B190" t="s">
        <v>478</v>
      </c>
      <c r="C190" t="s">
        <v>101</v>
      </c>
      <c r="D190" t="s">
        <v>101</v>
      </c>
      <c r="E190">
        <v>130.28</v>
      </c>
      <c r="F190">
        <v>-9</v>
      </c>
    </row>
    <row r="191" spans="1:6">
      <c r="A191" t="s">
        <v>479</v>
      </c>
      <c r="B191" t="s">
        <v>480</v>
      </c>
      <c r="C191" t="s">
        <v>97</v>
      </c>
      <c r="D191" t="s">
        <v>97</v>
      </c>
      <c r="E191">
        <v>825.3</v>
      </c>
      <c r="F191">
        <v>11</v>
      </c>
    </row>
    <row r="192" spans="1:6">
      <c r="A192" t="s">
        <v>481</v>
      </c>
      <c r="B192" t="s">
        <v>482</v>
      </c>
      <c r="C192" t="s">
        <v>101</v>
      </c>
      <c r="D192" t="s">
        <v>101</v>
      </c>
      <c r="E192">
        <v>510.2</v>
      </c>
      <c r="F192">
        <v>31</v>
      </c>
    </row>
    <row r="193" spans="1:6">
      <c r="A193" t="s">
        <v>483</v>
      </c>
      <c r="B193" t="s">
        <v>484</v>
      </c>
      <c r="C193" t="s">
        <v>114</v>
      </c>
      <c r="D193" t="s">
        <v>114</v>
      </c>
      <c r="E193">
        <v>423.57</v>
      </c>
      <c r="F193">
        <v>96</v>
      </c>
    </row>
    <row r="194" spans="1:6">
      <c r="A194" t="s">
        <v>485</v>
      </c>
      <c r="B194" t="s">
        <v>486</v>
      </c>
      <c r="C194" t="s">
        <v>89</v>
      </c>
      <c r="D194" t="s">
        <v>89</v>
      </c>
      <c r="E194">
        <v>582.75</v>
      </c>
      <c r="F194">
        <v>19</v>
      </c>
    </row>
    <row r="195" spans="1:6">
      <c r="A195" t="s">
        <v>487</v>
      </c>
      <c r="B195" t="s">
        <v>488</v>
      </c>
      <c r="C195" t="s">
        <v>89</v>
      </c>
      <c r="D195" t="s">
        <v>89</v>
      </c>
      <c r="E195">
        <v>756.21</v>
      </c>
      <c r="F195">
        <v>57</v>
      </c>
    </row>
    <row r="196" spans="1:6">
      <c r="A196" t="s">
        <v>489</v>
      </c>
      <c r="B196" t="s">
        <v>490</v>
      </c>
      <c r="C196" t="s">
        <v>89</v>
      </c>
      <c r="D196" t="s">
        <v>89</v>
      </c>
      <c r="E196">
        <v>104.9</v>
      </c>
      <c r="F196">
        <v>48</v>
      </c>
    </row>
    <row r="197" spans="1:6">
      <c r="A197" t="s">
        <v>491</v>
      </c>
      <c r="B197" t="s">
        <v>492</v>
      </c>
      <c r="C197" t="s">
        <v>156</v>
      </c>
      <c r="D197" t="s">
        <v>156</v>
      </c>
      <c r="E197">
        <v>288.79000000000002</v>
      </c>
      <c r="F197">
        <v>50</v>
      </c>
    </row>
    <row r="198" spans="1:6">
      <c r="A198" t="s">
        <v>493</v>
      </c>
      <c r="B198" t="s">
        <v>494</v>
      </c>
      <c r="C198" t="s">
        <v>97</v>
      </c>
      <c r="D198" t="s">
        <v>97</v>
      </c>
      <c r="E198">
        <v>341.27</v>
      </c>
      <c r="F198">
        <v>9</v>
      </c>
    </row>
    <row r="199" spans="1:6">
      <c r="A199" t="s">
        <v>495</v>
      </c>
      <c r="B199" t="s">
        <v>496</v>
      </c>
      <c r="C199" t="s">
        <v>114</v>
      </c>
      <c r="D199" t="s">
        <v>114</v>
      </c>
      <c r="E199">
        <v>119.78</v>
      </c>
      <c r="F199">
        <v>90</v>
      </c>
    </row>
    <row r="200" spans="1:6">
      <c r="A200" t="s">
        <v>497</v>
      </c>
      <c r="B200" t="s">
        <v>498</v>
      </c>
      <c r="C200" t="s">
        <v>89</v>
      </c>
      <c r="D200" t="s">
        <v>89</v>
      </c>
      <c r="E200">
        <v>935.99</v>
      </c>
      <c r="F200">
        <v>5</v>
      </c>
    </row>
    <row r="201" spans="1:6">
      <c r="A201" t="s">
        <v>499</v>
      </c>
      <c r="B201" t="s">
        <v>500</v>
      </c>
      <c r="C201" t="s">
        <v>114</v>
      </c>
      <c r="D201" t="s">
        <v>114</v>
      </c>
      <c r="E201">
        <v>137.57</v>
      </c>
      <c r="F201">
        <v>29</v>
      </c>
    </row>
    <row r="202" spans="1:6">
      <c r="A202" t="s">
        <v>501</v>
      </c>
      <c r="B202" t="s">
        <v>502</v>
      </c>
      <c r="C202" t="s">
        <v>89</v>
      </c>
      <c r="D202" t="s">
        <v>89</v>
      </c>
      <c r="E202">
        <v>436.32</v>
      </c>
      <c r="F202">
        <v>52</v>
      </c>
    </row>
    <row r="203" spans="1:6">
      <c r="A203" t="s">
        <v>503</v>
      </c>
      <c r="B203" t="s">
        <v>504</v>
      </c>
      <c r="C203" t="s">
        <v>156</v>
      </c>
      <c r="D203" t="s">
        <v>156</v>
      </c>
      <c r="E203">
        <v>590.45000000000005</v>
      </c>
      <c r="F203">
        <v>40</v>
      </c>
    </row>
    <row r="204" spans="1:6">
      <c r="A204" t="s">
        <v>505</v>
      </c>
      <c r="B204" t="s">
        <v>506</v>
      </c>
      <c r="C204" t="s">
        <v>97</v>
      </c>
      <c r="D204" t="s">
        <v>97</v>
      </c>
      <c r="E204">
        <v>632.98</v>
      </c>
      <c r="F204">
        <v>39</v>
      </c>
    </row>
    <row r="205" spans="1:6">
      <c r="A205" t="s">
        <v>507</v>
      </c>
      <c r="B205" t="s">
        <v>508</v>
      </c>
      <c r="C205" t="s">
        <v>89</v>
      </c>
      <c r="D205" t="s">
        <v>89</v>
      </c>
      <c r="E205">
        <v>667.69</v>
      </c>
      <c r="F205">
        <v>87</v>
      </c>
    </row>
    <row r="206" spans="1:6">
      <c r="A206" t="s">
        <v>509</v>
      </c>
      <c r="B206" t="s">
        <v>510</v>
      </c>
      <c r="C206" t="s">
        <v>97</v>
      </c>
      <c r="D206" t="s">
        <v>97</v>
      </c>
      <c r="E206">
        <v>352.73</v>
      </c>
      <c r="F206">
        <v>17</v>
      </c>
    </row>
    <row r="207" spans="1:6">
      <c r="A207" t="s">
        <v>511</v>
      </c>
      <c r="B207" t="s">
        <v>512</v>
      </c>
      <c r="C207" t="s">
        <v>114</v>
      </c>
      <c r="D207" t="s">
        <v>114</v>
      </c>
      <c r="E207">
        <v>369.53</v>
      </c>
      <c r="F207">
        <v>27</v>
      </c>
    </row>
    <row r="208" spans="1:6">
      <c r="A208" t="s">
        <v>513</v>
      </c>
      <c r="B208" t="s">
        <v>514</v>
      </c>
      <c r="C208" t="s">
        <v>97</v>
      </c>
      <c r="D208" t="s">
        <v>97</v>
      </c>
      <c r="E208">
        <v>72.599999999999994</v>
      </c>
      <c r="F208">
        <v>68</v>
      </c>
    </row>
    <row r="209" spans="1:6">
      <c r="A209" t="s">
        <v>515</v>
      </c>
      <c r="B209" t="s">
        <v>516</v>
      </c>
      <c r="C209" t="s">
        <v>89</v>
      </c>
      <c r="D209" t="s">
        <v>89</v>
      </c>
      <c r="E209">
        <v>280.36</v>
      </c>
      <c r="F209">
        <v>51</v>
      </c>
    </row>
    <row r="210" spans="1:6">
      <c r="A210" t="s">
        <v>517</v>
      </c>
      <c r="B210" t="s">
        <v>518</v>
      </c>
      <c r="C210" t="s">
        <v>97</v>
      </c>
      <c r="D210" t="s">
        <v>97</v>
      </c>
      <c r="E210">
        <v>771.91</v>
      </c>
      <c r="F210">
        <v>12</v>
      </c>
    </row>
    <row r="211" spans="1:6">
      <c r="A211" t="s">
        <v>519</v>
      </c>
      <c r="B211" t="s">
        <v>520</v>
      </c>
      <c r="C211" t="s">
        <v>156</v>
      </c>
      <c r="D211" t="s">
        <v>156</v>
      </c>
      <c r="E211">
        <v>827.87</v>
      </c>
      <c r="F211">
        <v>-4</v>
      </c>
    </row>
    <row r="212" spans="1:6">
      <c r="A212" t="s">
        <v>521</v>
      </c>
      <c r="B212" t="s">
        <v>522</v>
      </c>
      <c r="C212" t="s">
        <v>156</v>
      </c>
      <c r="D212" t="s">
        <v>156</v>
      </c>
      <c r="E212">
        <v>538.16999999999996</v>
      </c>
      <c r="F212">
        <v>84</v>
      </c>
    </row>
    <row r="213" spans="1:6">
      <c r="A213" t="s">
        <v>523</v>
      </c>
      <c r="B213" t="s">
        <v>524</v>
      </c>
      <c r="C213" t="s">
        <v>101</v>
      </c>
      <c r="D213" t="s">
        <v>101</v>
      </c>
      <c r="E213">
        <v>997</v>
      </c>
      <c r="F213">
        <v>18</v>
      </c>
    </row>
    <row r="214" spans="1:6">
      <c r="A214" t="s">
        <v>525</v>
      </c>
      <c r="B214" t="s">
        <v>526</v>
      </c>
      <c r="C214" t="s">
        <v>97</v>
      </c>
      <c r="D214" t="s">
        <v>97</v>
      </c>
      <c r="E214">
        <v>999.58</v>
      </c>
      <c r="F214">
        <v>18</v>
      </c>
    </row>
    <row r="215" spans="1:6">
      <c r="A215" t="s">
        <v>527</v>
      </c>
      <c r="B215" t="s">
        <v>528</v>
      </c>
      <c r="C215" t="s">
        <v>114</v>
      </c>
      <c r="D215" t="s">
        <v>114</v>
      </c>
      <c r="E215">
        <v>61.74</v>
      </c>
      <c r="F215">
        <v>71</v>
      </c>
    </row>
    <row r="216" spans="1:6">
      <c r="A216" t="s">
        <v>529</v>
      </c>
      <c r="B216" t="s">
        <v>530</v>
      </c>
      <c r="C216" t="s">
        <v>89</v>
      </c>
      <c r="D216" t="s">
        <v>89</v>
      </c>
      <c r="E216">
        <v>199.87</v>
      </c>
      <c r="F216">
        <v>37</v>
      </c>
    </row>
    <row r="217" spans="1:6">
      <c r="A217" t="s">
        <v>531</v>
      </c>
      <c r="B217" t="s">
        <v>532</v>
      </c>
      <c r="C217" t="s">
        <v>89</v>
      </c>
      <c r="D217" t="s">
        <v>89</v>
      </c>
      <c r="E217">
        <v>106.32</v>
      </c>
      <c r="F217">
        <v>64</v>
      </c>
    </row>
    <row r="218" spans="1:6">
      <c r="A218" t="s">
        <v>533</v>
      </c>
      <c r="B218" t="s">
        <v>534</v>
      </c>
      <c r="C218" t="s">
        <v>97</v>
      </c>
      <c r="D218" t="s">
        <v>97</v>
      </c>
      <c r="E218">
        <v>328.43</v>
      </c>
      <c r="F218">
        <v>71</v>
      </c>
    </row>
    <row r="219" spans="1:6">
      <c r="A219" t="s">
        <v>535</v>
      </c>
      <c r="B219" t="s">
        <v>536</v>
      </c>
      <c r="C219" t="s">
        <v>89</v>
      </c>
      <c r="D219" t="s">
        <v>89</v>
      </c>
      <c r="E219">
        <v>737.53</v>
      </c>
      <c r="F219">
        <v>-5</v>
      </c>
    </row>
    <row r="220" spans="1:6">
      <c r="A220" t="s">
        <v>537</v>
      </c>
      <c r="B220" t="s">
        <v>538</v>
      </c>
      <c r="C220" t="s">
        <v>89</v>
      </c>
      <c r="D220" t="s">
        <v>89</v>
      </c>
      <c r="E220">
        <v>94.08</v>
      </c>
      <c r="F220">
        <v>70</v>
      </c>
    </row>
    <row r="221" spans="1:6">
      <c r="A221" t="s">
        <v>539</v>
      </c>
      <c r="B221" t="s">
        <v>540</v>
      </c>
      <c r="C221" t="s">
        <v>114</v>
      </c>
      <c r="D221" t="s">
        <v>114</v>
      </c>
      <c r="E221">
        <v>779.68</v>
      </c>
      <c r="F221">
        <v>85</v>
      </c>
    </row>
    <row r="222" spans="1:6">
      <c r="A222" t="s">
        <v>541</v>
      </c>
      <c r="B222" t="s">
        <v>542</v>
      </c>
      <c r="C222" t="s">
        <v>89</v>
      </c>
      <c r="D222" t="s">
        <v>89</v>
      </c>
      <c r="E222">
        <v>236.65</v>
      </c>
      <c r="F222">
        <v>27</v>
      </c>
    </row>
    <row r="223" spans="1:6">
      <c r="A223" t="s">
        <v>543</v>
      </c>
      <c r="B223" t="s">
        <v>544</v>
      </c>
      <c r="C223" t="s">
        <v>89</v>
      </c>
      <c r="D223" t="s">
        <v>89</v>
      </c>
      <c r="E223">
        <v>200.81</v>
      </c>
      <c r="F223">
        <v>31</v>
      </c>
    </row>
    <row r="224" spans="1:6">
      <c r="A224" t="s">
        <v>545</v>
      </c>
      <c r="B224" t="s">
        <v>546</v>
      </c>
      <c r="C224" t="s">
        <v>97</v>
      </c>
      <c r="D224" t="s">
        <v>97</v>
      </c>
      <c r="E224">
        <v>457.29</v>
      </c>
      <c r="F224">
        <v>84</v>
      </c>
    </row>
    <row r="225" spans="1:6">
      <c r="A225" t="s">
        <v>547</v>
      </c>
      <c r="B225" t="s">
        <v>548</v>
      </c>
      <c r="C225" t="s">
        <v>89</v>
      </c>
      <c r="D225" t="s">
        <v>89</v>
      </c>
      <c r="E225">
        <v>584.57000000000005</v>
      </c>
      <c r="F225">
        <v>57</v>
      </c>
    </row>
    <row r="226" spans="1:6">
      <c r="A226" t="s">
        <v>549</v>
      </c>
      <c r="B226" t="s">
        <v>550</v>
      </c>
      <c r="C226" t="s">
        <v>89</v>
      </c>
      <c r="D226" t="s">
        <v>89</v>
      </c>
      <c r="E226">
        <v>355.77</v>
      </c>
      <c r="F226">
        <v>91</v>
      </c>
    </row>
    <row r="227" spans="1:6">
      <c r="A227" t="s">
        <v>551</v>
      </c>
      <c r="B227" t="s">
        <v>552</v>
      </c>
      <c r="C227" t="s">
        <v>114</v>
      </c>
      <c r="D227" t="s">
        <v>114</v>
      </c>
      <c r="E227">
        <v>352.16</v>
      </c>
      <c r="F227">
        <v>10</v>
      </c>
    </row>
    <row r="228" spans="1:6">
      <c r="A228" t="s">
        <v>553</v>
      </c>
      <c r="B228" t="s">
        <v>554</v>
      </c>
      <c r="C228" t="s">
        <v>156</v>
      </c>
      <c r="D228" t="s">
        <v>156</v>
      </c>
      <c r="E228">
        <v>223.48</v>
      </c>
      <c r="F228">
        <v>31</v>
      </c>
    </row>
    <row r="229" spans="1:6">
      <c r="A229" t="s">
        <v>555</v>
      </c>
      <c r="B229" t="s">
        <v>556</v>
      </c>
      <c r="C229" t="s">
        <v>114</v>
      </c>
      <c r="D229" t="s">
        <v>114</v>
      </c>
      <c r="E229">
        <v>780.48</v>
      </c>
      <c r="F229">
        <v>57</v>
      </c>
    </row>
    <row r="230" spans="1:6">
      <c r="A230" t="s">
        <v>557</v>
      </c>
      <c r="B230" t="s">
        <v>558</v>
      </c>
      <c r="C230" t="s">
        <v>156</v>
      </c>
      <c r="D230" t="s">
        <v>156</v>
      </c>
      <c r="E230">
        <v>353.1</v>
      </c>
      <c r="F230">
        <v>84</v>
      </c>
    </row>
    <row r="231" spans="1:6">
      <c r="A231" t="s">
        <v>559</v>
      </c>
      <c r="B231" t="s">
        <v>560</v>
      </c>
      <c r="C231" t="s">
        <v>114</v>
      </c>
      <c r="D231" t="s">
        <v>114</v>
      </c>
      <c r="E231">
        <v>919.1</v>
      </c>
      <c r="F231">
        <v>62</v>
      </c>
    </row>
    <row r="232" spans="1:6">
      <c r="A232" t="s">
        <v>561</v>
      </c>
      <c r="B232" t="s">
        <v>562</v>
      </c>
      <c r="C232" t="s">
        <v>97</v>
      </c>
      <c r="D232" t="s">
        <v>97</v>
      </c>
      <c r="E232">
        <v>411.71</v>
      </c>
      <c r="F232">
        <v>97</v>
      </c>
    </row>
    <row r="233" spans="1:6">
      <c r="A233" t="s">
        <v>563</v>
      </c>
      <c r="B233" t="s">
        <v>564</v>
      </c>
      <c r="C233" t="s">
        <v>156</v>
      </c>
      <c r="D233" t="s">
        <v>156</v>
      </c>
      <c r="E233">
        <v>933.06</v>
      </c>
      <c r="F233">
        <v>81</v>
      </c>
    </row>
    <row r="234" spans="1:6">
      <c r="A234" t="s">
        <v>565</v>
      </c>
      <c r="B234" t="s">
        <v>566</v>
      </c>
      <c r="C234" t="s">
        <v>114</v>
      </c>
      <c r="D234" t="s">
        <v>114</v>
      </c>
      <c r="E234">
        <v>126.73</v>
      </c>
      <c r="F234">
        <v>18</v>
      </c>
    </row>
    <row r="235" spans="1:6">
      <c r="A235" t="s">
        <v>567</v>
      </c>
      <c r="B235" t="s">
        <v>568</v>
      </c>
      <c r="C235" t="s">
        <v>97</v>
      </c>
      <c r="D235" t="s">
        <v>97</v>
      </c>
      <c r="E235">
        <v>321.52999999999997</v>
      </c>
      <c r="F235">
        <v>38</v>
      </c>
    </row>
    <row r="236" spans="1:6">
      <c r="A236" t="s">
        <v>569</v>
      </c>
      <c r="B236" t="s">
        <v>570</v>
      </c>
      <c r="C236" t="s">
        <v>156</v>
      </c>
      <c r="D236" t="s">
        <v>156</v>
      </c>
      <c r="E236">
        <v>609.57000000000005</v>
      </c>
      <c r="F236">
        <v>52</v>
      </c>
    </row>
    <row r="237" spans="1:6">
      <c r="A237" t="s">
        <v>571</v>
      </c>
      <c r="B237" t="s">
        <v>572</v>
      </c>
      <c r="C237" t="s">
        <v>97</v>
      </c>
      <c r="D237" t="s">
        <v>97</v>
      </c>
      <c r="E237">
        <v>656.77</v>
      </c>
      <c r="F237">
        <v>5</v>
      </c>
    </row>
    <row r="238" spans="1:6">
      <c r="A238" t="s">
        <v>573</v>
      </c>
      <c r="B238" t="s">
        <v>574</v>
      </c>
      <c r="C238" t="s">
        <v>101</v>
      </c>
      <c r="D238" t="s">
        <v>101</v>
      </c>
      <c r="E238">
        <v>560.67999999999995</v>
      </c>
      <c r="F238">
        <v>38</v>
      </c>
    </row>
    <row r="239" spans="1:6">
      <c r="A239" t="s">
        <v>575</v>
      </c>
      <c r="B239" t="s">
        <v>576</v>
      </c>
      <c r="C239" t="s">
        <v>156</v>
      </c>
      <c r="D239" t="s">
        <v>156</v>
      </c>
      <c r="E239">
        <v>453.13</v>
      </c>
      <c r="F239">
        <v>96</v>
      </c>
    </row>
    <row r="240" spans="1:6">
      <c r="A240" t="s">
        <v>577</v>
      </c>
      <c r="B240" t="s">
        <v>578</v>
      </c>
      <c r="C240" t="s">
        <v>89</v>
      </c>
      <c r="D240" t="s">
        <v>89</v>
      </c>
      <c r="E240">
        <v>485.92</v>
      </c>
      <c r="F240">
        <v>49</v>
      </c>
    </row>
    <row r="241" spans="1:6">
      <c r="A241" t="s">
        <v>579</v>
      </c>
      <c r="B241" t="s">
        <v>580</v>
      </c>
      <c r="C241" t="s">
        <v>114</v>
      </c>
      <c r="D241" t="s">
        <v>114</v>
      </c>
      <c r="E241">
        <v>187.02</v>
      </c>
      <c r="F241">
        <v>88</v>
      </c>
    </row>
    <row r="242" spans="1:6">
      <c r="A242" t="s">
        <v>581</v>
      </c>
      <c r="B242" t="s">
        <v>582</v>
      </c>
      <c r="C242" t="s">
        <v>114</v>
      </c>
      <c r="D242" t="s">
        <v>114</v>
      </c>
      <c r="E242">
        <v>946.65</v>
      </c>
      <c r="F242">
        <v>40</v>
      </c>
    </row>
    <row r="243" spans="1:6">
      <c r="A243" t="s">
        <v>583</v>
      </c>
      <c r="B243" t="s">
        <v>584</v>
      </c>
      <c r="C243" t="s">
        <v>89</v>
      </c>
      <c r="D243" t="s">
        <v>89</v>
      </c>
      <c r="E243">
        <v>915.71</v>
      </c>
      <c r="F243">
        <v>75</v>
      </c>
    </row>
    <row r="244" spans="1:6">
      <c r="A244" t="s">
        <v>585</v>
      </c>
      <c r="B244" t="s">
        <v>586</v>
      </c>
      <c r="C244" t="s">
        <v>89</v>
      </c>
      <c r="D244" t="s">
        <v>89</v>
      </c>
      <c r="E244">
        <v>232.59</v>
      </c>
      <c r="F244">
        <v>6</v>
      </c>
    </row>
    <row r="245" spans="1:6">
      <c r="A245" t="s">
        <v>587</v>
      </c>
      <c r="B245" t="s">
        <v>588</v>
      </c>
      <c r="C245" t="s">
        <v>101</v>
      </c>
      <c r="D245" t="s">
        <v>101</v>
      </c>
      <c r="E245">
        <v>164.48</v>
      </c>
      <c r="F245">
        <v>90</v>
      </c>
    </row>
    <row r="246" spans="1:6">
      <c r="A246" t="s">
        <v>589</v>
      </c>
      <c r="B246" t="s">
        <v>590</v>
      </c>
      <c r="C246" t="s">
        <v>89</v>
      </c>
      <c r="D246" t="s">
        <v>89</v>
      </c>
      <c r="E246">
        <v>124.29</v>
      </c>
      <c r="F246">
        <v>37</v>
      </c>
    </row>
    <row r="247" spans="1:6">
      <c r="A247" t="s">
        <v>591</v>
      </c>
      <c r="B247" t="s">
        <v>592</v>
      </c>
      <c r="C247" t="s">
        <v>156</v>
      </c>
      <c r="D247" t="s">
        <v>156</v>
      </c>
      <c r="E247">
        <v>285.76</v>
      </c>
      <c r="F247">
        <v>10</v>
      </c>
    </row>
    <row r="248" spans="1:6">
      <c r="A248" t="s">
        <v>593</v>
      </c>
      <c r="B248" t="s">
        <v>594</v>
      </c>
      <c r="C248" t="s">
        <v>89</v>
      </c>
      <c r="D248" t="s">
        <v>89</v>
      </c>
      <c r="E248">
        <v>677.85</v>
      </c>
      <c r="F248">
        <v>43</v>
      </c>
    </row>
    <row r="249" spans="1:6">
      <c r="A249" t="s">
        <v>595</v>
      </c>
      <c r="B249" t="s">
        <v>596</v>
      </c>
      <c r="C249" t="s">
        <v>89</v>
      </c>
      <c r="D249" t="s">
        <v>89</v>
      </c>
      <c r="E249">
        <v>555.08000000000004</v>
      </c>
      <c r="F249">
        <v>93</v>
      </c>
    </row>
    <row r="250" spans="1:6">
      <c r="A250" t="s">
        <v>597</v>
      </c>
      <c r="B250" t="s">
        <v>598</v>
      </c>
      <c r="C250" t="s">
        <v>89</v>
      </c>
      <c r="D250" t="s">
        <v>89</v>
      </c>
      <c r="E250">
        <v>665.57</v>
      </c>
      <c r="F250">
        <v>76</v>
      </c>
    </row>
    <row r="251" spans="1:6">
      <c r="A251" t="s">
        <v>599</v>
      </c>
      <c r="B251" t="s">
        <v>600</v>
      </c>
      <c r="C251" t="s">
        <v>114</v>
      </c>
      <c r="D251" t="s">
        <v>114</v>
      </c>
      <c r="E251">
        <v>946.31</v>
      </c>
      <c r="F251">
        <v>29</v>
      </c>
    </row>
    <row r="252" spans="1:6">
      <c r="A252" t="s">
        <v>601</v>
      </c>
      <c r="B252" t="s">
        <v>602</v>
      </c>
      <c r="C252" t="s">
        <v>101</v>
      </c>
      <c r="D252" t="s">
        <v>101</v>
      </c>
      <c r="E252">
        <v>381.53</v>
      </c>
      <c r="F252">
        <v>-8</v>
      </c>
    </row>
    <row r="253" spans="1:6">
      <c r="A253" t="s">
        <v>603</v>
      </c>
      <c r="B253" t="s">
        <v>604</v>
      </c>
      <c r="C253" t="s">
        <v>101</v>
      </c>
      <c r="D253" t="s">
        <v>101</v>
      </c>
      <c r="E253">
        <v>993.37</v>
      </c>
      <c r="F253">
        <v>-4</v>
      </c>
    </row>
    <row r="254" spans="1:6">
      <c r="A254" t="s">
        <v>605</v>
      </c>
      <c r="B254" t="s">
        <v>606</v>
      </c>
      <c r="C254" t="s">
        <v>89</v>
      </c>
      <c r="D254" t="s">
        <v>89</v>
      </c>
      <c r="E254">
        <v>503.74</v>
      </c>
      <c r="F254">
        <v>36</v>
      </c>
    </row>
    <row r="255" spans="1:6">
      <c r="A255" t="s">
        <v>607</v>
      </c>
      <c r="B255" t="s">
        <v>608</v>
      </c>
      <c r="C255" t="s">
        <v>89</v>
      </c>
      <c r="D255" t="s">
        <v>89</v>
      </c>
      <c r="E255">
        <v>379.61</v>
      </c>
      <c r="F255">
        <v>-1</v>
      </c>
    </row>
    <row r="256" spans="1:6">
      <c r="A256" t="s">
        <v>609</v>
      </c>
      <c r="B256" t="s">
        <v>610</v>
      </c>
      <c r="C256" t="s">
        <v>97</v>
      </c>
      <c r="D256" t="s">
        <v>97</v>
      </c>
      <c r="E256">
        <v>714.28</v>
      </c>
      <c r="F256">
        <v>2</v>
      </c>
    </row>
    <row r="257" spans="1:6">
      <c r="A257" t="s">
        <v>611</v>
      </c>
      <c r="B257" t="s">
        <v>612</v>
      </c>
      <c r="C257" t="s">
        <v>89</v>
      </c>
      <c r="D257" t="s">
        <v>89</v>
      </c>
      <c r="E257">
        <v>658.58</v>
      </c>
      <c r="F257">
        <v>46</v>
      </c>
    </row>
    <row r="258" spans="1:6">
      <c r="A258" t="s">
        <v>613</v>
      </c>
      <c r="B258" t="s">
        <v>614</v>
      </c>
      <c r="C258" t="s">
        <v>97</v>
      </c>
      <c r="D258" t="s">
        <v>97</v>
      </c>
      <c r="E258">
        <v>515.22</v>
      </c>
      <c r="F258">
        <v>34</v>
      </c>
    </row>
    <row r="259" spans="1:6">
      <c r="A259" t="s">
        <v>615</v>
      </c>
      <c r="B259" t="s">
        <v>616</v>
      </c>
      <c r="C259" t="s">
        <v>97</v>
      </c>
      <c r="D259" t="s">
        <v>97</v>
      </c>
      <c r="E259">
        <v>203.71</v>
      </c>
      <c r="F259">
        <v>62</v>
      </c>
    </row>
    <row r="260" spans="1:6">
      <c r="A260" t="s">
        <v>617</v>
      </c>
      <c r="B260" t="s">
        <v>618</v>
      </c>
      <c r="C260" t="s">
        <v>97</v>
      </c>
      <c r="D260" t="s">
        <v>97</v>
      </c>
      <c r="E260">
        <v>628.94000000000005</v>
      </c>
      <c r="F260">
        <v>64</v>
      </c>
    </row>
    <row r="261" spans="1:6">
      <c r="A261" t="s">
        <v>619</v>
      </c>
      <c r="B261" t="s">
        <v>620</v>
      </c>
      <c r="C261" t="s">
        <v>156</v>
      </c>
      <c r="D261" t="s">
        <v>156</v>
      </c>
      <c r="E261">
        <v>388.72</v>
      </c>
      <c r="F261">
        <v>95</v>
      </c>
    </row>
    <row r="262" spans="1:6">
      <c r="A262" t="s">
        <v>621</v>
      </c>
      <c r="B262" t="s">
        <v>622</v>
      </c>
      <c r="C262" t="s">
        <v>101</v>
      </c>
      <c r="D262" t="s">
        <v>101</v>
      </c>
      <c r="E262">
        <v>114.38</v>
      </c>
      <c r="F262">
        <v>89</v>
      </c>
    </row>
    <row r="263" spans="1:6">
      <c r="A263" t="s">
        <v>623</v>
      </c>
      <c r="B263" t="s">
        <v>624</v>
      </c>
      <c r="C263" t="s">
        <v>97</v>
      </c>
      <c r="D263" t="s">
        <v>97</v>
      </c>
      <c r="E263">
        <v>963.67</v>
      </c>
      <c r="F263">
        <v>67</v>
      </c>
    </row>
    <row r="264" spans="1:6">
      <c r="A264" t="s">
        <v>625</v>
      </c>
      <c r="B264" t="s">
        <v>626</v>
      </c>
      <c r="C264" t="s">
        <v>101</v>
      </c>
      <c r="D264" t="s">
        <v>101</v>
      </c>
      <c r="E264">
        <v>119.73</v>
      </c>
      <c r="F264">
        <v>33</v>
      </c>
    </row>
    <row r="265" spans="1:6">
      <c r="A265" t="s">
        <v>627</v>
      </c>
      <c r="B265" t="s">
        <v>628</v>
      </c>
      <c r="C265" t="s">
        <v>114</v>
      </c>
      <c r="D265" t="s">
        <v>114</v>
      </c>
      <c r="E265">
        <v>360.15</v>
      </c>
      <c r="F265">
        <v>47</v>
      </c>
    </row>
    <row r="266" spans="1:6">
      <c r="A266" t="s">
        <v>629</v>
      </c>
      <c r="B266" t="s">
        <v>630</v>
      </c>
      <c r="C266" t="s">
        <v>97</v>
      </c>
      <c r="D266" t="s">
        <v>97</v>
      </c>
      <c r="E266">
        <v>976.24</v>
      </c>
      <c r="F266">
        <v>55</v>
      </c>
    </row>
    <row r="267" spans="1:6">
      <c r="A267" t="s">
        <v>631</v>
      </c>
      <c r="B267" t="s">
        <v>632</v>
      </c>
      <c r="C267" t="s">
        <v>156</v>
      </c>
      <c r="D267" t="s">
        <v>156</v>
      </c>
      <c r="E267">
        <v>797.81</v>
      </c>
      <c r="F267">
        <v>85</v>
      </c>
    </row>
    <row r="268" spans="1:6">
      <c r="A268" t="s">
        <v>633</v>
      </c>
      <c r="B268" t="s">
        <v>634</v>
      </c>
      <c r="C268" t="s">
        <v>114</v>
      </c>
      <c r="D268" t="s">
        <v>114</v>
      </c>
      <c r="E268">
        <v>210.18</v>
      </c>
      <c r="F268">
        <v>82</v>
      </c>
    </row>
    <row r="269" spans="1:6">
      <c r="A269" t="s">
        <v>635</v>
      </c>
      <c r="B269" t="s">
        <v>636</v>
      </c>
      <c r="C269" t="s">
        <v>156</v>
      </c>
      <c r="D269" t="s">
        <v>156</v>
      </c>
      <c r="E269">
        <v>449.69</v>
      </c>
      <c r="F269">
        <v>4</v>
      </c>
    </row>
    <row r="270" spans="1:6">
      <c r="A270" t="s">
        <v>637</v>
      </c>
      <c r="B270" t="s">
        <v>638</v>
      </c>
      <c r="C270" t="s">
        <v>101</v>
      </c>
      <c r="D270" t="s">
        <v>101</v>
      </c>
      <c r="E270">
        <v>256.45</v>
      </c>
      <c r="F270">
        <v>69</v>
      </c>
    </row>
    <row r="271" spans="1:6">
      <c r="A271" t="s">
        <v>639</v>
      </c>
      <c r="B271" t="s">
        <v>640</v>
      </c>
      <c r="C271" t="s">
        <v>101</v>
      </c>
      <c r="D271" t="s">
        <v>101</v>
      </c>
      <c r="E271">
        <v>187.52</v>
      </c>
      <c r="F271">
        <v>71</v>
      </c>
    </row>
    <row r="272" spans="1:6">
      <c r="A272" t="s">
        <v>641</v>
      </c>
      <c r="B272" t="s">
        <v>642</v>
      </c>
      <c r="C272" t="s">
        <v>114</v>
      </c>
      <c r="D272" t="s">
        <v>114</v>
      </c>
      <c r="E272">
        <v>124.46</v>
      </c>
      <c r="F272">
        <v>25</v>
      </c>
    </row>
    <row r="273" spans="1:6">
      <c r="A273" t="s">
        <v>643</v>
      </c>
      <c r="B273" t="s">
        <v>644</v>
      </c>
      <c r="C273" t="s">
        <v>101</v>
      </c>
      <c r="D273" t="s">
        <v>101</v>
      </c>
      <c r="E273">
        <v>312.91000000000003</v>
      </c>
      <c r="F273">
        <v>47</v>
      </c>
    </row>
    <row r="274" spans="1:6">
      <c r="A274" t="s">
        <v>645</v>
      </c>
      <c r="B274" t="s">
        <v>646</v>
      </c>
      <c r="C274" t="s">
        <v>89</v>
      </c>
      <c r="D274" t="s">
        <v>89</v>
      </c>
      <c r="E274">
        <v>989.84</v>
      </c>
      <c r="F274">
        <v>-6</v>
      </c>
    </row>
    <row r="275" spans="1:6">
      <c r="A275" t="s">
        <v>647</v>
      </c>
      <c r="B275" t="s">
        <v>648</v>
      </c>
      <c r="C275" t="s">
        <v>89</v>
      </c>
      <c r="D275" t="s">
        <v>89</v>
      </c>
      <c r="E275">
        <v>417.69</v>
      </c>
      <c r="F275">
        <v>54</v>
      </c>
    </row>
    <row r="276" spans="1:6">
      <c r="A276" t="s">
        <v>649</v>
      </c>
      <c r="B276" t="s">
        <v>650</v>
      </c>
      <c r="C276" t="s">
        <v>156</v>
      </c>
      <c r="D276" t="s">
        <v>156</v>
      </c>
      <c r="E276">
        <v>610.87</v>
      </c>
      <c r="F276">
        <v>32</v>
      </c>
    </row>
    <row r="277" spans="1:6">
      <c r="A277" t="s">
        <v>651</v>
      </c>
      <c r="B277" t="s">
        <v>652</v>
      </c>
      <c r="C277" t="s">
        <v>114</v>
      </c>
      <c r="D277" t="s">
        <v>114</v>
      </c>
      <c r="E277">
        <v>719.3</v>
      </c>
      <c r="F277">
        <v>68</v>
      </c>
    </row>
    <row r="278" spans="1:6">
      <c r="A278" t="s">
        <v>653</v>
      </c>
      <c r="B278" t="s">
        <v>654</v>
      </c>
      <c r="C278" t="s">
        <v>97</v>
      </c>
      <c r="D278" t="s">
        <v>97</v>
      </c>
      <c r="E278">
        <v>554.79</v>
      </c>
      <c r="F278">
        <v>76</v>
      </c>
    </row>
    <row r="279" spans="1:6">
      <c r="A279" t="s">
        <v>655</v>
      </c>
      <c r="B279" t="s">
        <v>656</v>
      </c>
      <c r="C279" t="s">
        <v>101</v>
      </c>
      <c r="D279" t="s">
        <v>101</v>
      </c>
      <c r="E279">
        <v>865.73</v>
      </c>
      <c r="F279">
        <v>48</v>
      </c>
    </row>
    <row r="280" spans="1:6">
      <c r="A280" t="s">
        <v>657</v>
      </c>
      <c r="B280" t="s">
        <v>658</v>
      </c>
      <c r="C280" t="s">
        <v>114</v>
      </c>
      <c r="D280" t="s">
        <v>114</v>
      </c>
      <c r="E280">
        <v>95.29</v>
      </c>
      <c r="F280">
        <v>97</v>
      </c>
    </row>
    <row r="281" spans="1:6">
      <c r="A281" t="s">
        <v>659</v>
      </c>
      <c r="B281" t="s">
        <v>660</v>
      </c>
      <c r="C281" t="s">
        <v>101</v>
      </c>
      <c r="D281" t="s">
        <v>101</v>
      </c>
      <c r="E281">
        <v>276.58999999999997</v>
      </c>
      <c r="F281">
        <v>86</v>
      </c>
    </row>
    <row r="282" spans="1:6">
      <c r="A282" t="s">
        <v>661</v>
      </c>
      <c r="B282" t="s">
        <v>662</v>
      </c>
      <c r="C282" t="s">
        <v>97</v>
      </c>
      <c r="D282" t="s">
        <v>97</v>
      </c>
      <c r="E282">
        <v>192.63</v>
      </c>
      <c r="F282">
        <v>-4</v>
      </c>
    </row>
    <row r="283" spans="1:6">
      <c r="A283" t="s">
        <v>663</v>
      </c>
      <c r="B283" t="s">
        <v>664</v>
      </c>
      <c r="C283" t="s">
        <v>114</v>
      </c>
      <c r="D283" t="s">
        <v>114</v>
      </c>
      <c r="E283">
        <v>966.13</v>
      </c>
      <c r="F283">
        <v>53</v>
      </c>
    </row>
    <row r="284" spans="1:6">
      <c r="A284" t="s">
        <v>665</v>
      </c>
      <c r="B284" t="s">
        <v>666</v>
      </c>
      <c r="C284" t="s">
        <v>97</v>
      </c>
      <c r="D284" t="s">
        <v>97</v>
      </c>
      <c r="E284">
        <v>195.15</v>
      </c>
      <c r="F284">
        <v>45</v>
      </c>
    </row>
    <row r="285" spans="1:6">
      <c r="A285" t="s">
        <v>667</v>
      </c>
      <c r="B285" t="s">
        <v>668</v>
      </c>
      <c r="C285" t="s">
        <v>89</v>
      </c>
      <c r="D285" t="s">
        <v>89</v>
      </c>
      <c r="E285">
        <v>603.51</v>
      </c>
      <c r="F285">
        <v>26</v>
      </c>
    </row>
    <row r="286" spans="1:6">
      <c r="A286" t="s">
        <v>669</v>
      </c>
      <c r="B286" t="s">
        <v>670</v>
      </c>
      <c r="C286" t="s">
        <v>89</v>
      </c>
      <c r="D286" t="s">
        <v>89</v>
      </c>
      <c r="E286">
        <v>403.91</v>
      </c>
      <c r="F286">
        <v>95</v>
      </c>
    </row>
    <row r="287" spans="1:6">
      <c r="A287" t="s">
        <v>671</v>
      </c>
      <c r="B287" t="s">
        <v>672</v>
      </c>
      <c r="C287" t="s">
        <v>89</v>
      </c>
      <c r="D287" t="s">
        <v>89</v>
      </c>
      <c r="E287">
        <v>84.93</v>
      </c>
      <c r="F287">
        <v>43</v>
      </c>
    </row>
    <row r="288" spans="1:6">
      <c r="A288" t="s">
        <v>673</v>
      </c>
      <c r="B288" t="s">
        <v>674</v>
      </c>
      <c r="C288" t="s">
        <v>97</v>
      </c>
      <c r="D288" t="s">
        <v>97</v>
      </c>
      <c r="E288">
        <v>964.55</v>
      </c>
      <c r="F288">
        <v>-9</v>
      </c>
    </row>
    <row r="289" spans="1:6">
      <c r="A289" t="s">
        <v>675</v>
      </c>
      <c r="B289" t="s">
        <v>676</v>
      </c>
      <c r="C289" t="s">
        <v>89</v>
      </c>
      <c r="D289" t="s">
        <v>89</v>
      </c>
      <c r="E289">
        <v>547.49</v>
      </c>
      <c r="F289">
        <v>94</v>
      </c>
    </row>
    <row r="290" spans="1:6">
      <c r="A290" t="s">
        <v>677</v>
      </c>
      <c r="B290" t="s">
        <v>678</v>
      </c>
      <c r="C290" t="s">
        <v>114</v>
      </c>
      <c r="D290" t="s">
        <v>114</v>
      </c>
      <c r="E290">
        <v>830.77</v>
      </c>
      <c r="F290">
        <v>7</v>
      </c>
    </row>
    <row r="291" spans="1:6">
      <c r="A291" t="s">
        <v>679</v>
      </c>
      <c r="B291" t="s">
        <v>680</v>
      </c>
      <c r="C291" t="s">
        <v>101</v>
      </c>
      <c r="D291" t="s">
        <v>101</v>
      </c>
      <c r="E291">
        <v>604.09</v>
      </c>
      <c r="F291">
        <v>6</v>
      </c>
    </row>
    <row r="292" spans="1:6">
      <c r="A292" t="s">
        <v>681</v>
      </c>
      <c r="B292" t="s">
        <v>682</v>
      </c>
      <c r="C292" t="s">
        <v>114</v>
      </c>
      <c r="D292" t="s">
        <v>114</v>
      </c>
      <c r="E292">
        <v>84.84</v>
      </c>
      <c r="F292">
        <v>77</v>
      </c>
    </row>
    <row r="293" spans="1:6">
      <c r="A293" t="s">
        <v>683</v>
      </c>
      <c r="B293" t="s">
        <v>684</v>
      </c>
      <c r="C293" t="s">
        <v>89</v>
      </c>
      <c r="D293" t="s">
        <v>89</v>
      </c>
      <c r="E293">
        <v>925.89</v>
      </c>
      <c r="F293">
        <v>11</v>
      </c>
    </row>
    <row r="294" spans="1:6">
      <c r="A294" t="s">
        <v>685</v>
      </c>
      <c r="B294" t="s">
        <v>686</v>
      </c>
      <c r="C294" t="s">
        <v>101</v>
      </c>
      <c r="D294" t="s">
        <v>101</v>
      </c>
      <c r="E294">
        <v>720.77</v>
      </c>
      <c r="F294">
        <v>65</v>
      </c>
    </row>
    <row r="295" spans="1:6">
      <c r="A295" t="s">
        <v>687</v>
      </c>
      <c r="B295" t="s">
        <v>688</v>
      </c>
      <c r="C295" t="s">
        <v>101</v>
      </c>
      <c r="D295" t="s">
        <v>101</v>
      </c>
      <c r="E295">
        <v>943.6</v>
      </c>
      <c r="F295">
        <v>21</v>
      </c>
    </row>
    <row r="296" spans="1:6">
      <c r="A296" t="s">
        <v>689</v>
      </c>
      <c r="B296" t="s">
        <v>690</v>
      </c>
      <c r="C296" t="s">
        <v>156</v>
      </c>
      <c r="D296" t="s">
        <v>156</v>
      </c>
      <c r="E296">
        <v>838.11</v>
      </c>
      <c r="F296">
        <v>74</v>
      </c>
    </row>
    <row r="297" spans="1:6">
      <c r="A297" t="s">
        <v>691</v>
      </c>
      <c r="B297" t="s">
        <v>692</v>
      </c>
      <c r="C297" t="s">
        <v>89</v>
      </c>
      <c r="D297" t="s">
        <v>89</v>
      </c>
      <c r="E297">
        <v>549.20000000000005</v>
      </c>
      <c r="F297">
        <v>52</v>
      </c>
    </row>
    <row r="298" spans="1:6">
      <c r="A298" t="s">
        <v>693</v>
      </c>
      <c r="B298" t="s">
        <v>694</v>
      </c>
      <c r="C298" t="s">
        <v>97</v>
      </c>
      <c r="D298" t="s">
        <v>97</v>
      </c>
      <c r="E298">
        <v>514.66999999999996</v>
      </c>
      <c r="F298">
        <v>13</v>
      </c>
    </row>
    <row r="299" spans="1:6">
      <c r="A299" t="s">
        <v>695</v>
      </c>
      <c r="B299" t="s">
        <v>696</v>
      </c>
      <c r="C299" t="s">
        <v>89</v>
      </c>
      <c r="D299" t="s">
        <v>89</v>
      </c>
      <c r="E299">
        <v>477.28</v>
      </c>
      <c r="F299">
        <v>17</v>
      </c>
    </row>
    <row r="300" spans="1:6">
      <c r="A300" t="s">
        <v>697</v>
      </c>
      <c r="B300" t="s">
        <v>698</v>
      </c>
      <c r="C300" t="s">
        <v>97</v>
      </c>
      <c r="D300" t="s">
        <v>97</v>
      </c>
      <c r="E300">
        <v>767.76</v>
      </c>
      <c r="F300">
        <v>84</v>
      </c>
    </row>
    <row r="301" spans="1:6">
      <c r="A301" t="s">
        <v>699</v>
      </c>
      <c r="B301" t="s">
        <v>700</v>
      </c>
      <c r="C301" t="s">
        <v>101</v>
      </c>
      <c r="D301" t="s">
        <v>101</v>
      </c>
      <c r="E301">
        <v>584.52</v>
      </c>
      <c r="F301">
        <v>-7</v>
      </c>
    </row>
    <row r="302" spans="1:6">
      <c r="A302" t="s">
        <v>701</v>
      </c>
      <c r="B302" t="s">
        <v>702</v>
      </c>
      <c r="C302" t="s">
        <v>101</v>
      </c>
      <c r="D302" t="s">
        <v>101</v>
      </c>
      <c r="E302">
        <v>624.82000000000005</v>
      </c>
      <c r="F302">
        <v>92</v>
      </c>
    </row>
    <row r="303" spans="1:6">
      <c r="A303" t="s">
        <v>703</v>
      </c>
      <c r="B303" t="s">
        <v>704</v>
      </c>
      <c r="C303" t="s">
        <v>114</v>
      </c>
      <c r="D303" t="s">
        <v>114</v>
      </c>
      <c r="E303">
        <v>324.95999999999998</v>
      </c>
      <c r="F303">
        <v>18</v>
      </c>
    </row>
    <row r="304" spans="1:6">
      <c r="A304" t="s">
        <v>705</v>
      </c>
      <c r="B304" t="s">
        <v>706</v>
      </c>
      <c r="C304" t="s">
        <v>101</v>
      </c>
      <c r="D304" t="s">
        <v>101</v>
      </c>
      <c r="E304">
        <v>337.88</v>
      </c>
      <c r="F304">
        <v>7</v>
      </c>
    </row>
    <row r="305" spans="1:6">
      <c r="A305" t="s">
        <v>707</v>
      </c>
      <c r="B305" t="s">
        <v>708</v>
      </c>
      <c r="C305" t="s">
        <v>101</v>
      </c>
      <c r="D305" t="s">
        <v>101</v>
      </c>
      <c r="E305">
        <v>542.5</v>
      </c>
      <c r="F305">
        <v>70</v>
      </c>
    </row>
    <row r="306" spans="1:6">
      <c r="A306" t="s">
        <v>709</v>
      </c>
      <c r="B306" t="s">
        <v>710</v>
      </c>
      <c r="C306" t="s">
        <v>89</v>
      </c>
      <c r="D306" t="s">
        <v>89</v>
      </c>
      <c r="E306">
        <v>986.72</v>
      </c>
      <c r="F306">
        <v>94</v>
      </c>
    </row>
    <row r="307" spans="1:6">
      <c r="A307" t="s">
        <v>711</v>
      </c>
      <c r="B307" t="s">
        <v>712</v>
      </c>
      <c r="C307" t="s">
        <v>156</v>
      </c>
      <c r="D307" t="s">
        <v>156</v>
      </c>
      <c r="E307">
        <v>103.69</v>
      </c>
      <c r="F307">
        <v>41</v>
      </c>
    </row>
    <row r="308" spans="1:6">
      <c r="A308" t="s">
        <v>713</v>
      </c>
      <c r="B308" t="s">
        <v>714</v>
      </c>
      <c r="C308" t="s">
        <v>114</v>
      </c>
      <c r="D308" t="s">
        <v>114</v>
      </c>
      <c r="E308">
        <v>367.49</v>
      </c>
      <c r="F308">
        <v>31</v>
      </c>
    </row>
    <row r="309" spans="1:6">
      <c r="A309" t="s">
        <v>715</v>
      </c>
      <c r="B309" t="s">
        <v>716</v>
      </c>
      <c r="C309" t="s">
        <v>156</v>
      </c>
      <c r="D309" t="s">
        <v>156</v>
      </c>
      <c r="E309">
        <v>958.77</v>
      </c>
      <c r="F309">
        <v>22</v>
      </c>
    </row>
    <row r="310" spans="1:6">
      <c r="A310" t="s">
        <v>717</v>
      </c>
      <c r="B310" t="s">
        <v>718</v>
      </c>
      <c r="C310" t="s">
        <v>114</v>
      </c>
      <c r="D310" t="s">
        <v>114</v>
      </c>
      <c r="E310">
        <v>328</v>
      </c>
      <c r="F310">
        <v>68</v>
      </c>
    </row>
    <row r="311" spans="1:6">
      <c r="A311" t="s">
        <v>719</v>
      </c>
      <c r="B311" t="s">
        <v>720</v>
      </c>
      <c r="C311" t="s">
        <v>114</v>
      </c>
      <c r="D311" t="s">
        <v>114</v>
      </c>
      <c r="E311">
        <v>909.59</v>
      </c>
      <c r="F311">
        <v>15</v>
      </c>
    </row>
    <row r="312" spans="1:6">
      <c r="A312" t="s">
        <v>721</v>
      </c>
      <c r="B312" t="s">
        <v>722</v>
      </c>
      <c r="C312" t="s">
        <v>156</v>
      </c>
      <c r="D312" t="s">
        <v>156</v>
      </c>
      <c r="E312">
        <v>358.53</v>
      </c>
      <c r="F312">
        <v>35</v>
      </c>
    </row>
    <row r="313" spans="1:6">
      <c r="A313" t="s">
        <v>723</v>
      </c>
      <c r="B313" t="s">
        <v>724</v>
      </c>
      <c r="C313" t="s">
        <v>89</v>
      </c>
      <c r="D313" t="s">
        <v>89</v>
      </c>
      <c r="E313">
        <v>709.05</v>
      </c>
      <c r="F313">
        <v>47</v>
      </c>
    </row>
    <row r="314" spans="1:6">
      <c r="A314" t="s">
        <v>725</v>
      </c>
      <c r="B314" t="s">
        <v>726</v>
      </c>
      <c r="C314" t="s">
        <v>101</v>
      </c>
      <c r="D314" t="s">
        <v>101</v>
      </c>
      <c r="E314">
        <v>894.49</v>
      </c>
      <c r="F314">
        <v>6</v>
      </c>
    </row>
    <row r="315" spans="1:6">
      <c r="A315" t="s">
        <v>727</v>
      </c>
      <c r="B315" t="s">
        <v>728</v>
      </c>
      <c r="C315" t="s">
        <v>97</v>
      </c>
      <c r="D315" t="s">
        <v>97</v>
      </c>
      <c r="E315">
        <v>719.34</v>
      </c>
      <c r="F315">
        <v>44</v>
      </c>
    </row>
    <row r="316" spans="1:6">
      <c r="A316" t="s">
        <v>729</v>
      </c>
      <c r="B316" t="s">
        <v>730</v>
      </c>
      <c r="C316" t="s">
        <v>101</v>
      </c>
      <c r="D316" t="s">
        <v>101</v>
      </c>
      <c r="E316">
        <v>407.29</v>
      </c>
      <c r="F316">
        <v>98</v>
      </c>
    </row>
    <row r="317" spans="1:6">
      <c r="A317" t="s">
        <v>731</v>
      </c>
      <c r="B317" t="s">
        <v>732</v>
      </c>
      <c r="C317" t="s">
        <v>156</v>
      </c>
      <c r="D317" t="s">
        <v>156</v>
      </c>
      <c r="E317">
        <v>754.38</v>
      </c>
      <c r="F317">
        <v>24</v>
      </c>
    </row>
    <row r="318" spans="1:6">
      <c r="A318" t="s">
        <v>733</v>
      </c>
      <c r="B318" t="s">
        <v>734</v>
      </c>
      <c r="C318" t="s">
        <v>89</v>
      </c>
      <c r="D318" t="s">
        <v>89</v>
      </c>
      <c r="E318">
        <v>958.09</v>
      </c>
      <c r="F318">
        <v>84</v>
      </c>
    </row>
    <row r="319" spans="1:6">
      <c r="A319" t="s">
        <v>735</v>
      </c>
      <c r="B319" t="s">
        <v>736</v>
      </c>
      <c r="C319" t="s">
        <v>89</v>
      </c>
      <c r="D319" t="s">
        <v>89</v>
      </c>
      <c r="E319">
        <v>458.26</v>
      </c>
      <c r="F319">
        <v>42</v>
      </c>
    </row>
    <row r="320" spans="1:6">
      <c r="A320" t="s">
        <v>737</v>
      </c>
      <c r="B320" t="s">
        <v>738</v>
      </c>
      <c r="C320" t="s">
        <v>101</v>
      </c>
      <c r="D320" t="s">
        <v>101</v>
      </c>
      <c r="E320">
        <v>793.08</v>
      </c>
      <c r="F320">
        <v>-2</v>
      </c>
    </row>
    <row r="321" spans="1:6">
      <c r="A321" t="s">
        <v>739</v>
      </c>
      <c r="B321" t="s">
        <v>740</v>
      </c>
      <c r="C321" t="s">
        <v>156</v>
      </c>
      <c r="D321" t="s">
        <v>156</v>
      </c>
      <c r="E321">
        <v>954.81</v>
      </c>
      <c r="F321">
        <v>15</v>
      </c>
    </row>
    <row r="322" spans="1:6">
      <c r="A322" t="s">
        <v>741</v>
      </c>
      <c r="B322" t="s">
        <v>742</v>
      </c>
      <c r="C322" t="s">
        <v>156</v>
      </c>
      <c r="D322" t="s">
        <v>156</v>
      </c>
      <c r="E322">
        <v>510.13</v>
      </c>
      <c r="F322">
        <v>47</v>
      </c>
    </row>
    <row r="323" spans="1:6">
      <c r="A323" t="s">
        <v>743</v>
      </c>
      <c r="B323" t="s">
        <v>744</v>
      </c>
      <c r="C323" t="s">
        <v>101</v>
      </c>
      <c r="D323" t="s">
        <v>101</v>
      </c>
      <c r="E323">
        <v>188.34</v>
      </c>
      <c r="F323">
        <v>95</v>
      </c>
    </row>
    <row r="324" spans="1:6">
      <c r="A324" t="s">
        <v>745</v>
      </c>
      <c r="B324" t="s">
        <v>746</v>
      </c>
      <c r="C324" t="s">
        <v>89</v>
      </c>
      <c r="D324" t="s">
        <v>89</v>
      </c>
      <c r="E324">
        <v>184.92</v>
      </c>
      <c r="F324">
        <v>60</v>
      </c>
    </row>
    <row r="325" spans="1:6">
      <c r="A325" t="s">
        <v>747</v>
      </c>
      <c r="B325" t="s">
        <v>748</v>
      </c>
      <c r="C325" t="s">
        <v>89</v>
      </c>
      <c r="D325" t="s">
        <v>89</v>
      </c>
      <c r="E325">
        <v>550.88</v>
      </c>
      <c r="F325">
        <v>99</v>
      </c>
    </row>
    <row r="326" spans="1:6">
      <c r="A326" t="s">
        <v>749</v>
      </c>
      <c r="B326" t="s">
        <v>750</v>
      </c>
      <c r="C326" t="s">
        <v>97</v>
      </c>
      <c r="D326" t="s">
        <v>97</v>
      </c>
      <c r="E326">
        <v>735.53</v>
      </c>
      <c r="F326">
        <v>-9</v>
      </c>
    </row>
    <row r="327" spans="1:6">
      <c r="A327" t="s">
        <v>751</v>
      </c>
      <c r="B327" t="s">
        <v>752</v>
      </c>
      <c r="C327" t="s">
        <v>97</v>
      </c>
      <c r="D327" t="s">
        <v>97</v>
      </c>
      <c r="E327">
        <v>904.83</v>
      </c>
      <c r="F327">
        <v>3</v>
      </c>
    </row>
    <row r="328" spans="1:6">
      <c r="A328" t="s">
        <v>753</v>
      </c>
      <c r="B328" t="s">
        <v>754</v>
      </c>
      <c r="C328" t="s">
        <v>156</v>
      </c>
      <c r="D328" t="s">
        <v>156</v>
      </c>
      <c r="E328">
        <v>880.99</v>
      </c>
      <c r="F328">
        <v>78</v>
      </c>
    </row>
    <row r="329" spans="1:6">
      <c r="A329" t="s">
        <v>755</v>
      </c>
      <c r="B329" t="s">
        <v>756</v>
      </c>
      <c r="C329" t="s">
        <v>156</v>
      </c>
      <c r="D329" t="s">
        <v>156</v>
      </c>
      <c r="E329">
        <v>73.87</v>
      </c>
      <c r="F329">
        <v>72</v>
      </c>
    </row>
    <row r="330" spans="1:6">
      <c r="A330" t="s">
        <v>757</v>
      </c>
      <c r="B330" t="s">
        <v>758</v>
      </c>
      <c r="C330" t="s">
        <v>101</v>
      </c>
      <c r="D330" t="s">
        <v>101</v>
      </c>
      <c r="E330">
        <v>894.91</v>
      </c>
      <c r="F330">
        <v>8</v>
      </c>
    </row>
    <row r="331" spans="1:6">
      <c r="A331" t="s">
        <v>759</v>
      </c>
      <c r="B331" t="s">
        <v>760</v>
      </c>
      <c r="C331" t="s">
        <v>97</v>
      </c>
      <c r="D331" t="s">
        <v>97</v>
      </c>
      <c r="E331">
        <v>572.44000000000005</v>
      </c>
      <c r="F331">
        <v>72</v>
      </c>
    </row>
    <row r="332" spans="1:6">
      <c r="A332" t="s">
        <v>761</v>
      </c>
      <c r="B332" t="s">
        <v>762</v>
      </c>
      <c r="C332" t="s">
        <v>101</v>
      </c>
      <c r="D332" t="s">
        <v>101</v>
      </c>
      <c r="E332">
        <v>648.57000000000005</v>
      </c>
      <c r="F332">
        <v>26</v>
      </c>
    </row>
    <row r="333" spans="1:6">
      <c r="A333" t="s">
        <v>763</v>
      </c>
      <c r="B333" t="s">
        <v>764</v>
      </c>
      <c r="C333" t="s">
        <v>114</v>
      </c>
      <c r="D333" t="s">
        <v>114</v>
      </c>
      <c r="E333">
        <v>736.3</v>
      </c>
      <c r="F333">
        <v>-6</v>
      </c>
    </row>
    <row r="334" spans="1:6">
      <c r="A334" t="s">
        <v>765</v>
      </c>
      <c r="B334" t="s">
        <v>766</v>
      </c>
      <c r="C334" t="s">
        <v>97</v>
      </c>
      <c r="D334" t="s">
        <v>97</v>
      </c>
      <c r="E334">
        <v>777.31</v>
      </c>
      <c r="F334">
        <v>90</v>
      </c>
    </row>
    <row r="335" spans="1:6">
      <c r="A335" t="s">
        <v>767</v>
      </c>
      <c r="B335" t="s">
        <v>768</v>
      </c>
      <c r="C335" t="s">
        <v>101</v>
      </c>
      <c r="D335" t="s">
        <v>101</v>
      </c>
      <c r="E335">
        <v>693.46</v>
      </c>
      <c r="F335">
        <v>75</v>
      </c>
    </row>
    <row r="336" spans="1:6">
      <c r="A336" t="s">
        <v>769</v>
      </c>
      <c r="B336" t="s">
        <v>770</v>
      </c>
      <c r="C336" t="s">
        <v>101</v>
      </c>
      <c r="D336" t="s">
        <v>101</v>
      </c>
      <c r="E336">
        <v>547.19000000000005</v>
      </c>
      <c r="F336">
        <v>30</v>
      </c>
    </row>
    <row r="337" spans="1:6">
      <c r="A337" t="s">
        <v>771</v>
      </c>
      <c r="B337" t="s">
        <v>772</v>
      </c>
      <c r="C337" t="s">
        <v>101</v>
      </c>
      <c r="D337" t="s">
        <v>101</v>
      </c>
      <c r="E337">
        <v>729.63</v>
      </c>
      <c r="F337">
        <v>9</v>
      </c>
    </row>
    <row r="338" spans="1:6">
      <c r="A338" t="s">
        <v>773</v>
      </c>
      <c r="B338" t="s">
        <v>774</v>
      </c>
      <c r="C338" t="s">
        <v>89</v>
      </c>
      <c r="D338" t="s">
        <v>89</v>
      </c>
      <c r="E338">
        <v>287.58</v>
      </c>
      <c r="F338">
        <v>45</v>
      </c>
    </row>
    <row r="339" spans="1:6">
      <c r="A339" t="s">
        <v>775</v>
      </c>
      <c r="B339" t="s">
        <v>776</v>
      </c>
      <c r="C339" t="s">
        <v>114</v>
      </c>
      <c r="D339" t="s">
        <v>114</v>
      </c>
      <c r="E339">
        <v>222.73</v>
      </c>
      <c r="F339">
        <v>62</v>
      </c>
    </row>
    <row r="340" spans="1:6">
      <c r="A340" t="s">
        <v>777</v>
      </c>
      <c r="B340" t="s">
        <v>778</v>
      </c>
      <c r="C340" t="s">
        <v>101</v>
      </c>
      <c r="D340" t="s">
        <v>101</v>
      </c>
      <c r="E340">
        <v>871.83</v>
      </c>
      <c r="F340">
        <v>71</v>
      </c>
    </row>
    <row r="341" spans="1:6">
      <c r="A341" t="s">
        <v>779</v>
      </c>
      <c r="B341" t="s">
        <v>780</v>
      </c>
      <c r="C341" t="s">
        <v>156</v>
      </c>
      <c r="D341" t="s">
        <v>156</v>
      </c>
      <c r="E341">
        <v>236.7</v>
      </c>
      <c r="F341">
        <v>74</v>
      </c>
    </row>
    <row r="342" spans="1:6">
      <c r="A342" t="s">
        <v>781</v>
      </c>
      <c r="B342" t="s">
        <v>782</v>
      </c>
      <c r="C342" t="s">
        <v>101</v>
      </c>
      <c r="D342" t="s">
        <v>101</v>
      </c>
      <c r="E342">
        <v>963.67</v>
      </c>
      <c r="F342">
        <v>23</v>
      </c>
    </row>
    <row r="343" spans="1:6">
      <c r="A343" t="s">
        <v>783</v>
      </c>
      <c r="B343" t="s">
        <v>784</v>
      </c>
      <c r="C343" t="s">
        <v>101</v>
      </c>
      <c r="D343" t="s">
        <v>101</v>
      </c>
      <c r="E343">
        <v>963.39</v>
      </c>
      <c r="F343">
        <v>67</v>
      </c>
    </row>
    <row r="344" spans="1:6">
      <c r="A344" t="s">
        <v>785</v>
      </c>
      <c r="B344" t="s">
        <v>786</v>
      </c>
      <c r="C344" t="s">
        <v>156</v>
      </c>
      <c r="D344" t="s">
        <v>156</v>
      </c>
      <c r="E344">
        <v>385.63</v>
      </c>
      <c r="F344">
        <v>-5</v>
      </c>
    </row>
    <row r="345" spans="1:6">
      <c r="A345" t="s">
        <v>787</v>
      </c>
      <c r="B345" t="s">
        <v>788</v>
      </c>
      <c r="C345" t="s">
        <v>101</v>
      </c>
      <c r="D345" t="s">
        <v>101</v>
      </c>
      <c r="E345">
        <v>596.26</v>
      </c>
      <c r="F345">
        <v>-2</v>
      </c>
    </row>
    <row r="346" spans="1:6">
      <c r="A346" t="s">
        <v>789</v>
      </c>
      <c r="B346" t="s">
        <v>790</v>
      </c>
      <c r="C346" t="s">
        <v>89</v>
      </c>
      <c r="D346" t="s">
        <v>89</v>
      </c>
      <c r="E346">
        <v>656.03</v>
      </c>
      <c r="F346">
        <v>5</v>
      </c>
    </row>
    <row r="347" spans="1:6">
      <c r="A347" t="s">
        <v>791</v>
      </c>
      <c r="B347" t="s">
        <v>792</v>
      </c>
      <c r="C347" t="s">
        <v>101</v>
      </c>
      <c r="D347" t="s">
        <v>101</v>
      </c>
      <c r="E347">
        <v>860.38</v>
      </c>
      <c r="F347">
        <v>4</v>
      </c>
    </row>
    <row r="348" spans="1:6">
      <c r="A348" t="s">
        <v>793</v>
      </c>
      <c r="B348" t="s">
        <v>794</v>
      </c>
      <c r="C348" t="s">
        <v>114</v>
      </c>
      <c r="D348" t="s">
        <v>114</v>
      </c>
      <c r="E348">
        <v>218.11</v>
      </c>
      <c r="F348">
        <v>1</v>
      </c>
    </row>
    <row r="349" spans="1:6">
      <c r="A349" t="s">
        <v>795</v>
      </c>
      <c r="B349" t="s">
        <v>796</v>
      </c>
      <c r="C349" t="s">
        <v>101</v>
      </c>
      <c r="D349" t="s">
        <v>101</v>
      </c>
      <c r="E349">
        <v>869.7</v>
      </c>
      <c r="F349">
        <v>84</v>
      </c>
    </row>
    <row r="350" spans="1:6">
      <c r="A350" t="s">
        <v>797</v>
      </c>
      <c r="B350" t="s">
        <v>798</v>
      </c>
      <c r="C350" t="s">
        <v>97</v>
      </c>
      <c r="D350" t="s">
        <v>97</v>
      </c>
      <c r="E350">
        <v>963.7</v>
      </c>
      <c r="F350">
        <v>4</v>
      </c>
    </row>
    <row r="351" spans="1:6">
      <c r="A351" t="s">
        <v>799</v>
      </c>
      <c r="B351" t="s">
        <v>800</v>
      </c>
      <c r="C351" t="s">
        <v>101</v>
      </c>
      <c r="D351" t="s">
        <v>101</v>
      </c>
      <c r="E351">
        <v>418.92</v>
      </c>
      <c r="F351">
        <v>50</v>
      </c>
    </row>
    <row r="352" spans="1:6">
      <c r="A352" t="s">
        <v>801</v>
      </c>
      <c r="B352" t="s">
        <v>802</v>
      </c>
      <c r="C352" t="s">
        <v>101</v>
      </c>
      <c r="D352" t="s">
        <v>101</v>
      </c>
      <c r="E352">
        <v>261.97000000000003</v>
      </c>
      <c r="F352">
        <v>-4</v>
      </c>
    </row>
    <row r="353" spans="1:6">
      <c r="A353" t="s">
        <v>803</v>
      </c>
      <c r="B353" t="s">
        <v>804</v>
      </c>
      <c r="C353" t="s">
        <v>97</v>
      </c>
      <c r="D353" t="s">
        <v>97</v>
      </c>
      <c r="E353">
        <v>602.94000000000005</v>
      </c>
      <c r="F353">
        <v>37</v>
      </c>
    </row>
    <row r="354" spans="1:6">
      <c r="A354" t="s">
        <v>805</v>
      </c>
      <c r="B354" t="s">
        <v>806</v>
      </c>
      <c r="C354" t="s">
        <v>97</v>
      </c>
      <c r="D354" t="s">
        <v>97</v>
      </c>
      <c r="E354">
        <v>816.26</v>
      </c>
      <c r="F354">
        <v>8</v>
      </c>
    </row>
    <row r="355" spans="1:6">
      <c r="A355" t="s">
        <v>807</v>
      </c>
      <c r="B355" t="s">
        <v>808</v>
      </c>
      <c r="C355" t="s">
        <v>114</v>
      </c>
      <c r="D355" t="s">
        <v>114</v>
      </c>
      <c r="E355">
        <v>211.36</v>
      </c>
      <c r="F355">
        <v>42</v>
      </c>
    </row>
    <row r="356" spans="1:6">
      <c r="A356" t="s">
        <v>809</v>
      </c>
      <c r="B356" t="s">
        <v>810</v>
      </c>
      <c r="C356" t="s">
        <v>97</v>
      </c>
      <c r="D356" t="s">
        <v>97</v>
      </c>
      <c r="E356">
        <v>429.86</v>
      </c>
      <c r="F356">
        <v>58</v>
      </c>
    </row>
    <row r="357" spans="1:6">
      <c r="A357" t="s">
        <v>811</v>
      </c>
      <c r="B357" t="s">
        <v>812</v>
      </c>
      <c r="C357" t="s">
        <v>101</v>
      </c>
      <c r="D357" t="s">
        <v>101</v>
      </c>
      <c r="E357">
        <v>891.65</v>
      </c>
      <c r="F357">
        <v>9</v>
      </c>
    </row>
    <row r="358" spans="1:6">
      <c r="A358" t="s">
        <v>813</v>
      </c>
      <c r="B358" t="s">
        <v>814</v>
      </c>
      <c r="C358" t="s">
        <v>97</v>
      </c>
      <c r="D358" t="s">
        <v>97</v>
      </c>
      <c r="E358">
        <v>683.23</v>
      </c>
      <c r="F358">
        <v>47</v>
      </c>
    </row>
    <row r="359" spans="1:6">
      <c r="A359" t="s">
        <v>815</v>
      </c>
      <c r="B359" t="s">
        <v>816</v>
      </c>
      <c r="C359" t="s">
        <v>101</v>
      </c>
      <c r="D359" t="s">
        <v>101</v>
      </c>
      <c r="E359">
        <v>365.1</v>
      </c>
      <c r="F359">
        <v>80</v>
      </c>
    </row>
    <row r="360" spans="1:6">
      <c r="A360" t="s">
        <v>817</v>
      </c>
      <c r="B360" t="s">
        <v>818</v>
      </c>
      <c r="C360" t="s">
        <v>97</v>
      </c>
      <c r="D360" t="s">
        <v>97</v>
      </c>
      <c r="E360">
        <v>608.1</v>
      </c>
      <c r="F360">
        <v>-2</v>
      </c>
    </row>
    <row r="361" spans="1:6">
      <c r="A361" t="s">
        <v>819</v>
      </c>
      <c r="B361" t="s">
        <v>820</v>
      </c>
      <c r="C361" t="s">
        <v>97</v>
      </c>
      <c r="D361" t="s">
        <v>97</v>
      </c>
      <c r="E361">
        <v>495.37</v>
      </c>
      <c r="F361">
        <v>35</v>
      </c>
    </row>
    <row r="362" spans="1:6">
      <c r="A362" t="s">
        <v>821</v>
      </c>
      <c r="B362" t="s">
        <v>822</v>
      </c>
      <c r="C362" t="s">
        <v>89</v>
      </c>
      <c r="D362" t="s">
        <v>89</v>
      </c>
      <c r="E362">
        <v>999.62</v>
      </c>
      <c r="F362">
        <v>82</v>
      </c>
    </row>
    <row r="363" spans="1:6">
      <c r="A363" t="s">
        <v>823</v>
      </c>
      <c r="B363" t="s">
        <v>824</v>
      </c>
      <c r="C363" t="s">
        <v>101</v>
      </c>
      <c r="D363" t="s">
        <v>101</v>
      </c>
      <c r="E363">
        <v>810.19</v>
      </c>
      <c r="F363">
        <v>25</v>
      </c>
    </row>
    <row r="364" spans="1:6">
      <c r="A364" t="s">
        <v>825</v>
      </c>
      <c r="B364" t="s">
        <v>826</v>
      </c>
      <c r="C364" t="s">
        <v>156</v>
      </c>
      <c r="D364" t="s">
        <v>156</v>
      </c>
      <c r="E364">
        <v>688.72</v>
      </c>
      <c r="F364">
        <v>45</v>
      </c>
    </row>
    <row r="365" spans="1:6">
      <c r="A365" t="s">
        <v>827</v>
      </c>
      <c r="B365" t="s">
        <v>828</v>
      </c>
      <c r="C365" t="s">
        <v>97</v>
      </c>
      <c r="D365" t="s">
        <v>97</v>
      </c>
      <c r="E365">
        <v>804.4</v>
      </c>
      <c r="F365">
        <v>88</v>
      </c>
    </row>
    <row r="366" spans="1:6">
      <c r="A366" t="s">
        <v>829</v>
      </c>
      <c r="B366" t="s">
        <v>830</v>
      </c>
      <c r="C366" t="s">
        <v>89</v>
      </c>
      <c r="D366" t="s">
        <v>89</v>
      </c>
      <c r="E366">
        <v>501.69</v>
      </c>
      <c r="F366">
        <v>70</v>
      </c>
    </row>
    <row r="367" spans="1:6">
      <c r="A367" t="s">
        <v>831</v>
      </c>
      <c r="B367" t="s">
        <v>832</v>
      </c>
      <c r="C367" t="s">
        <v>89</v>
      </c>
      <c r="D367" t="s">
        <v>89</v>
      </c>
      <c r="E367">
        <v>863.92</v>
      </c>
      <c r="F367">
        <v>17</v>
      </c>
    </row>
    <row r="368" spans="1:6">
      <c r="A368" t="s">
        <v>833</v>
      </c>
      <c r="B368" t="s">
        <v>834</v>
      </c>
      <c r="C368" t="s">
        <v>114</v>
      </c>
      <c r="D368" t="s">
        <v>114</v>
      </c>
      <c r="E368">
        <v>653.04</v>
      </c>
      <c r="F368">
        <v>43</v>
      </c>
    </row>
    <row r="369" spans="1:6">
      <c r="A369" t="s">
        <v>835</v>
      </c>
      <c r="B369" t="s">
        <v>836</v>
      </c>
      <c r="C369" t="s">
        <v>89</v>
      </c>
      <c r="D369" t="s">
        <v>89</v>
      </c>
      <c r="E369">
        <v>287.69</v>
      </c>
      <c r="F369">
        <v>8</v>
      </c>
    </row>
    <row r="370" spans="1:6">
      <c r="A370" t="s">
        <v>837</v>
      </c>
      <c r="B370" t="s">
        <v>838</v>
      </c>
      <c r="C370" t="s">
        <v>89</v>
      </c>
      <c r="D370" t="s">
        <v>89</v>
      </c>
      <c r="E370">
        <v>175.63</v>
      </c>
      <c r="F370">
        <v>3</v>
      </c>
    </row>
    <row r="371" spans="1:6">
      <c r="A371" t="s">
        <v>839</v>
      </c>
      <c r="B371" t="s">
        <v>840</v>
      </c>
      <c r="C371" t="s">
        <v>89</v>
      </c>
      <c r="D371" t="s">
        <v>89</v>
      </c>
      <c r="E371">
        <v>650.97</v>
      </c>
      <c r="F371">
        <v>34</v>
      </c>
    </row>
    <row r="372" spans="1:6">
      <c r="A372" t="s">
        <v>841</v>
      </c>
      <c r="B372" t="s">
        <v>842</v>
      </c>
      <c r="C372" t="s">
        <v>89</v>
      </c>
      <c r="D372" t="s">
        <v>89</v>
      </c>
      <c r="E372">
        <v>778.01</v>
      </c>
      <c r="F372">
        <v>75</v>
      </c>
    </row>
    <row r="373" spans="1:6">
      <c r="A373" t="s">
        <v>843</v>
      </c>
      <c r="B373" t="s">
        <v>844</v>
      </c>
      <c r="C373" t="s">
        <v>97</v>
      </c>
      <c r="D373" t="s">
        <v>97</v>
      </c>
      <c r="E373">
        <v>358.25</v>
      </c>
      <c r="F373">
        <v>61</v>
      </c>
    </row>
    <row r="374" spans="1:6">
      <c r="A374" t="s">
        <v>845</v>
      </c>
      <c r="B374" t="s">
        <v>846</v>
      </c>
      <c r="C374" t="s">
        <v>97</v>
      </c>
      <c r="D374" t="s">
        <v>97</v>
      </c>
      <c r="E374">
        <v>323</v>
      </c>
      <c r="F374">
        <v>-8</v>
      </c>
    </row>
    <row r="375" spans="1:6">
      <c r="A375" t="s">
        <v>847</v>
      </c>
      <c r="B375" t="s">
        <v>848</v>
      </c>
      <c r="C375" t="s">
        <v>114</v>
      </c>
      <c r="D375" t="s">
        <v>114</v>
      </c>
      <c r="E375">
        <v>384.14</v>
      </c>
      <c r="F375">
        <v>15</v>
      </c>
    </row>
    <row r="376" spans="1:6">
      <c r="A376" t="s">
        <v>849</v>
      </c>
      <c r="B376" t="s">
        <v>850</v>
      </c>
      <c r="C376" t="s">
        <v>114</v>
      </c>
      <c r="D376" t="s">
        <v>114</v>
      </c>
      <c r="E376">
        <v>952.49</v>
      </c>
      <c r="F376">
        <v>89</v>
      </c>
    </row>
    <row r="377" spans="1:6">
      <c r="A377" t="s">
        <v>851</v>
      </c>
      <c r="B377" t="s">
        <v>852</v>
      </c>
      <c r="C377" t="s">
        <v>114</v>
      </c>
      <c r="D377" t="s">
        <v>114</v>
      </c>
      <c r="E377">
        <v>628.48</v>
      </c>
      <c r="F377">
        <v>27</v>
      </c>
    </row>
    <row r="378" spans="1:6">
      <c r="A378" t="s">
        <v>853</v>
      </c>
      <c r="B378" t="s">
        <v>854</v>
      </c>
      <c r="C378" t="s">
        <v>156</v>
      </c>
      <c r="D378" t="s">
        <v>156</v>
      </c>
      <c r="E378">
        <v>827.56</v>
      </c>
      <c r="F378">
        <v>92</v>
      </c>
    </row>
    <row r="379" spans="1:6">
      <c r="A379" t="s">
        <v>855</v>
      </c>
      <c r="B379" t="s">
        <v>856</v>
      </c>
      <c r="C379" t="s">
        <v>97</v>
      </c>
      <c r="D379" t="s">
        <v>97</v>
      </c>
      <c r="E379">
        <v>695.98</v>
      </c>
      <c r="F379">
        <v>57</v>
      </c>
    </row>
    <row r="380" spans="1:6">
      <c r="A380" t="s">
        <v>857</v>
      </c>
      <c r="B380" t="s">
        <v>858</v>
      </c>
      <c r="C380" t="s">
        <v>101</v>
      </c>
      <c r="D380" t="s">
        <v>101</v>
      </c>
      <c r="E380">
        <v>902.33</v>
      </c>
      <c r="F380">
        <v>46</v>
      </c>
    </row>
    <row r="381" spans="1:6">
      <c r="A381" t="s">
        <v>859</v>
      </c>
      <c r="B381" t="s">
        <v>860</v>
      </c>
      <c r="C381" t="s">
        <v>97</v>
      </c>
      <c r="D381" t="s">
        <v>97</v>
      </c>
      <c r="E381">
        <v>420.41</v>
      </c>
      <c r="F381">
        <v>58</v>
      </c>
    </row>
    <row r="382" spans="1:6">
      <c r="A382" t="s">
        <v>861</v>
      </c>
      <c r="B382" t="s">
        <v>862</v>
      </c>
      <c r="C382" t="s">
        <v>97</v>
      </c>
      <c r="D382" t="s">
        <v>97</v>
      </c>
      <c r="E382">
        <v>798.08</v>
      </c>
      <c r="F382">
        <v>97</v>
      </c>
    </row>
    <row r="383" spans="1:6">
      <c r="A383" t="s">
        <v>863</v>
      </c>
      <c r="B383" t="s">
        <v>864</v>
      </c>
      <c r="C383" t="s">
        <v>101</v>
      </c>
      <c r="D383" t="s">
        <v>101</v>
      </c>
      <c r="E383">
        <v>468.78</v>
      </c>
      <c r="F383">
        <v>-5</v>
      </c>
    </row>
    <row r="384" spans="1:6">
      <c r="A384" t="s">
        <v>865</v>
      </c>
      <c r="B384" t="s">
        <v>866</v>
      </c>
      <c r="C384" t="s">
        <v>101</v>
      </c>
      <c r="D384" t="s">
        <v>101</v>
      </c>
      <c r="E384">
        <v>846.18</v>
      </c>
      <c r="F384">
        <v>37</v>
      </c>
    </row>
    <row r="385" spans="1:6">
      <c r="A385" t="s">
        <v>867</v>
      </c>
      <c r="B385" t="s">
        <v>868</v>
      </c>
      <c r="C385" t="s">
        <v>156</v>
      </c>
      <c r="D385" t="s">
        <v>156</v>
      </c>
      <c r="E385">
        <v>668.87</v>
      </c>
      <c r="F385">
        <v>82</v>
      </c>
    </row>
    <row r="386" spans="1:6">
      <c r="A386" t="s">
        <v>869</v>
      </c>
      <c r="B386" t="s">
        <v>870</v>
      </c>
      <c r="C386" t="s">
        <v>97</v>
      </c>
      <c r="D386" t="s">
        <v>97</v>
      </c>
      <c r="E386">
        <v>285.81</v>
      </c>
      <c r="F386">
        <v>1</v>
      </c>
    </row>
    <row r="387" spans="1:6">
      <c r="A387" t="s">
        <v>871</v>
      </c>
      <c r="B387" t="s">
        <v>872</v>
      </c>
      <c r="C387" t="s">
        <v>89</v>
      </c>
      <c r="D387" t="s">
        <v>89</v>
      </c>
      <c r="E387">
        <v>901.5</v>
      </c>
      <c r="F387">
        <v>62</v>
      </c>
    </row>
    <row r="388" spans="1:6">
      <c r="A388" t="s">
        <v>873</v>
      </c>
      <c r="B388" t="s">
        <v>874</v>
      </c>
      <c r="C388" t="s">
        <v>89</v>
      </c>
      <c r="D388" t="s">
        <v>89</v>
      </c>
      <c r="E388">
        <v>228.39</v>
      </c>
      <c r="F388">
        <v>-7</v>
      </c>
    </row>
    <row r="389" spans="1:6">
      <c r="A389" t="s">
        <v>875</v>
      </c>
      <c r="B389" t="s">
        <v>876</v>
      </c>
      <c r="C389" t="s">
        <v>97</v>
      </c>
      <c r="D389" t="s">
        <v>97</v>
      </c>
      <c r="E389">
        <v>905.74</v>
      </c>
      <c r="F389">
        <v>59</v>
      </c>
    </row>
    <row r="390" spans="1:6">
      <c r="A390" t="s">
        <v>877</v>
      </c>
      <c r="B390" t="s">
        <v>878</v>
      </c>
      <c r="C390" t="s">
        <v>101</v>
      </c>
      <c r="D390" t="s">
        <v>101</v>
      </c>
      <c r="E390">
        <v>821.84</v>
      </c>
      <c r="F390">
        <v>74</v>
      </c>
    </row>
    <row r="391" spans="1:6">
      <c r="A391" t="s">
        <v>879</v>
      </c>
      <c r="B391" t="s">
        <v>880</v>
      </c>
      <c r="C391" t="s">
        <v>114</v>
      </c>
      <c r="D391" t="s">
        <v>114</v>
      </c>
      <c r="E391">
        <v>99.42</v>
      </c>
      <c r="F391">
        <v>92</v>
      </c>
    </row>
    <row r="392" spans="1:6">
      <c r="A392" t="s">
        <v>881</v>
      </c>
      <c r="B392" t="s">
        <v>882</v>
      </c>
      <c r="C392" t="s">
        <v>89</v>
      </c>
      <c r="D392" t="s">
        <v>89</v>
      </c>
      <c r="E392">
        <v>888.88</v>
      </c>
      <c r="F392">
        <v>1</v>
      </c>
    </row>
    <row r="393" spans="1:6">
      <c r="A393" t="s">
        <v>883</v>
      </c>
      <c r="B393" t="s">
        <v>884</v>
      </c>
      <c r="C393" t="s">
        <v>114</v>
      </c>
      <c r="D393" t="s">
        <v>114</v>
      </c>
      <c r="E393">
        <v>513.07000000000005</v>
      </c>
      <c r="F393">
        <v>64</v>
      </c>
    </row>
    <row r="394" spans="1:6">
      <c r="A394" t="s">
        <v>885</v>
      </c>
      <c r="B394" t="s">
        <v>886</v>
      </c>
      <c r="C394" t="s">
        <v>114</v>
      </c>
      <c r="D394" t="s">
        <v>114</v>
      </c>
      <c r="E394">
        <v>145.58000000000001</v>
      </c>
      <c r="F394">
        <v>-4</v>
      </c>
    </row>
    <row r="395" spans="1:6">
      <c r="A395" t="s">
        <v>887</v>
      </c>
      <c r="B395" t="s">
        <v>888</v>
      </c>
      <c r="C395" t="s">
        <v>89</v>
      </c>
      <c r="D395" t="s">
        <v>89</v>
      </c>
      <c r="E395">
        <v>958.08</v>
      </c>
      <c r="F395">
        <v>13</v>
      </c>
    </row>
    <row r="396" spans="1:6">
      <c r="A396" t="s">
        <v>889</v>
      </c>
      <c r="B396" t="s">
        <v>890</v>
      </c>
      <c r="C396" t="s">
        <v>156</v>
      </c>
      <c r="D396" t="s">
        <v>156</v>
      </c>
      <c r="E396">
        <v>357.59</v>
      </c>
      <c r="F396">
        <v>21</v>
      </c>
    </row>
    <row r="397" spans="1:6">
      <c r="A397" t="s">
        <v>891</v>
      </c>
      <c r="B397" t="s">
        <v>892</v>
      </c>
      <c r="C397" t="s">
        <v>156</v>
      </c>
      <c r="D397" t="s">
        <v>156</v>
      </c>
      <c r="E397">
        <v>371.86</v>
      </c>
      <c r="F397">
        <v>54</v>
      </c>
    </row>
    <row r="398" spans="1:6">
      <c r="A398" t="s">
        <v>893</v>
      </c>
      <c r="B398" t="s">
        <v>894</v>
      </c>
      <c r="C398" t="s">
        <v>89</v>
      </c>
      <c r="D398" t="s">
        <v>89</v>
      </c>
      <c r="E398">
        <v>466.12</v>
      </c>
      <c r="F398">
        <v>37</v>
      </c>
    </row>
    <row r="399" spans="1:6">
      <c r="A399" t="s">
        <v>895</v>
      </c>
      <c r="B399" t="s">
        <v>896</v>
      </c>
      <c r="C399" t="s">
        <v>89</v>
      </c>
      <c r="D399" t="s">
        <v>89</v>
      </c>
      <c r="E399">
        <v>822.82</v>
      </c>
      <c r="F399">
        <v>84</v>
      </c>
    </row>
    <row r="400" spans="1:6">
      <c r="A400" t="s">
        <v>897</v>
      </c>
      <c r="B400" t="s">
        <v>898</v>
      </c>
      <c r="C400" t="s">
        <v>101</v>
      </c>
      <c r="D400" t="s">
        <v>101</v>
      </c>
      <c r="E400">
        <v>759.65</v>
      </c>
      <c r="F400">
        <v>75</v>
      </c>
    </row>
    <row r="401" spans="1:6">
      <c r="A401" t="s">
        <v>899</v>
      </c>
      <c r="B401" t="s">
        <v>900</v>
      </c>
      <c r="C401" t="s">
        <v>97</v>
      </c>
      <c r="D401" t="s">
        <v>97</v>
      </c>
      <c r="E401">
        <v>715.03</v>
      </c>
      <c r="F401">
        <v>-6</v>
      </c>
    </row>
    <row r="402" spans="1:6">
      <c r="A402" t="s">
        <v>901</v>
      </c>
      <c r="B402" t="s">
        <v>902</v>
      </c>
      <c r="C402" t="s">
        <v>156</v>
      </c>
      <c r="D402" t="s">
        <v>156</v>
      </c>
      <c r="E402">
        <v>960.29</v>
      </c>
      <c r="F402">
        <v>23</v>
      </c>
    </row>
    <row r="403" spans="1:6">
      <c r="A403" t="s">
        <v>903</v>
      </c>
      <c r="B403" t="s">
        <v>904</v>
      </c>
      <c r="C403" t="s">
        <v>156</v>
      </c>
      <c r="D403" t="s">
        <v>156</v>
      </c>
      <c r="E403">
        <v>499.52</v>
      </c>
      <c r="F403">
        <v>48</v>
      </c>
    </row>
    <row r="404" spans="1:6">
      <c r="A404" t="s">
        <v>905</v>
      </c>
      <c r="B404" t="s">
        <v>906</v>
      </c>
      <c r="C404" t="s">
        <v>156</v>
      </c>
      <c r="D404" t="s">
        <v>156</v>
      </c>
      <c r="E404">
        <v>931.21</v>
      </c>
      <c r="F404">
        <v>2</v>
      </c>
    </row>
    <row r="405" spans="1:6">
      <c r="A405" t="s">
        <v>907</v>
      </c>
      <c r="B405" t="s">
        <v>908</v>
      </c>
      <c r="C405" t="s">
        <v>89</v>
      </c>
      <c r="D405" t="s">
        <v>89</v>
      </c>
      <c r="E405">
        <v>931.88</v>
      </c>
      <c r="F405">
        <v>53</v>
      </c>
    </row>
    <row r="406" spans="1:6">
      <c r="A406" t="s">
        <v>909</v>
      </c>
      <c r="B406" t="s">
        <v>910</v>
      </c>
      <c r="C406" t="s">
        <v>114</v>
      </c>
      <c r="D406" t="s">
        <v>114</v>
      </c>
      <c r="E406">
        <v>895.39</v>
      </c>
      <c r="F406">
        <v>78</v>
      </c>
    </row>
    <row r="407" spans="1:6">
      <c r="A407" t="s">
        <v>911</v>
      </c>
      <c r="B407" t="s">
        <v>912</v>
      </c>
      <c r="C407" t="s">
        <v>101</v>
      </c>
      <c r="D407" t="s">
        <v>101</v>
      </c>
      <c r="E407">
        <v>736.04</v>
      </c>
      <c r="F407">
        <v>-9</v>
      </c>
    </row>
    <row r="408" spans="1:6">
      <c r="A408" t="s">
        <v>913</v>
      </c>
      <c r="B408" t="s">
        <v>914</v>
      </c>
      <c r="C408" t="s">
        <v>89</v>
      </c>
      <c r="D408" t="s">
        <v>89</v>
      </c>
      <c r="E408">
        <v>315.91000000000003</v>
      </c>
      <c r="F408">
        <v>63</v>
      </c>
    </row>
    <row r="409" spans="1:6">
      <c r="A409" t="s">
        <v>915</v>
      </c>
      <c r="B409" t="s">
        <v>916</v>
      </c>
      <c r="C409" t="s">
        <v>156</v>
      </c>
      <c r="D409" t="s">
        <v>156</v>
      </c>
      <c r="E409">
        <v>390.05</v>
      </c>
      <c r="F409">
        <v>70</v>
      </c>
    </row>
    <row r="410" spans="1:6">
      <c r="A410" t="s">
        <v>917</v>
      </c>
      <c r="B410" t="s">
        <v>918</v>
      </c>
      <c r="C410" t="s">
        <v>101</v>
      </c>
      <c r="D410" t="s">
        <v>101</v>
      </c>
      <c r="E410">
        <v>86.41</v>
      </c>
      <c r="F410">
        <v>64</v>
      </c>
    </row>
    <row r="411" spans="1:6">
      <c r="A411" t="s">
        <v>919</v>
      </c>
      <c r="B411" t="s">
        <v>920</v>
      </c>
      <c r="C411" t="s">
        <v>114</v>
      </c>
      <c r="D411" t="s">
        <v>114</v>
      </c>
      <c r="E411">
        <v>297.97000000000003</v>
      </c>
      <c r="F411">
        <v>41</v>
      </c>
    </row>
    <row r="412" spans="1:6">
      <c r="A412" t="s">
        <v>921</v>
      </c>
      <c r="B412" t="s">
        <v>922</v>
      </c>
      <c r="C412" t="s">
        <v>114</v>
      </c>
      <c r="D412" t="s">
        <v>114</v>
      </c>
      <c r="E412">
        <v>982.28</v>
      </c>
      <c r="F412">
        <v>14</v>
      </c>
    </row>
    <row r="413" spans="1:6">
      <c r="A413" t="s">
        <v>923</v>
      </c>
      <c r="B413" t="s">
        <v>924</v>
      </c>
      <c r="C413" t="s">
        <v>101</v>
      </c>
      <c r="D413" t="s">
        <v>101</v>
      </c>
      <c r="E413">
        <v>229.63</v>
      </c>
      <c r="F413">
        <v>-7</v>
      </c>
    </row>
    <row r="414" spans="1:6">
      <c r="A414" t="s">
        <v>925</v>
      </c>
      <c r="B414" t="s">
        <v>926</v>
      </c>
      <c r="C414" t="s">
        <v>114</v>
      </c>
      <c r="D414" t="s">
        <v>114</v>
      </c>
      <c r="E414">
        <v>324.85000000000002</v>
      </c>
      <c r="F414">
        <v>8</v>
      </c>
    </row>
    <row r="415" spans="1:6">
      <c r="A415" t="s">
        <v>927</v>
      </c>
      <c r="B415" t="s">
        <v>928</v>
      </c>
      <c r="C415" t="s">
        <v>101</v>
      </c>
      <c r="D415" t="s">
        <v>101</v>
      </c>
      <c r="E415">
        <v>380.52</v>
      </c>
      <c r="F415">
        <v>49</v>
      </c>
    </row>
    <row r="416" spans="1:6">
      <c r="A416" t="s">
        <v>929</v>
      </c>
      <c r="B416" t="s">
        <v>930</v>
      </c>
      <c r="C416" t="s">
        <v>89</v>
      </c>
      <c r="D416" t="s">
        <v>89</v>
      </c>
      <c r="E416">
        <v>877.99</v>
      </c>
      <c r="F416">
        <v>30</v>
      </c>
    </row>
    <row r="417" spans="1:6">
      <c r="A417" t="s">
        <v>931</v>
      </c>
      <c r="B417" t="s">
        <v>932</v>
      </c>
      <c r="C417" t="s">
        <v>156</v>
      </c>
      <c r="D417" t="s">
        <v>156</v>
      </c>
      <c r="E417">
        <v>938.45</v>
      </c>
      <c r="F417">
        <v>53</v>
      </c>
    </row>
    <row r="418" spans="1:6">
      <c r="A418" t="s">
        <v>933</v>
      </c>
      <c r="B418" t="s">
        <v>934</v>
      </c>
      <c r="C418" t="s">
        <v>97</v>
      </c>
      <c r="D418" t="s">
        <v>97</v>
      </c>
      <c r="E418">
        <v>713.93</v>
      </c>
      <c r="F418">
        <v>47</v>
      </c>
    </row>
    <row r="419" spans="1:6">
      <c r="A419" t="s">
        <v>935</v>
      </c>
      <c r="B419" t="s">
        <v>936</v>
      </c>
      <c r="C419" t="s">
        <v>97</v>
      </c>
      <c r="D419" t="s">
        <v>97</v>
      </c>
      <c r="E419">
        <v>352.05</v>
      </c>
      <c r="F419">
        <v>79</v>
      </c>
    </row>
    <row r="420" spans="1:6">
      <c r="A420" t="s">
        <v>937</v>
      </c>
      <c r="B420" t="s">
        <v>938</v>
      </c>
      <c r="C420" t="s">
        <v>156</v>
      </c>
      <c r="D420" t="s">
        <v>156</v>
      </c>
      <c r="E420">
        <v>471.7</v>
      </c>
      <c r="F420">
        <v>61</v>
      </c>
    </row>
    <row r="421" spans="1:6">
      <c r="A421" t="s">
        <v>939</v>
      </c>
      <c r="B421" t="s">
        <v>940</v>
      </c>
      <c r="C421" t="s">
        <v>114</v>
      </c>
      <c r="D421" t="s">
        <v>114</v>
      </c>
      <c r="E421">
        <v>384.83</v>
      </c>
      <c r="F421">
        <v>39</v>
      </c>
    </row>
    <row r="422" spans="1:6">
      <c r="A422" t="s">
        <v>941</v>
      </c>
      <c r="B422" t="s">
        <v>942</v>
      </c>
      <c r="C422" t="s">
        <v>97</v>
      </c>
      <c r="D422" t="s">
        <v>97</v>
      </c>
      <c r="E422">
        <v>925.55</v>
      </c>
      <c r="F422">
        <v>78</v>
      </c>
    </row>
    <row r="423" spans="1:6">
      <c r="A423" t="s">
        <v>943</v>
      </c>
      <c r="B423" t="s">
        <v>944</v>
      </c>
      <c r="C423" t="s">
        <v>114</v>
      </c>
      <c r="D423" t="s">
        <v>114</v>
      </c>
      <c r="E423">
        <v>524.37</v>
      </c>
      <c r="F423">
        <v>-3</v>
      </c>
    </row>
    <row r="424" spans="1:6">
      <c r="A424" t="s">
        <v>945</v>
      </c>
      <c r="B424" t="s">
        <v>946</v>
      </c>
      <c r="C424" t="s">
        <v>101</v>
      </c>
      <c r="D424" t="s">
        <v>101</v>
      </c>
      <c r="E424">
        <v>915.99</v>
      </c>
      <c r="F424">
        <v>39</v>
      </c>
    </row>
    <row r="425" spans="1:6">
      <c r="A425" t="s">
        <v>947</v>
      </c>
      <c r="B425" t="s">
        <v>948</v>
      </c>
      <c r="C425" t="s">
        <v>156</v>
      </c>
      <c r="D425" t="s">
        <v>156</v>
      </c>
      <c r="E425">
        <v>88.13</v>
      </c>
      <c r="F425">
        <v>84</v>
      </c>
    </row>
    <row r="426" spans="1:6">
      <c r="A426" t="s">
        <v>949</v>
      </c>
      <c r="B426" t="s">
        <v>950</v>
      </c>
      <c r="C426" t="s">
        <v>97</v>
      </c>
      <c r="D426" t="s">
        <v>97</v>
      </c>
      <c r="E426">
        <v>586.4</v>
      </c>
      <c r="F426">
        <v>37</v>
      </c>
    </row>
    <row r="427" spans="1:6">
      <c r="A427" t="s">
        <v>951</v>
      </c>
      <c r="B427" t="s">
        <v>952</v>
      </c>
      <c r="C427" t="s">
        <v>89</v>
      </c>
      <c r="D427" t="s">
        <v>89</v>
      </c>
      <c r="E427">
        <v>403.36</v>
      </c>
      <c r="F427">
        <v>4</v>
      </c>
    </row>
    <row r="428" spans="1:6">
      <c r="A428" t="s">
        <v>953</v>
      </c>
      <c r="B428" t="s">
        <v>954</v>
      </c>
      <c r="C428" t="s">
        <v>101</v>
      </c>
      <c r="D428" t="s">
        <v>101</v>
      </c>
      <c r="E428">
        <v>931.83</v>
      </c>
      <c r="F428">
        <v>82</v>
      </c>
    </row>
    <row r="429" spans="1:6">
      <c r="A429" t="s">
        <v>955</v>
      </c>
      <c r="B429" t="s">
        <v>956</v>
      </c>
      <c r="C429" t="s">
        <v>89</v>
      </c>
      <c r="D429" t="s">
        <v>89</v>
      </c>
      <c r="E429">
        <v>786.65</v>
      </c>
      <c r="F429">
        <v>51</v>
      </c>
    </row>
    <row r="430" spans="1:6">
      <c r="A430" t="s">
        <v>957</v>
      </c>
      <c r="B430" t="s">
        <v>958</v>
      </c>
      <c r="C430" t="s">
        <v>101</v>
      </c>
      <c r="D430" t="s">
        <v>101</v>
      </c>
      <c r="E430">
        <v>104.1</v>
      </c>
      <c r="F430">
        <v>26</v>
      </c>
    </row>
    <row r="431" spans="1:6">
      <c r="A431" t="s">
        <v>959</v>
      </c>
      <c r="B431" t="s">
        <v>960</v>
      </c>
      <c r="C431" t="s">
        <v>101</v>
      </c>
      <c r="D431" t="s">
        <v>101</v>
      </c>
      <c r="E431">
        <v>792.62</v>
      </c>
      <c r="F431">
        <v>-1</v>
      </c>
    </row>
    <row r="432" spans="1:6">
      <c r="A432" t="s">
        <v>961</v>
      </c>
      <c r="B432" t="s">
        <v>962</v>
      </c>
      <c r="C432" t="s">
        <v>101</v>
      </c>
      <c r="D432" t="s">
        <v>101</v>
      </c>
      <c r="E432">
        <v>772.48</v>
      </c>
      <c r="F432">
        <v>78</v>
      </c>
    </row>
    <row r="433" spans="1:6">
      <c r="A433" t="s">
        <v>963</v>
      </c>
      <c r="B433" t="s">
        <v>964</v>
      </c>
      <c r="C433" t="s">
        <v>156</v>
      </c>
      <c r="D433" t="s">
        <v>156</v>
      </c>
      <c r="E433">
        <v>251.37</v>
      </c>
      <c r="F433">
        <v>73</v>
      </c>
    </row>
    <row r="434" spans="1:6">
      <c r="A434" t="s">
        <v>965</v>
      </c>
      <c r="B434" t="s">
        <v>966</v>
      </c>
      <c r="C434" t="s">
        <v>114</v>
      </c>
      <c r="D434" t="s">
        <v>114</v>
      </c>
      <c r="E434">
        <v>697.04</v>
      </c>
      <c r="F434">
        <v>77</v>
      </c>
    </row>
    <row r="435" spans="1:6">
      <c r="A435" t="s">
        <v>967</v>
      </c>
      <c r="B435" t="s">
        <v>968</v>
      </c>
      <c r="C435" t="s">
        <v>156</v>
      </c>
      <c r="D435" t="s">
        <v>156</v>
      </c>
      <c r="E435">
        <v>954.59</v>
      </c>
      <c r="F435">
        <v>52</v>
      </c>
    </row>
    <row r="436" spans="1:6">
      <c r="A436" t="s">
        <v>969</v>
      </c>
      <c r="B436" t="s">
        <v>970</v>
      </c>
      <c r="C436" t="s">
        <v>97</v>
      </c>
      <c r="D436" t="s">
        <v>97</v>
      </c>
      <c r="E436">
        <v>763.67</v>
      </c>
      <c r="F436">
        <v>52</v>
      </c>
    </row>
    <row r="437" spans="1:6">
      <c r="A437" t="s">
        <v>971</v>
      </c>
      <c r="B437" t="s">
        <v>972</v>
      </c>
      <c r="C437" t="s">
        <v>156</v>
      </c>
      <c r="D437" t="s">
        <v>156</v>
      </c>
      <c r="E437">
        <v>260.13</v>
      </c>
      <c r="F437">
        <v>27</v>
      </c>
    </row>
    <row r="438" spans="1:6">
      <c r="A438" t="s">
        <v>973</v>
      </c>
      <c r="B438" t="s">
        <v>974</v>
      </c>
      <c r="C438" t="s">
        <v>114</v>
      </c>
      <c r="D438" t="s">
        <v>114</v>
      </c>
      <c r="E438">
        <v>167.31</v>
      </c>
      <c r="F438">
        <v>-1</v>
      </c>
    </row>
    <row r="439" spans="1:6">
      <c r="A439" t="s">
        <v>975</v>
      </c>
      <c r="B439" t="s">
        <v>976</v>
      </c>
      <c r="C439" t="s">
        <v>97</v>
      </c>
      <c r="D439" t="s">
        <v>97</v>
      </c>
      <c r="E439">
        <v>476.71</v>
      </c>
      <c r="F439">
        <v>16</v>
      </c>
    </row>
    <row r="440" spans="1:6">
      <c r="A440" t="s">
        <v>977</v>
      </c>
      <c r="B440" t="s">
        <v>978</v>
      </c>
      <c r="C440" t="s">
        <v>156</v>
      </c>
      <c r="D440" t="s">
        <v>156</v>
      </c>
      <c r="E440">
        <v>821.49</v>
      </c>
      <c r="F440">
        <v>2</v>
      </c>
    </row>
    <row r="441" spans="1:6">
      <c r="A441" t="s">
        <v>979</v>
      </c>
      <c r="B441" t="s">
        <v>980</v>
      </c>
      <c r="C441" t="s">
        <v>101</v>
      </c>
      <c r="D441" t="s">
        <v>101</v>
      </c>
      <c r="E441">
        <v>355.44</v>
      </c>
      <c r="F441">
        <v>37</v>
      </c>
    </row>
    <row r="442" spans="1:6">
      <c r="A442" t="s">
        <v>981</v>
      </c>
      <c r="B442" t="s">
        <v>982</v>
      </c>
      <c r="C442" t="s">
        <v>114</v>
      </c>
      <c r="D442" t="s">
        <v>114</v>
      </c>
      <c r="E442">
        <v>484.2</v>
      </c>
      <c r="F442">
        <v>96</v>
      </c>
    </row>
    <row r="443" spans="1:6">
      <c r="A443" t="s">
        <v>983</v>
      </c>
      <c r="B443" t="s">
        <v>984</v>
      </c>
      <c r="C443" t="s">
        <v>101</v>
      </c>
      <c r="D443" t="s">
        <v>101</v>
      </c>
      <c r="E443">
        <v>909.45</v>
      </c>
      <c r="F443">
        <v>0</v>
      </c>
    </row>
    <row r="444" spans="1:6">
      <c r="A444" t="s">
        <v>985</v>
      </c>
      <c r="B444" t="s">
        <v>986</v>
      </c>
      <c r="C444" t="s">
        <v>156</v>
      </c>
      <c r="D444" t="s">
        <v>156</v>
      </c>
      <c r="E444">
        <v>219.38</v>
      </c>
      <c r="F444">
        <v>96</v>
      </c>
    </row>
    <row r="445" spans="1:6">
      <c r="A445" t="s">
        <v>987</v>
      </c>
      <c r="B445" t="s">
        <v>988</v>
      </c>
      <c r="C445" t="s">
        <v>101</v>
      </c>
      <c r="D445" t="s">
        <v>101</v>
      </c>
      <c r="E445">
        <v>498.82</v>
      </c>
      <c r="F445">
        <v>51</v>
      </c>
    </row>
    <row r="446" spans="1:6">
      <c r="A446" t="s">
        <v>989</v>
      </c>
      <c r="B446" t="s">
        <v>990</v>
      </c>
      <c r="C446" t="s">
        <v>101</v>
      </c>
      <c r="D446" t="s">
        <v>101</v>
      </c>
      <c r="E446">
        <v>266.77999999999997</v>
      </c>
      <c r="F446">
        <v>72</v>
      </c>
    </row>
    <row r="447" spans="1:6">
      <c r="A447" t="s">
        <v>991</v>
      </c>
      <c r="B447" t="s">
        <v>992</v>
      </c>
      <c r="C447" t="s">
        <v>114</v>
      </c>
      <c r="D447" t="s">
        <v>114</v>
      </c>
      <c r="E447">
        <v>171.68</v>
      </c>
      <c r="F447">
        <v>67</v>
      </c>
    </row>
    <row r="448" spans="1:6">
      <c r="A448" t="s">
        <v>993</v>
      </c>
      <c r="B448" t="s">
        <v>994</v>
      </c>
      <c r="C448" t="s">
        <v>97</v>
      </c>
      <c r="D448" t="s">
        <v>97</v>
      </c>
      <c r="E448">
        <v>328.08</v>
      </c>
      <c r="F448">
        <v>67</v>
      </c>
    </row>
    <row r="449" spans="1:6">
      <c r="A449" t="s">
        <v>995</v>
      </c>
      <c r="B449" t="s">
        <v>996</v>
      </c>
      <c r="C449" t="s">
        <v>156</v>
      </c>
      <c r="D449" t="s">
        <v>156</v>
      </c>
      <c r="E449">
        <v>733.66</v>
      </c>
      <c r="F449">
        <v>30</v>
      </c>
    </row>
    <row r="450" spans="1:6">
      <c r="A450" t="s">
        <v>997</v>
      </c>
      <c r="B450" t="s">
        <v>998</v>
      </c>
      <c r="C450" t="s">
        <v>101</v>
      </c>
      <c r="D450" t="s">
        <v>101</v>
      </c>
      <c r="E450">
        <v>958.9</v>
      </c>
      <c r="F450">
        <v>65</v>
      </c>
    </row>
    <row r="451" spans="1:6">
      <c r="A451" t="s">
        <v>999</v>
      </c>
      <c r="B451" t="s">
        <v>1000</v>
      </c>
      <c r="C451" t="s">
        <v>114</v>
      </c>
      <c r="D451" t="s">
        <v>114</v>
      </c>
      <c r="E451">
        <v>644.04</v>
      </c>
      <c r="F451">
        <v>51</v>
      </c>
    </row>
    <row r="452" spans="1:6">
      <c r="A452" t="s">
        <v>1001</v>
      </c>
      <c r="B452" t="s">
        <v>1002</v>
      </c>
      <c r="C452" t="s">
        <v>89</v>
      </c>
      <c r="D452" t="s">
        <v>89</v>
      </c>
      <c r="E452">
        <v>752.65</v>
      </c>
      <c r="F452">
        <v>79</v>
      </c>
    </row>
    <row r="453" spans="1:6">
      <c r="A453" t="s">
        <v>1003</v>
      </c>
      <c r="B453" t="s">
        <v>1004</v>
      </c>
      <c r="C453" t="s">
        <v>89</v>
      </c>
      <c r="D453" t="s">
        <v>89</v>
      </c>
      <c r="E453">
        <v>661.07</v>
      </c>
      <c r="F453">
        <v>32</v>
      </c>
    </row>
    <row r="454" spans="1:6">
      <c r="A454" t="s">
        <v>1005</v>
      </c>
      <c r="B454" t="s">
        <v>1006</v>
      </c>
      <c r="C454" t="s">
        <v>156</v>
      </c>
      <c r="D454" t="s">
        <v>156</v>
      </c>
      <c r="E454">
        <v>122.17</v>
      </c>
      <c r="F454">
        <v>-10</v>
      </c>
    </row>
    <row r="455" spans="1:6">
      <c r="A455" t="s">
        <v>1007</v>
      </c>
      <c r="B455" t="s">
        <v>1008</v>
      </c>
      <c r="C455" t="s">
        <v>97</v>
      </c>
      <c r="D455" t="s">
        <v>97</v>
      </c>
      <c r="E455">
        <v>788.1</v>
      </c>
      <c r="F455">
        <v>87</v>
      </c>
    </row>
    <row r="456" spans="1:6">
      <c r="A456" t="s">
        <v>1009</v>
      </c>
      <c r="B456" t="s">
        <v>1010</v>
      </c>
      <c r="C456" t="s">
        <v>89</v>
      </c>
      <c r="D456" t="s">
        <v>89</v>
      </c>
      <c r="E456">
        <v>525.85</v>
      </c>
      <c r="F456">
        <v>88</v>
      </c>
    </row>
    <row r="457" spans="1:6">
      <c r="A457" t="s">
        <v>1011</v>
      </c>
      <c r="B457" t="s">
        <v>1012</v>
      </c>
      <c r="C457" t="s">
        <v>89</v>
      </c>
      <c r="D457" t="s">
        <v>89</v>
      </c>
      <c r="E457">
        <v>880.15</v>
      </c>
      <c r="F457">
        <v>3</v>
      </c>
    </row>
    <row r="458" spans="1:6">
      <c r="A458" t="s">
        <v>1013</v>
      </c>
      <c r="B458" t="s">
        <v>1014</v>
      </c>
      <c r="C458" t="s">
        <v>89</v>
      </c>
      <c r="D458" t="s">
        <v>89</v>
      </c>
      <c r="E458">
        <v>797.5</v>
      </c>
      <c r="F458">
        <v>55</v>
      </c>
    </row>
    <row r="459" spans="1:6">
      <c r="A459" t="s">
        <v>1015</v>
      </c>
      <c r="B459" t="s">
        <v>1016</v>
      </c>
      <c r="C459" t="s">
        <v>114</v>
      </c>
      <c r="D459" t="s">
        <v>114</v>
      </c>
      <c r="E459">
        <v>714.46</v>
      </c>
      <c r="F459">
        <v>60</v>
      </c>
    </row>
    <row r="460" spans="1:6">
      <c r="A460" t="s">
        <v>1017</v>
      </c>
      <c r="B460" t="s">
        <v>1018</v>
      </c>
      <c r="C460" t="s">
        <v>97</v>
      </c>
      <c r="D460" t="s">
        <v>97</v>
      </c>
      <c r="E460">
        <v>246.84</v>
      </c>
      <c r="F460">
        <v>62</v>
      </c>
    </row>
    <row r="461" spans="1:6">
      <c r="A461" t="s">
        <v>1019</v>
      </c>
      <c r="B461" t="s">
        <v>1020</v>
      </c>
      <c r="C461" t="s">
        <v>156</v>
      </c>
      <c r="D461" t="s">
        <v>156</v>
      </c>
      <c r="E461">
        <v>747.89</v>
      </c>
      <c r="F461">
        <v>73</v>
      </c>
    </row>
    <row r="462" spans="1:6">
      <c r="A462" t="s">
        <v>1021</v>
      </c>
      <c r="B462" t="s">
        <v>1022</v>
      </c>
      <c r="C462" t="s">
        <v>89</v>
      </c>
      <c r="D462" t="s">
        <v>89</v>
      </c>
      <c r="E462">
        <v>412.17</v>
      </c>
      <c r="F462">
        <v>49</v>
      </c>
    </row>
    <row r="463" spans="1:6">
      <c r="A463" t="s">
        <v>1023</v>
      </c>
      <c r="B463" t="s">
        <v>1024</v>
      </c>
      <c r="C463" t="s">
        <v>101</v>
      </c>
      <c r="D463" t="s">
        <v>101</v>
      </c>
      <c r="E463">
        <v>208.83</v>
      </c>
      <c r="F463">
        <v>37</v>
      </c>
    </row>
    <row r="464" spans="1:6">
      <c r="A464" t="s">
        <v>1025</v>
      </c>
      <c r="B464" t="s">
        <v>1026</v>
      </c>
      <c r="C464" t="s">
        <v>89</v>
      </c>
      <c r="D464" t="s">
        <v>89</v>
      </c>
      <c r="E464">
        <v>945.09</v>
      </c>
      <c r="F464">
        <v>31</v>
      </c>
    </row>
    <row r="465" spans="1:6">
      <c r="A465" t="s">
        <v>1027</v>
      </c>
      <c r="B465" t="s">
        <v>1028</v>
      </c>
      <c r="C465" t="s">
        <v>101</v>
      </c>
      <c r="D465" t="s">
        <v>101</v>
      </c>
      <c r="E465">
        <v>697.99</v>
      </c>
      <c r="F465">
        <v>52</v>
      </c>
    </row>
    <row r="466" spans="1:6">
      <c r="A466" t="s">
        <v>1029</v>
      </c>
      <c r="B466" t="s">
        <v>1030</v>
      </c>
      <c r="C466" t="s">
        <v>97</v>
      </c>
      <c r="D466" t="s">
        <v>97</v>
      </c>
      <c r="E466">
        <v>438.87</v>
      </c>
      <c r="F466">
        <v>98</v>
      </c>
    </row>
    <row r="467" spans="1:6">
      <c r="A467" t="s">
        <v>1031</v>
      </c>
      <c r="B467" t="s">
        <v>1032</v>
      </c>
      <c r="C467" t="s">
        <v>89</v>
      </c>
      <c r="D467" t="s">
        <v>89</v>
      </c>
      <c r="E467">
        <v>933.13</v>
      </c>
      <c r="F467">
        <v>-9</v>
      </c>
    </row>
    <row r="468" spans="1:6">
      <c r="A468" t="s">
        <v>1033</v>
      </c>
      <c r="B468" t="s">
        <v>1034</v>
      </c>
      <c r="C468" t="s">
        <v>156</v>
      </c>
      <c r="D468" t="s">
        <v>156</v>
      </c>
      <c r="E468">
        <v>212.2</v>
      </c>
      <c r="F468">
        <v>26</v>
      </c>
    </row>
    <row r="469" spans="1:6">
      <c r="A469" t="s">
        <v>1035</v>
      </c>
      <c r="B469" t="s">
        <v>1036</v>
      </c>
      <c r="C469" t="s">
        <v>114</v>
      </c>
      <c r="D469" t="s">
        <v>114</v>
      </c>
      <c r="E469">
        <v>775.72</v>
      </c>
      <c r="F469">
        <v>89</v>
      </c>
    </row>
    <row r="470" spans="1:6">
      <c r="A470" t="s">
        <v>1037</v>
      </c>
      <c r="B470" t="s">
        <v>1038</v>
      </c>
      <c r="C470" t="s">
        <v>114</v>
      </c>
      <c r="D470" t="s">
        <v>114</v>
      </c>
      <c r="E470">
        <v>548.39</v>
      </c>
      <c r="F470">
        <v>46</v>
      </c>
    </row>
    <row r="471" spans="1:6">
      <c r="A471" t="s">
        <v>1039</v>
      </c>
      <c r="B471" t="s">
        <v>1040</v>
      </c>
      <c r="C471" t="s">
        <v>156</v>
      </c>
      <c r="D471" t="s">
        <v>156</v>
      </c>
      <c r="E471">
        <v>715.81</v>
      </c>
      <c r="F471">
        <v>28</v>
      </c>
    </row>
    <row r="472" spans="1:6">
      <c r="A472" t="s">
        <v>1041</v>
      </c>
      <c r="B472" t="s">
        <v>1042</v>
      </c>
      <c r="C472" t="s">
        <v>89</v>
      </c>
      <c r="D472" t="s">
        <v>89</v>
      </c>
      <c r="E472">
        <v>910.29</v>
      </c>
      <c r="F472">
        <v>72</v>
      </c>
    </row>
    <row r="473" spans="1:6">
      <c r="A473" t="s">
        <v>1043</v>
      </c>
      <c r="B473" t="s">
        <v>1044</v>
      </c>
      <c r="C473" t="s">
        <v>97</v>
      </c>
      <c r="D473" t="s">
        <v>97</v>
      </c>
      <c r="E473">
        <v>916.16</v>
      </c>
      <c r="F473">
        <v>31</v>
      </c>
    </row>
    <row r="474" spans="1:6">
      <c r="A474" t="s">
        <v>1045</v>
      </c>
      <c r="B474" t="s">
        <v>1046</v>
      </c>
      <c r="C474" t="s">
        <v>101</v>
      </c>
      <c r="D474" t="s">
        <v>101</v>
      </c>
      <c r="E474">
        <v>390.05</v>
      </c>
      <c r="F474">
        <v>7</v>
      </c>
    </row>
    <row r="475" spans="1:6">
      <c r="A475" t="s">
        <v>1047</v>
      </c>
      <c r="B475" t="s">
        <v>1048</v>
      </c>
      <c r="C475" t="s">
        <v>97</v>
      </c>
      <c r="D475" t="s">
        <v>97</v>
      </c>
      <c r="E475">
        <v>972.19</v>
      </c>
      <c r="F475">
        <v>57</v>
      </c>
    </row>
    <row r="476" spans="1:6">
      <c r="A476" t="s">
        <v>1049</v>
      </c>
      <c r="B476" t="s">
        <v>1050</v>
      </c>
      <c r="C476" t="s">
        <v>156</v>
      </c>
      <c r="D476" t="s">
        <v>156</v>
      </c>
      <c r="E476">
        <v>469.35</v>
      </c>
      <c r="F476">
        <v>11</v>
      </c>
    </row>
    <row r="477" spans="1:6">
      <c r="A477" t="s">
        <v>1051</v>
      </c>
      <c r="B477" t="s">
        <v>1052</v>
      </c>
      <c r="C477" t="s">
        <v>97</v>
      </c>
      <c r="D477" t="s">
        <v>97</v>
      </c>
      <c r="E477">
        <v>954.63</v>
      </c>
      <c r="F477">
        <v>-7</v>
      </c>
    </row>
    <row r="478" spans="1:6">
      <c r="A478" t="s">
        <v>1053</v>
      </c>
      <c r="B478" t="s">
        <v>1054</v>
      </c>
      <c r="C478" t="s">
        <v>89</v>
      </c>
      <c r="D478" t="s">
        <v>89</v>
      </c>
      <c r="E478">
        <v>555.6</v>
      </c>
      <c r="F478">
        <v>-8</v>
      </c>
    </row>
    <row r="479" spans="1:6">
      <c r="A479" t="s">
        <v>1055</v>
      </c>
      <c r="B479" t="s">
        <v>1056</v>
      </c>
      <c r="C479" t="s">
        <v>101</v>
      </c>
      <c r="D479" t="s">
        <v>101</v>
      </c>
      <c r="E479">
        <v>223.33</v>
      </c>
      <c r="F479">
        <v>19</v>
      </c>
    </row>
    <row r="480" spans="1:6">
      <c r="A480" t="s">
        <v>1057</v>
      </c>
      <c r="B480" t="s">
        <v>1058</v>
      </c>
      <c r="C480" t="s">
        <v>89</v>
      </c>
      <c r="D480" t="s">
        <v>89</v>
      </c>
      <c r="E480">
        <v>228.16</v>
      </c>
      <c r="F480">
        <v>82</v>
      </c>
    </row>
    <row r="481" spans="1:6">
      <c r="A481" t="s">
        <v>1059</v>
      </c>
      <c r="B481" t="s">
        <v>1060</v>
      </c>
      <c r="C481" t="s">
        <v>156</v>
      </c>
      <c r="D481" t="s">
        <v>156</v>
      </c>
      <c r="E481">
        <v>624.48</v>
      </c>
      <c r="F481">
        <v>20</v>
      </c>
    </row>
    <row r="482" spans="1:6">
      <c r="A482" t="s">
        <v>1061</v>
      </c>
      <c r="B482" t="s">
        <v>1062</v>
      </c>
      <c r="C482" t="s">
        <v>97</v>
      </c>
      <c r="D482" t="s">
        <v>97</v>
      </c>
      <c r="E482">
        <v>849.96</v>
      </c>
      <c r="F482">
        <v>88</v>
      </c>
    </row>
    <row r="483" spans="1:6">
      <c r="A483" t="s">
        <v>1063</v>
      </c>
      <c r="B483" t="s">
        <v>1064</v>
      </c>
      <c r="C483" t="s">
        <v>101</v>
      </c>
      <c r="D483" t="s">
        <v>101</v>
      </c>
      <c r="E483">
        <v>835.6</v>
      </c>
      <c r="F483">
        <v>41</v>
      </c>
    </row>
    <row r="484" spans="1:6">
      <c r="A484" t="s">
        <v>1065</v>
      </c>
      <c r="B484" t="s">
        <v>1066</v>
      </c>
      <c r="C484" t="s">
        <v>97</v>
      </c>
      <c r="D484" t="s">
        <v>97</v>
      </c>
      <c r="E484">
        <v>262.29000000000002</v>
      </c>
      <c r="F484">
        <v>47</v>
      </c>
    </row>
    <row r="485" spans="1:6">
      <c r="A485" t="s">
        <v>1067</v>
      </c>
      <c r="B485" t="s">
        <v>1068</v>
      </c>
      <c r="C485" t="s">
        <v>156</v>
      </c>
      <c r="D485" t="s">
        <v>156</v>
      </c>
      <c r="E485">
        <v>515.14</v>
      </c>
      <c r="F485">
        <v>-8</v>
      </c>
    </row>
    <row r="486" spans="1:6">
      <c r="A486" t="s">
        <v>1069</v>
      </c>
      <c r="B486" t="s">
        <v>1070</v>
      </c>
      <c r="C486" t="s">
        <v>101</v>
      </c>
      <c r="D486" t="s">
        <v>101</v>
      </c>
      <c r="E486">
        <v>869.96</v>
      </c>
      <c r="F486">
        <v>15</v>
      </c>
    </row>
    <row r="487" spans="1:6">
      <c r="A487" t="s">
        <v>1071</v>
      </c>
      <c r="B487" t="s">
        <v>1072</v>
      </c>
      <c r="C487" t="s">
        <v>97</v>
      </c>
      <c r="D487" t="s">
        <v>97</v>
      </c>
      <c r="E487">
        <v>522.66999999999996</v>
      </c>
      <c r="F487">
        <v>76</v>
      </c>
    </row>
    <row r="488" spans="1:6">
      <c r="A488" t="s">
        <v>1073</v>
      </c>
      <c r="B488" t="s">
        <v>1074</v>
      </c>
      <c r="C488" t="s">
        <v>156</v>
      </c>
      <c r="D488" t="s">
        <v>156</v>
      </c>
      <c r="E488">
        <v>357.51</v>
      </c>
      <c r="F488">
        <v>96</v>
      </c>
    </row>
    <row r="489" spans="1:6">
      <c r="A489" t="s">
        <v>1075</v>
      </c>
      <c r="B489" t="s">
        <v>1076</v>
      </c>
      <c r="C489" t="s">
        <v>97</v>
      </c>
      <c r="D489" t="s">
        <v>97</v>
      </c>
      <c r="E489">
        <v>316.04000000000002</v>
      </c>
      <c r="F489">
        <v>68</v>
      </c>
    </row>
    <row r="490" spans="1:6">
      <c r="A490" t="s">
        <v>1077</v>
      </c>
      <c r="B490" t="s">
        <v>1078</v>
      </c>
      <c r="C490" t="s">
        <v>89</v>
      </c>
      <c r="D490" t="s">
        <v>89</v>
      </c>
      <c r="E490">
        <v>637.07000000000005</v>
      </c>
      <c r="F490">
        <v>-8</v>
      </c>
    </row>
    <row r="491" spans="1:6">
      <c r="A491" t="s">
        <v>1079</v>
      </c>
      <c r="B491" t="s">
        <v>1080</v>
      </c>
      <c r="C491" t="s">
        <v>114</v>
      </c>
      <c r="D491" t="s">
        <v>114</v>
      </c>
      <c r="E491">
        <v>767.59</v>
      </c>
      <c r="F491">
        <v>4</v>
      </c>
    </row>
    <row r="492" spans="1:6">
      <c r="A492" t="s">
        <v>1081</v>
      </c>
      <c r="B492" t="s">
        <v>1082</v>
      </c>
      <c r="C492" t="s">
        <v>101</v>
      </c>
      <c r="D492" t="s">
        <v>101</v>
      </c>
      <c r="E492">
        <v>105.85</v>
      </c>
      <c r="F492">
        <v>22</v>
      </c>
    </row>
    <row r="493" spans="1:6">
      <c r="A493" t="s">
        <v>1083</v>
      </c>
      <c r="B493" t="s">
        <v>1084</v>
      </c>
      <c r="C493" t="s">
        <v>156</v>
      </c>
      <c r="D493" t="s">
        <v>156</v>
      </c>
      <c r="E493">
        <v>101.25</v>
      </c>
      <c r="F493">
        <v>0</v>
      </c>
    </row>
    <row r="494" spans="1:6">
      <c r="A494" t="s">
        <v>1085</v>
      </c>
      <c r="B494" t="s">
        <v>1086</v>
      </c>
      <c r="C494" t="s">
        <v>97</v>
      </c>
      <c r="D494" t="s">
        <v>97</v>
      </c>
      <c r="E494">
        <v>711.14</v>
      </c>
      <c r="F494">
        <v>16</v>
      </c>
    </row>
    <row r="495" spans="1:6">
      <c r="A495" t="s">
        <v>1087</v>
      </c>
      <c r="B495" t="s">
        <v>1088</v>
      </c>
      <c r="C495" t="s">
        <v>156</v>
      </c>
      <c r="D495" t="s">
        <v>156</v>
      </c>
      <c r="E495">
        <v>260.72000000000003</v>
      </c>
      <c r="F495">
        <v>-4</v>
      </c>
    </row>
    <row r="496" spans="1:6">
      <c r="A496" t="s">
        <v>1089</v>
      </c>
      <c r="B496" t="s">
        <v>1090</v>
      </c>
      <c r="C496" t="s">
        <v>89</v>
      </c>
      <c r="D496" t="s">
        <v>89</v>
      </c>
      <c r="E496">
        <v>732.11</v>
      </c>
      <c r="F496">
        <v>49</v>
      </c>
    </row>
    <row r="497" spans="1:6">
      <c r="A497" t="s">
        <v>1091</v>
      </c>
      <c r="B497" t="s">
        <v>1092</v>
      </c>
      <c r="C497" t="s">
        <v>89</v>
      </c>
      <c r="D497" t="s">
        <v>89</v>
      </c>
      <c r="E497">
        <v>408.03</v>
      </c>
      <c r="F497">
        <v>78</v>
      </c>
    </row>
    <row r="498" spans="1:6">
      <c r="A498" t="s">
        <v>1093</v>
      </c>
      <c r="B498" t="s">
        <v>1094</v>
      </c>
      <c r="C498" t="s">
        <v>156</v>
      </c>
      <c r="D498" t="s">
        <v>156</v>
      </c>
      <c r="E498">
        <v>273.8</v>
      </c>
      <c r="F498">
        <v>51</v>
      </c>
    </row>
    <row r="499" spans="1:6">
      <c r="A499" t="s">
        <v>1095</v>
      </c>
      <c r="B499" t="s">
        <v>1096</v>
      </c>
      <c r="C499" t="s">
        <v>156</v>
      </c>
      <c r="D499" t="s">
        <v>156</v>
      </c>
      <c r="E499">
        <v>424.2</v>
      </c>
      <c r="F499">
        <v>18</v>
      </c>
    </row>
    <row r="500" spans="1:6">
      <c r="A500" t="s">
        <v>1097</v>
      </c>
      <c r="B500" t="s">
        <v>1098</v>
      </c>
      <c r="C500" t="s">
        <v>97</v>
      </c>
      <c r="D500" t="s">
        <v>97</v>
      </c>
      <c r="E500">
        <v>468.88</v>
      </c>
      <c r="F500">
        <v>83</v>
      </c>
    </row>
    <row r="501" spans="1:6">
      <c r="A501" t="s">
        <v>1099</v>
      </c>
      <c r="B501" t="s">
        <v>1100</v>
      </c>
      <c r="C501" t="s">
        <v>156</v>
      </c>
      <c r="D501" t="s">
        <v>156</v>
      </c>
      <c r="E501">
        <v>975.37</v>
      </c>
      <c r="F501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3C4D8-F2AF-4F55-AEF7-9FB0F100573F}">
  <dimension ref="A1:I501"/>
  <sheetViews>
    <sheetView workbookViewId="0">
      <selection activeCell="D2" sqref="D2"/>
    </sheetView>
  </sheetViews>
  <sheetFormatPr defaultRowHeight="14.4"/>
  <cols>
    <col min="1" max="1" width="12.44140625" bestFit="1" customWidth="1"/>
    <col min="2" max="2" width="13.21875" bestFit="1" customWidth="1"/>
    <col min="3" max="3" width="10.21875" bestFit="1" customWidth="1"/>
    <col min="4" max="4" width="9.88671875" bestFit="1" customWidth="1"/>
    <col min="5" max="5" width="7" bestFit="1" customWidth="1"/>
    <col min="6" max="6" width="5.6640625" bestFit="1" customWidth="1"/>
    <col min="9" max="9" width="28.6640625" bestFit="1" customWidth="1"/>
  </cols>
  <sheetData>
    <row r="1" spans="1:9">
      <c r="A1" s="10" t="s">
        <v>79</v>
      </c>
      <c r="B1" s="10" t="s">
        <v>80</v>
      </c>
      <c r="C1" s="10" t="s">
        <v>52</v>
      </c>
      <c r="D1" s="10" t="s">
        <v>52</v>
      </c>
      <c r="E1" s="10" t="s">
        <v>53</v>
      </c>
      <c r="F1" s="10" t="s">
        <v>81</v>
      </c>
      <c r="G1" s="10" t="s">
        <v>81</v>
      </c>
    </row>
    <row r="2" spans="1:9">
      <c r="A2" s="4" t="s">
        <v>83</v>
      </c>
      <c r="B2" s="4" t="s">
        <v>84</v>
      </c>
      <c r="C2" s="4" t="s">
        <v>85</v>
      </c>
      <c r="D2" s="4" t="s">
        <v>89</v>
      </c>
      <c r="E2" s="4">
        <v>363.54</v>
      </c>
      <c r="F2" s="4">
        <v>-3</v>
      </c>
      <c r="G2" s="4">
        <v>0</v>
      </c>
    </row>
    <row r="3" spans="1:9" ht="18">
      <c r="A3" s="4" t="s">
        <v>87</v>
      </c>
      <c r="B3" s="4" t="s">
        <v>88</v>
      </c>
      <c r="C3" s="4" t="s">
        <v>89</v>
      </c>
      <c r="D3" s="4" t="s">
        <v>89</v>
      </c>
      <c r="E3" s="4">
        <v>906.15</v>
      </c>
      <c r="F3" s="4">
        <v>40</v>
      </c>
      <c r="G3" s="4">
        <v>40</v>
      </c>
      <c r="I3" s="18" t="s">
        <v>1130</v>
      </c>
    </row>
    <row r="4" spans="1:9">
      <c r="A4" s="4" t="s">
        <v>91</v>
      </c>
      <c r="B4" s="4" t="s">
        <v>92</v>
      </c>
      <c r="C4" s="4" t="s">
        <v>93</v>
      </c>
      <c r="D4" s="4" t="s">
        <v>156</v>
      </c>
      <c r="E4" s="4">
        <v>234.14</v>
      </c>
      <c r="F4" s="4">
        <v>26</v>
      </c>
      <c r="G4" s="4">
        <v>26</v>
      </c>
    </row>
    <row r="5" spans="1:9">
      <c r="A5" s="4" t="s">
        <v>95</v>
      </c>
      <c r="B5" s="4" t="s">
        <v>96</v>
      </c>
      <c r="C5" s="4" t="s">
        <v>97</v>
      </c>
      <c r="D5" s="4" t="s">
        <v>97</v>
      </c>
      <c r="E5" s="4">
        <v>903.5</v>
      </c>
      <c r="F5" s="4">
        <v>69</v>
      </c>
      <c r="G5" s="4">
        <v>69</v>
      </c>
    </row>
    <row r="6" spans="1:9">
      <c r="A6" s="4" t="s">
        <v>99</v>
      </c>
      <c r="B6" s="4" t="s">
        <v>100</v>
      </c>
      <c r="C6" s="4" t="s">
        <v>101</v>
      </c>
      <c r="D6" s="4" t="s">
        <v>101</v>
      </c>
      <c r="E6" s="4">
        <v>352.9</v>
      </c>
      <c r="F6" s="4">
        <v>87</v>
      </c>
      <c r="G6" s="4">
        <v>87</v>
      </c>
    </row>
    <row r="7" spans="1:9">
      <c r="A7" s="4" t="s">
        <v>103</v>
      </c>
      <c r="B7" s="4" t="s">
        <v>104</v>
      </c>
      <c r="C7" s="4" t="s">
        <v>85</v>
      </c>
      <c r="D7" s="4" t="s">
        <v>89</v>
      </c>
      <c r="E7" s="4">
        <v>549.17999999999995</v>
      </c>
      <c r="F7" s="4">
        <v>31</v>
      </c>
      <c r="G7" s="4">
        <v>31</v>
      </c>
    </row>
    <row r="8" spans="1:9">
      <c r="A8" s="4" t="s">
        <v>106</v>
      </c>
      <c r="B8" s="4" t="s">
        <v>107</v>
      </c>
      <c r="C8" s="4" t="s">
        <v>93</v>
      </c>
      <c r="D8" s="4" t="s">
        <v>156</v>
      </c>
      <c r="E8" s="4">
        <v>222.56</v>
      </c>
      <c r="F8" s="4">
        <v>59</v>
      </c>
      <c r="G8" s="4">
        <v>59</v>
      </c>
    </row>
    <row r="9" spans="1:9">
      <c r="A9" s="4" t="s">
        <v>109</v>
      </c>
      <c r="B9" s="4" t="s">
        <v>110</v>
      </c>
      <c r="C9" s="4" t="s">
        <v>89</v>
      </c>
      <c r="D9" s="4" t="s">
        <v>89</v>
      </c>
      <c r="E9" s="4">
        <v>969.7</v>
      </c>
      <c r="F9" s="4">
        <v>78</v>
      </c>
      <c r="G9" s="4">
        <v>78</v>
      </c>
    </row>
    <row r="10" spans="1:9">
      <c r="A10" s="4" t="s">
        <v>112</v>
      </c>
      <c r="B10" s="4" t="s">
        <v>113</v>
      </c>
      <c r="C10" s="4" t="s">
        <v>114</v>
      </c>
      <c r="D10" s="4" t="s">
        <v>114</v>
      </c>
      <c r="E10" s="4">
        <v>321.88</v>
      </c>
      <c r="F10" s="4">
        <v>92</v>
      </c>
      <c r="G10" s="4">
        <v>92</v>
      </c>
    </row>
    <row r="11" spans="1:9">
      <c r="A11" s="4" t="s">
        <v>116</v>
      </c>
      <c r="B11" s="4" t="s">
        <v>117</v>
      </c>
      <c r="C11" s="4" t="s">
        <v>93</v>
      </c>
      <c r="D11" s="4" t="s">
        <v>156</v>
      </c>
      <c r="E11" s="4">
        <v>230.28</v>
      </c>
      <c r="F11" s="4">
        <v>-5</v>
      </c>
      <c r="G11" s="4">
        <v>0</v>
      </c>
    </row>
    <row r="12" spans="1:9">
      <c r="A12" s="4" t="s">
        <v>119</v>
      </c>
      <c r="B12" s="4" t="s">
        <v>120</v>
      </c>
      <c r="C12" s="4" t="s">
        <v>93</v>
      </c>
      <c r="D12" s="4" t="s">
        <v>156</v>
      </c>
      <c r="E12" s="4">
        <v>763.66</v>
      </c>
      <c r="F12" s="4">
        <v>22</v>
      </c>
      <c r="G12" s="4">
        <v>22</v>
      </c>
    </row>
    <row r="13" spans="1:9">
      <c r="A13" s="4" t="s">
        <v>121</v>
      </c>
      <c r="B13" s="4" t="s">
        <v>122</v>
      </c>
      <c r="C13" s="4" t="s">
        <v>89</v>
      </c>
      <c r="D13" s="4" t="s">
        <v>89</v>
      </c>
      <c r="E13" s="4">
        <v>368.76</v>
      </c>
      <c r="F13" s="4">
        <v>45</v>
      </c>
      <c r="G13" s="4">
        <v>45</v>
      </c>
    </row>
    <row r="14" spans="1:9">
      <c r="A14" s="4" t="s">
        <v>123</v>
      </c>
      <c r="B14" s="4" t="s">
        <v>124</v>
      </c>
      <c r="C14" s="4" t="s">
        <v>125</v>
      </c>
      <c r="D14" s="4" t="s">
        <v>114</v>
      </c>
      <c r="E14" s="4">
        <v>669.92</v>
      </c>
      <c r="F14" s="4">
        <v>87</v>
      </c>
      <c r="G14" s="4">
        <v>87</v>
      </c>
    </row>
    <row r="15" spans="1:9">
      <c r="A15" s="4" t="s">
        <v>126</v>
      </c>
      <c r="B15" s="4" t="s">
        <v>127</v>
      </c>
      <c r="C15" s="4" t="s">
        <v>93</v>
      </c>
      <c r="D15" s="4" t="s">
        <v>156</v>
      </c>
      <c r="E15" s="4">
        <v>914.74</v>
      </c>
      <c r="F15" s="4">
        <v>-1</v>
      </c>
      <c r="G15" s="4">
        <v>0</v>
      </c>
    </row>
    <row r="16" spans="1:9">
      <c r="A16" s="4" t="s">
        <v>128</v>
      </c>
      <c r="B16" s="4" t="s">
        <v>129</v>
      </c>
      <c r="C16" s="4" t="s">
        <v>114</v>
      </c>
      <c r="D16" s="4" t="s">
        <v>114</v>
      </c>
      <c r="E16" s="4">
        <v>137.79</v>
      </c>
      <c r="F16" s="4">
        <v>78</v>
      </c>
      <c r="G16" s="4">
        <v>78</v>
      </c>
    </row>
    <row r="17" spans="1:7">
      <c r="A17" s="4" t="s">
        <v>130</v>
      </c>
      <c r="B17" s="4" t="s">
        <v>131</v>
      </c>
      <c r="C17" s="4" t="s">
        <v>101</v>
      </c>
      <c r="D17" s="4" t="s">
        <v>101</v>
      </c>
      <c r="E17" s="4">
        <v>840.84</v>
      </c>
      <c r="F17" s="4">
        <v>39</v>
      </c>
      <c r="G17" s="4">
        <v>39</v>
      </c>
    </row>
    <row r="18" spans="1:7">
      <c r="A18" s="4" t="s">
        <v>132</v>
      </c>
      <c r="B18" s="4" t="s">
        <v>133</v>
      </c>
      <c r="C18" s="4" t="s">
        <v>125</v>
      </c>
      <c r="D18" s="4" t="s">
        <v>114</v>
      </c>
      <c r="E18" s="4">
        <v>784.71</v>
      </c>
      <c r="F18" s="4">
        <v>96</v>
      </c>
      <c r="G18" s="4">
        <v>96</v>
      </c>
    </row>
    <row r="19" spans="1:7">
      <c r="A19" s="4" t="s">
        <v>134</v>
      </c>
      <c r="B19" s="4" t="s">
        <v>135</v>
      </c>
      <c r="C19" s="4" t="s">
        <v>89</v>
      </c>
      <c r="D19" s="4" t="s">
        <v>89</v>
      </c>
      <c r="E19" s="4">
        <v>588.75</v>
      </c>
      <c r="F19" s="4">
        <v>51</v>
      </c>
      <c r="G19" s="4">
        <v>51</v>
      </c>
    </row>
    <row r="20" spans="1:7">
      <c r="A20" s="4" t="s">
        <v>136</v>
      </c>
      <c r="B20" s="4" t="s">
        <v>137</v>
      </c>
      <c r="C20" s="4" t="s">
        <v>89</v>
      </c>
      <c r="D20" s="4" t="s">
        <v>89</v>
      </c>
      <c r="E20" s="4">
        <v>227.05</v>
      </c>
      <c r="F20" s="4">
        <v>8</v>
      </c>
      <c r="G20" s="4">
        <v>8</v>
      </c>
    </row>
    <row r="21" spans="1:7">
      <c r="A21" s="4" t="s">
        <v>138</v>
      </c>
      <c r="B21" s="4" t="s">
        <v>139</v>
      </c>
      <c r="C21" s="4" t="s">
        <v>125</v>
      </c>
      <c r="D21" s="4" t="s">
        <v>114</v>
      </c>
      <c r="E21" s="4">
        <v>944.43</v>
      </c>
      <c r="F21" s="4">
        <v>97</v>
      </c>
      <c r="G21" s="4">
        <v>97</v>
      </c>
    </row>
    <row r="22" spans="1:7">
      <c r="A22" s="4" t="s">
        <v>140</v>
      </c>
      <c r="B22" s="4" t="s">
        <v>141</v>
      </c>
      <c r="C22" s="4" t="s">
        <v>101</v>
      </c>
      <c r="D22" s="4" t="s">
        <v>101</v>
      </c>
      <c r="E22" s="4">
        <v>763.27</v>
      </c>
      <c r="F22" s="4">
        <v>85</v>
      </c>
      <c r="G22" s="4">
        <v>85</v>
      </c>
    </row>
    <row r="23" spans="1:7">
      <c r="A23" s="4" t="s">
        <v>142</v>
      </c>
      <c r="B23" s="4" t="s">
        <v>143</v>
      </c>
      <c r="C23" s="4" t="s">
        <v>97</v>
      </c>
      <c r="D23" s="4" t="s">
        <v>97</v>
      </c>
      <c r="E23" s="4">
        <v>262.69</v>
      </c>
      <c r="F23" s="4">
        <v>38</v>
      </c>
      <c r="G23" s="4">
        <v>38</v>
      </c>
    </row>
    <row r="24" spans="1:7">
      <c r="A24" s="4" t="s">
        <v>144</v>
      </c>
      <c r="B24" s="4" t="s">
        <v>145</v>
      </c>
      <c r="C24" s="4" t="s">
        <v>89</v>
      </c>
      <c r="D24" s="4" t="s">
        <v>89</v>
      </c>
      <c r="E24" s="4">
        <v>705.49</v>
      </c>
      <c r="F24" s="4">
        <v>40</v>
      </c>
      <c r="G24" s="4">
        <v>40</v>
      </c>
    </row>
    <row r="25" spans="1:7">
      <c r="A25" s="4" t="s">
        <v>146</v>
      </c>
      <c r="B25" s="4" t="s">
        <v>147</v>
      </c>
      <c r="C25" s="4" t="s">
        <v>114</v>
      </c>
      <c r="D25" s="4" t="s">
        <v>114</v>
      </c>
      <c r="E25" s="4">
        <v>531.58000000000004</v>
      </c>
      <c r="F25" s="4">
        <v>42</v>
      </c>
      <c r="G25" s="4">
        <v>42</v>
      </c>
    </row>
    <row r="26" spans="1:7">
      <c r="A26" s="4" t="s">
        <v>148</v>
      </c>
      <c r="B26" s="4" t="s">
        <v>149</v>
      </c>
      <c r="C26" s="4" t="s">
        <v>97</v>
      </c>
      <c r="D26" s="4" t="s">
        <v>97</v>
      </c>
      <c r="E26" s="4">
        <v>187.08</v>
      </c>
      <c r="F26" s="4">
        <v>34</v>
      </c>
      <c r="G26" s="4">
        <v>34</v>
      </c>
    </row>
    <row r="27" spans="1:7">
      <c r="A27" s="4" t="s">
        <v>150</v>
      </c>
      <c r="B27" s="4" t="s">
        <v>151</v>
      </c>
      <c r="C27" s="4" t="s">
        <v>114</v>
      </c>
      <c r="D27" s="4" t="s">
        <v>114</v>
      </c>
      <c r="E27" s="4">
        <v>843.67</v>
      </c>
      <c r="F27" s="4">
        <v>46</v>
      </c>
      <c r="G27" s="4">
        <v>46</v>
      </c>
    </row>
    <row r="28" spans="1:7">
      <c r="A28" s="4" t="s">
        <v>152</v>
      </c>
      <c r="B28" s="4" t="s">
        <v>153</v>
      </c>
      <c r="C28" s="4" t="s">
        <v>114</v>
      </c>
      <c r="D28" s="4" t="s">
        <v>114</v>
      </c>
      <c r="E28" s="4">
        <v>434</v>
      </c>
      <c r="F28" s="4">
        <v>74</v>
      </c>
      <c r="G28" s="4">
        <v>74</v>
      </c>
    </row>
    <row r="29" spans="1:7">
      <c r="A29" s="4" t="s">
        <v>154</v>
      </c>
      <c r="B29" s="4" t="s">
        <v>155</v>
      </c>
      <c r="C29" s="4" t="s">
        <v>156</v>
      </c>
      <c r="D29" s="4" t="s">
        <v>156</v>
      </c>
      <c r="E29" s="4">
        <v>566.44000000000005</v>
      </c>
      <c r="F29" s="4">
        <v>11</v>
      </c>
      <c r="G29" s="4">
        <v>11</v>
      </c>
    </row>
    <row r="30" spans="1:7">
      <c r="A30" s="4" t="s">
        <v>157</v>
      </c>
      <c r="B30" s="4" t="s">
        <v>158</v>
      </c>
      <c r="C30" s="4" t="s">
        <v>156</v>
      </c>
      <c r="D30" s="4" t="s">
        <v>156</v>
      </c>
      <c r="E30" s="4">
        <v>448.08</v>
      </c>
      <c r="F30" s="4">
        <v>77</v>
      </c>
      <c r="G30" s="4">
        <v>77</v>
      </c>
    </row>
    <row r="31" spans="1:7">
      <c r="A31" s="4" t="s">
        <v>159</v>
      </c>
      <c r="B31" s="4" t="s">
        <v>160</v>
      </c>
      <c r="C31" s="4" t="s">
        <v>156</v>
      </c>
      <c r="D31" s="4" t="s">
        <v>156</v>
      </c>
      <c r="E31" s="4">
        <v>142.6</v>
      </c>
      <c r="F31" s="4">
        <v>64</v>
      </c>
      <c r="G31" s="4">
        <v>64</v>
      </c>
    </row>
    <row r="32" spans="1:7">
      <c r="A32" s="4" t="s">
        <v>161</v>
      </c>
      <c r="B32" s="4" t="s">
        <v>162</v>
      </c>
      <c r="C32" s="4" t="s">
        <v>89</v>
      </c>
      <c r="D32" s="4" t="s">
        <v>89</v>
      </c>
      <c r="E32" s="4">
        <v>430.97</v>
      </c>
      <c r="F32" s="4">
        <v>0</v>
      </c>
      <c r="G32" s="4">
        <v>0</v>
      </c>
    </row>
    <row r="33" spans="1:7">
      <c r="A33" s="4" t="s">
        <v>163</v>
      </c>
      <c r="B33" s="4" t="s">
        <v>164</v>
      </c>
      <c r="C33" s="4" t="s">
        <v>89</v>
      </c>
      <c r="D33" s="4" t="s">
        <v>89</v>
      </c>
      <c r="E33" s="4">
        <v>508.75</v>
      </c>
      <c r="F33" s="4">
        <v>40</v>
      </c>
      <c r="G33" s="4">
        <v>40</v>
      </c>
    </row>
    <row r="34" spans="1:7">
      <c r="A34" s="4" t="s">
        <v>165</v>
      </c>
      <c r="B34" s="4" t="s">
        <v>166</v>
      </c>
      <c r="C34" s="4" t="s">
        <v>97</v>
      </c>
      <c r="D34" s="4" t="s">
        <v>97</v>
      </c>
      <c r="E34" s="4">
        <v>421.87</v>
      </c>
      <c r="F34" s="4">
        <v>64</v>
      </c>
      <c r="G34" s="4">
        <v>64</v>
      </c>
    </row>
    <row r="35" spans="1:7">
      <c r="A35" s="4" t="s">
        <v>167</v>
      </c>
      <c r="B35" s="4" t="s">
        <v>168</v>
      </c>
      <c r="C35" s="4" t="s">
        <v>101</v>
      </c>
      <c r="D35" s="4" t="s">
        <v>101</v>
      </c>
      <c r="E35" s="4">
        <v>736</v>
      </c>
      <c r="F35" s="4">
        <v>74</v>
      </c>
      <c r="G35" s="4">
        <v>74</v>
      </c>
    </row>
    <row r="36" spans="1:7">
      <c r="A36" s="4" t="s">
        <v>169</v>
      </c>
      <c r="B36" s="4" t="s">
        <v>170</v>
      </c>
      <c r="C36" s="4" t="s">
        <v>101</v>
      </c>
      <c r="D36" s="4" t="s">
        <v>101</v>
      </c>
      <c r="E36" s="4">
        <v>269.37</v>
      </c>
      <c r="F36" s="4">
        <v>8</v>
      </c>
      <c r="G36" s="4">
        <v>8</v>
      </c>
    </row>
    <row r="37" spans="1:7">
      <c r="A37" s="4" t="s">
        <v>171</v>
      </c>
      <c r="B37" s="4" t="s">
        <v>172</v>
      </c>
      <c r="C37" s="4" t="s">
        <v>114</v>
      </c>
      <c r="D37" s="4" t="s">
        <v>114</v>
      </c>
      <c r="E37" s="4">
        <v>79.55</v>
      </c>
      <c r="F37" s="4">
        <v>18</v>
      </c>
      <c r="G37" s="4">
        <v>18</v>
      </c>
    </row>
    <row r="38" spans="1:7">
      <c r="A38" s="4" t="s">
        <v>173</v>
      </c>
      <c r="B38" s="4" t="s">
        <v>174</v>
      </c>
      <c r="C38" s="4" t="s">
        <v>89</v>
      </c>
      <c r="D38" s="4" t="s">
        <v>89</v>
      </c>
      <c r="E38" s="4">
        <v>319.07</v>
      </c>
      <c r="F38" s="4">
        <v>19</v>
      </c>
      <c r="G38" s="4">
        <v>19</v>
      </c>
    </row>
    <row r="39" spans="1:7">
      <c r="A39" s="4" t="s">
        <v>175</v>
      </c>
      <c r="B39" s="4" t="s">
        <v>176</v>
      </c>
      <c r="C39" s="4" t="s">
        <v>114</v>
      </c>
      <c r="D39" s="4" t="s">
        <v>114</v>
      </c>
      <c r="E39" s="4">
        <v>720.06</v>
      </c>
      <c r="F39" s="4">
        <v>95</v>
      </c>
      <c r="G39" s="4">
        <v>95</v>
      </c>
    </row>
    <row r="40" spans="1:7">
      <c r="A40" s="4" t="s">
        <v>177</v>
      </c>
      <c r="B40" s="4" t="s">
        <v>178</v>
      </c>
      <c r="C40" s="4" t="s">
        <v>101</v>
      </c>
      <c r="D40" s="4" t="s">
        <v>101</v>
      </c>
      <c r="E40" s="4">
        <v>760.24</v>
      </c>
      <c r="F40" s="4">
        <v>48</v>
      </c>
      <c r="G40" s="4">
        <v>48</v>
      </c>
    </row>
    <row r="41" spans="1:7">
      <c r="A41" s="4" t="s">
        <v>179</v>
      </c>
      <c r="B41" s="4" t="s">
        <v>180</v>
      </c>
      <c r="C41" s="4" t="s">
        <v>156</v>
      </c>
      <c r="D41" s="4" t="s">
        <v>156</v>
      </c>
      <c r="E41" s="4">
        <v>768.09</v>
      </c>
      <c r="F41" s="4">
        <v>-4</v>
      </c>
      <c r="G41" s="4">
        <v>0</v>
      </c>
    </row>
    <row r="42" spans="1:7">
      <c r="A42" s="4" t="s">
        <v>181</v>
      </c>
      <c r="B42" s="4" t="s">
        <v>182</v>
      </c>
      <c r="C42" s="4" t="s">
        <v>89</v>
      </c>
      <c r="D42" s="4" t="s">
        <v>89</v>
      </c>
      <c r="E42" s="4">
        <v>108.44</v>
      </c>
      <c r="F42" s="4">
        <v>-10</v>
      </c>
      <c r="G42" s="4">
        <v>0</v>
      </c>
    </row>
    <row r="43" spans="1:7">
      <c r="A43" s="4" t="s">
        <v>183</v>
      </c>
      <c r="B43" s="4" t="s">
        <v>184</v>
      </c>
      <c r="C43" s="4" t="s">
        <v>114</v>
      </c>
      <c r="D43" s="4" t="s">
        <v>114</v>
      </c>
      <c r="E43" s="4">
        <v>779.74</v>
      </c>
      <c r="F43" s="4">
        <v>53</v>
      </c>
      <c r="G43" s="4">
        <v>53</v>
      </c>
    </row>
    <row r="44" spans="1:7">
      <c r="A44" s="4" t="s">
        <v>185</v>
      </c>
      <c r="B44" s="4" t="s">
        <v>186</v>
      </c>
      <c r="C44" s="4" t="s">
        <v>101</v>
      </c>
      <c r="D44" s="4" t="s">
        <v>101</v>
      </c>
      <c r="E44" s="4">
        <v>636.39</v>
      </c>
      <c r="F44" s="4">
        <v>46</v>
      </c>
      <c r="G44" s="4">
        <v>46</v>
      </c>
    </row>
    <row r="45" spans="1:7">
      <c r="A45" s="4" t="s">
        <v>187</v>
      </c>
      <c r="B45" s="4" t="s">
        <v>188</v>
      </c>
      <c r="C45" s="4" t="s">
        <v>101</v>
      </c>
      <c r="D45" s="4" t="s">
        <v>101</v>
      </c>
      <c r="E45" s="4">
        <v>191.12</v>
      </c>
      <c r="F45" s="4">
        <v>40</v>
      </c>
      <c r="G45" s="4">
        <v>40</v>
      </c>
    </row>
    <row r="46" spans="1:7">
      <c r="A46" s="4" t="s">
        <v>189</v>
      </c>
      <c r="B46" s="4" t="s">
        <v>190</v>
      </c>
      <c r="C46" s="4" t="s">
        <v>97</v>
      </c>
      <c r="D46" s="4" t="s">
        <v>97</v>
      </c>
      <c r="E46" s="4">
        <v>990.39</v>
      </c>
      <c r="F46" s="4">
        <v>49</v>
      </c>
      <c r="G46" s="4">
        <v>49</v>
      </c>
    </row>
    <row r="47" spans="1:7">
      <c r="A47" s="4" t="s">
        <v>191</v>
      </c>
      <c r="B47" s="4" t="s">
        <v>192</v>
      </c>
      <c r="C47" s="4" t="s">
        <v>101</v>
      </c>
      <c r="D47" s="4" t="s">
        <v>101</v>
      </c>
      <c r="E47" s="4">
        <v>797.12</v>
      </c>
      <c r="F47" s="4">
        <v>63</v>
      </c>
      <c r="G47" s="4">
        <v>63</v>
      </c>
    </row>
    <row r="48" spans="1:7">
      <c r="A48" s="4" t="s">
        <v>193</v>
      </c>
      <c r="B48" s="4" t="s">
        <v>194</v>
      </c>
      <c r="C48" s="4" t="s">
        <v>156</v>
      </c>
      <c r="D48" s="4" t="s">
        <v>156</v>
      </c>
      <c r="E48" s="4">
        <v>635.09</v>
      </c>
      <c r="F48" s="4">
        <v>73</v>
      </c>
      <c r="G48" s="4">
        <v>73</v>
      </c>
    </row>
    <row r="49" spans="1:7">
      <c r="A49" s="4" t="s">
        <v>195</v>
      </c>
      <c r="B49" s="4" t="s">
        <v>196</v>
      </c>
      <c r="C49" s="4" t="s">
        <v>97</v>
      </c>
      <c r="D49" s="4" t="s">
        <v>97</v>
      </c>
      <c r="E49" s="4">
        <v>394.76</v>
      </c>
      <c r="F49" s="4">
        <v>15</v>
      </c>
      <c r="G49" s="4">
        <v>15</v>
      </c>
    </row>
    <row r="50" spans="1:7">
      <c r="A50" s="4" t="s">
        <v>197</v>
      </c>
      <c r="B50" s="4" t="s">
        <v>198</v>
      </c>
      <c r="C50" s="4" t="s">
        <v>97</v>
      </c>
      <c r="D50" s="4" t="s">
        <v>97</v>
      </c>
      <c r="E50" s="4">
        <v>291.57</v>
      </c>
      <c r="F50" s="4">
        <v>45</v>
      </c>
      <c r="G50" s="4">
        <v>45</v>
      </c>
    </row>
    <row r="51" spans="1:7">
      <c r="A51" s="4" t="s">
        <v>199</v>
      </c>
      <c r="B51" s="4" t="s">
        <v>200</v>
      </c>
      <c r="C51" s="4" t="s">
        <v>156</v>
      </c>
      <c r="D51" s="4" t="s">
        <v>156</v>
      </c>
      <c r="E51" s="4">
        <v>451.98</v>
      </c>
      <c r="F51" s="4">
        <v>16</v>
      </c>
      <c r="G51" s="4">
        <v>16</v>
      </c>
    </row>
    <row r="52" spans="1:7">
      <c r="A52" s="4" t="s">
        <v>201</v>
      </c>
      <c r="B52" s="4" t="s">
        <v>202</v>
      </c>
      <c r="C52" s="4" t="s">
        <v>89</v>
      </c>
      <c r="D52" s="4" t="s">
        <v>89</v>
      </c>
      <c r="E52" s="4">
        <v>699.79</v>
      </c>
      <c r="F52" s="4">
        <v>74</v>
      </c>
      <c r="G52" s="4">
        <v>74</v>
      </c>
    </row>
    <row r="53" spans="1:7">
      <c r="A53" s="4" t="s">
        <v>203</v>
      </c>
      <c r="B53" s="4" t="s">
        <v>204</v>
      </c>
      <c r="C53" s="4" t="s">
        <v>89</v>
      </c>
      <c r="D53" s="4" t="s">
        <v>89</v>
      </c>
      <c r="E53" s="4">
        <v>844.49</v>
      </c>
      <c r="F53" s="4">
        <v>42</v>
      </c>
      <c r="G53" s="4">
        <v>42</v>
      </c>
    </row>
    <row r="54" spans="1:7">
      <c r="A54" s="4" t="s">
        <v>205</v>
      </c>
      <c r="B54" s="4" t="s">
        <v>206</v>
      </c>
      <c r="C54" s="4" t="s">
        <v>156</v>
      </c>
      <c r="D54" s="4" t="s">
        <v>156</v>
      </c>
      <c r="E54" s="4">
        <v>733.54</v>
      </c>
      <c r="F54" s="4">
        <v>84</v>
      </c>
      <c r="G54" s="4">
        <v>84</v>
      </c>
    </row>
    <row r="55" spans="1:7">
      <c r="A55" s="4" t="s">
        <v>207</v>
      </c>
      <c r="B55" s="4" t="s">
        <v>208</v>
      </c>
      <c r="C55" s="4" t="s">
        <v>156</v>
      </c>
      <c r="D55" s="4" t="s">
        <v>156</v>
      </c>
      <c r="E55" s="4">
        <v>652.5</v>
      </c>
      <c r="F55" s="4">
        <v>97</v>
      </c>
      <c r="G55" s="4">
        <v>97</v>
      </c>
    </row>
    <row r="56" spans="1:7">
      <c r="A56" s="4" t="s">
        <v>209</v>
      </c>
      <c r="B56" s="4" t="s">
        <v>210</v>
      </c>
      <c r="C56" s="4" t="s">
        <v>97</v>
      </c>
      <c r="D56" s="4" t="s">
        <v>97</v>
      </c>
      <c r="E56" s="4">
        <v>195.42</v>
      </c>
      <c r="F56" s="4">
        <v>50</v>
      </c>
      <c r="G56" s="4">
        <v>50</v>
      </c>
    </row>
    <row r="57" spans="1:7">
      <c r="A57" s="4" t="s">
        <v>211</v>
      </c>
      <c r="B57" s="4" t="s">
        <v>212</v>
      </c>
      <c r="C57" s="4" t="s">
        <v>97</v>
      </c>
      <c r="D57" s="4" t="s">
        <v>97</v>
      </c>
      <c r="E57" s="4">
        <v>695.68</v>
      </c>
      <c r="F57" s="4">
        <v>28</v>
      </c>
      <c r="G57" s="4">
        <v>28</v>
      </c>
    </row>
    <row r="58" spans="1:7">
      <c r="A58" s="4" t="s">
        <v>213</v>
      </c>
      <c r="B58" s="4" t="s">
        <v>214</v>
      </c>
      <c r="C58" s="4" t="s">
        <v>114</v>
      </c>
      <c r="D58" s="4" t="s">
        <v>114</v>
      </c>
      <c r="E58" s="4">
        <v>585.20000000000005</v>
      </c>
      <c r="F58" s="4">
        <v>67</v>
      </c>
      <c r="G58" s="4">
        <v>67</v>
      </c>
    </row>
    <row r="59" spans="1:7">
      <c r="A59" s="4" t="s">
        <v>215</v>
      </c>
      <c r="B59" s="4" t="s">
        <v>216</v>
      </c>
      <c r="C59" s="4" t="s">
        <v>97</v>
      </c>
      <c r="D59" s="4" t="s">
        <v>97</v>
      </c>
      <c r="E59" s="4">
        <v>607.80999999999995</v>
      </c>
      <c r="F59" s="4">
        <v>76</v>
      </c>
      <c r="G59" s="4">
        <v>76</v>
      </c>
    </row>
    <row r="60" spans="1:7">
      <c r="A60" s="4" t="s">
        <v>217</v>
      </c>
      <c r="B60" s="4" t="s">
        <v>218</v>
      </c>
      <c r="C60" s="4" t="s">
        <v>101</v>
      </c>
      <c r="D60" s="4" t="s">
        <v>101</v>
      </c>
      <c r="E60" s="4">
        <v>367.37</v>
      </c>
      <c r="F60" s="4">
        <v>56</v>
      </c>
      <c r="G60" s="4">
        <v>56</v>
      </c>
    </row>
    <row r="61" spans="1:7">
      <c r="A61" s="4" t="s">
        <v>219</v>
      </c>
      <c r="B61" s="4" t="s">
        <v>220</v>
      </c>
      <c r="C61" s="4" t="s">
        <v>156</v>
      </c>
      <c r="D61" s="4" t="s">
        <v>156</v>
      </c>
      <c r="E61" s="4">
        <v>474</v>
      </c>
      <c r="F61" s="4">
        <v>48</v>
      </c>
      <c r="G61" s="4">
        <v>48</v>
      </c>
    </row>
    <row r="62" spans="1:7">
      <c r="A62" s="4" t="s">
        <v>221</v>
      </c>
      <c r="B62" s="4" t="s">
        <v>222</v>
      </c>
      <c r="C62" s="4" t="s">
        <v>114</v>
      </c>
      <c r="D62" s="4" t="s">
        <v>114</v>
      </c>
      <c r="E62" s="4">
        <v>679.73</v>
      </c>
      <c r="F62" s="4">
        <v>91</v>
      </c>
      <c r="G62" s="4">
        <v>91</v>
      </c>
    </row>
    <row r="63" spans="1:7">
      <c r="A63" s="4" t="s">
        <v>223</v>
      </c>
      <c r="B63" s="4" t="s">
        <v>224</v>
      </c>
      <c r="C63" s="4" t="s">
        <v>97</v>
      </c>
      <c r="D63" s="4" t="s">
        <v>97</v>
      </c>
      <c r="E63" s="4">
        <v>492.24</v>
      </c>
      <c r="F63" s="4">
        <v>-8</v>
      </c>
      <c r="G63" s="4">
        <v>0</v>
      </c>
    </row>
    <row r="64" spans="1:7">
      <c r="A64" s="4" t="s">
        <v>225</v>
      </c>
      <c r="B64" s="4" t="s">
        <v>226</v>
      </c>
      <c r="C64" s="4" t="s">
        <v>114</v>
      </c>
      <c r="D64" s="4" t="s">
        <v>114</v>
      </c>
      <c r="E64" s="4">
        <v>823.49</v>
      </c>
      <c r="F64" s="4">
        <v>6</v>
      </c>
      <c r="G64" s="4">
        <v>6</v>
      </c>
    </row>
    <row r="65" spans="1:7">
      <c r="A65" s="4" t="s">
        <v>227</v>
      </c>
      <c r="B65" s="4" t="s">
        <v>228</v>
      </c>
      <c r="C65" s="4" t="s">
        <v>101</v>
      </c>
      <c r="D65" s="4" t="s">
        <v>101</v>
      </c>
      <c r="E65" s="4">
        <v>117.4</v>
      </c>
      <c r="F65" s="4">
        <v>-5</v>
      </c>
      <c r="G65" s="4">
        <v>0</v>
      </c>
    </row>
    <row r="66" spans="1:7">
      <c r="A66" s="4" t="s">
        <v>229</v>
      </c>
      <c r="B66" s="4" t="s">
        <v>230</v>
      </c>
      <c r="C66" s="4" t="s">
        <v>101</v>
      </c>
      <c r="D66" s="4" t="s">
        <v>101</v>
      </c>
      <c r="E66" s="4">
        <v>628.92999999999995</v>
      </c>
      <c r="F66" s="4">
        <v>8</v>
      </c>
      <c r="G66" s="4">
        <v>8</v>
      </c>
    </row>
    <row r="67" spans="1:7">
      <c r="A67" s="4" t="s">
        <v>231</v>
      </c>
      <c r="B67" s="4" t="s">
        <v>232</v>
      </c>
      <c r="C67" s="4" t="s">
        <v>114</v>
      </c>
      <c r="D67" s="4" t="s">
        <v>114</v>
      </c>
      <c r="E67" s="4">
        <v>678.41</v>
      </c>
      <c r="F67" s="4">
        <v>54</v>
      </c>
      <c r="G67" s="4">
        <v>54</v>
      </c>
    </row>
    <row r="68" spans="1:7">
      <c r="A68" s="4" t="s">
        <v>233</v>
      </c>
      <c r="B68" s="4" t="s">
        <v>234</v>
      </c>
      <c r="C68" s="4" t="s">
        <v>156</v>
      </c>
      <c r="D68" s="4" t="s">
        <v>156</v>
      </c>
      <c r="E68" s="4">
        <v>135.61000000000001</v>
      </c>
      <c r="F68" s="4">
        <v>57</v>
      </c>
      <c r="G68" s="4">
        <v>57</v>
      </c>
    </row>
    <row r="69" spans="1:7">
      <c r="A69" s="4" t="s">
        <v>235</v>
      </c>
      <c r="B69" s="4" t="s">
        <v>236</v>
      </c>
      <c r="C69" s="4" t="s">
        <v>156</v>
      </c>
      <c r="D69" s="4" t="s">
        <v>156</v>
      </c>
      <c r="E69" s="4">
        <v>465.71</v>
      </c>
      <c r="F69" s="4">
        <v>64</v>
      </c>
      <c r="G69" s="4">
        <v>64</v>
      </c>
    </row>
    <row r="70" spans="1:7">
      <c r="A70" s="4" t="s">
        <v>237</v>
      </c>
      <c r="B70" s="4" t="s">
        <v>238</v>
      </c>
      <c r="C70" s="4" t="s">
        <v>97</v>
      </c>
      <c r="D70" s="4" t="s">
        <v>97</v>
      </c>
      <c r="E70" s="4">
        <v>225.49</v>
      </c>
      <c r="F70" s="4">
        <v>67</v>
      </c>
      <c r="G70" s="4">
        <v>67</v>
      </c>
    </row>
    <row r="71" spans="1:7">
      <c r="A71" s="4" t="s">
        <v>239</v>
      </c>
      <c r="B71" s="4" t="s">
        <v>240</v>
      </c>
      <c r="C71" s="4" t="s">
        <v>89</v>
      </c>
      <c r="D71" s="4" t="s">
        <v>89</v>
      </c>
      <c r="E71" s="4">
        <v>431.57</v>
      </c>
      <c r="F71" s="4">
        <v>9</v>
      </c>
      <c r="G71" s="4">
        <v>9</v>
      </c>
    </row>
    <row r="72" spans="1:7">
      <c r="A72" s="4" t="s">
        <v>241</v>
      </c>
      <c r="B72" s="4" t="s">
        <v>242</v>
      </c>
      <c r="C72" s="4" t="s">
        <v>156</v>
      </c>
      <c r="D72" s="4" t="s">
        <v>156</v>
      </c>
      <c r="E72" s="4">
        <v>230.14</v>
      </c>
      <c r="F72" s="4">
        <v>56</v>
      </c>
      <c r="G72" s="4">
        <v>56</v>
      </c>
    </row>
    <row r="73" spans="1:7">
      <c r="A73" s="4" t="s">
        <v>243</v>
      </c>
      <c r="B73" s="4" t="s">
        <v>244</v>
      </c>
      <c r="C73" s="4" t="s">
        <v>156</v>
      </c>
      <c r="D73" s="4" t="s">
        <v>156</v>
      </c>
      <c r="E73" s="4">
        <v>955.7</v>
      </c>
      <c r="F73" s="4">
        <v>63</v>
      </c>
      <c r="G73" s="4">
        <v>63</v>
      </c>
    </row>
    <row r="74" spans="1:7">
      <c r="A74" s="4" t="s">
        <v>245</v>
      </c>
      <c r="B74" s="4" t="s">
        <v>246</v>
      </c>
      <c r="C74" s="4" t="s">
        <v>97</v>
      </c>
      <c r="D74" s="4" t="s">
        <v>97</v>
      </c>
      <c r="E74" s="4">
        <v>270.33</v>
      </c>
      <c r="F74" s="4">
        <v>66</v>
      </c>
      <c r="G74" s="4">
        <v>66</v>
      </c>
    </row>
    <row r="75" spans="1:7">
      <c r="A75" s="4" t="s">
        <v>247</v>
      </c>
      <c r="B75" s="4" t="s">
        <v>248</v>
      </c>
      <c r="C75" s="4" t="s">
        <v>101</v>
      </c>
      <c r="D75" s="4" t="s">
        <v>101</v>
      </c>
      <c r="E75" s="4">
        <v>411.36</v>
      </c>
      <c r="F75" s="4">
        <v>74</v>
      </c>
      <c r="G75" s="4">
        <v>74</v>
      </c>
    </row>
    <row r="76" spans="1:7">
      <c r="A76" s="4" t="s">
        <v>249</v>
      </c>
      <c r="B76" s="4" t="s">
        <v>250</v>
      </c>
      <c r="C76" s="4" t="s">
        <v>97</v>
      </c>
      <c r="D76" s="4" t="s">
        <v>97</v>
      </c>
      <c r="E76" s="4">
        <v>132.56</v>
      </c>
      <c r="F76" s="4">
        <v>4</v>
      </c>
      <c r="G76" s="4">
        <v>4</v>
      </c>
    </row>
    <row r="77" spans="1:7">
      <c r="A77" s="4" t="s">
        <v>251</v>
      </c>
      <c r="B77" s="4" t="s">
        <v>252</v>
      </c>
      <c r="C77" s="4" t="s">
        <v>101</v>
      </c>
      <c r="D77" s="4" t="s">
        <v>101</v>
      </c>
      <c r="E77" s="4">
        <v>527.69000000000005</v>
      </c>
      <c r="F77" s="4">
        <v>97</v>
      </c>
      <c r="G77" s="4">
        <v>97</v>
      </c>
    </row>
    <row r="78" spans="1:7">
      <c r="A78" s="4" t="s">
        <v>253</v>
      </c>
      <c r="B78" s="4" t="s">
        <v>254</v>
      </c>
      <c r="C78" s="4" t="s">
        <v>114</v>
      </c>
      <c r="D78" s="4" t="s">
        <v>114</v>
      </c>
      <c r="E78" s="4">
        <v>580.25</v>
      </c>
      <c r="F78" s="4">
        <v>21</v>
      </c>
      <c r="G78" s="4">
        <v>21</v>
      </c>
    </row>
    <row r="79" spans="1:7">
      <c r="A79" s="4" t="s">
        <v>255</v>
      </c>
      <c r="B79" s="4" t="s">
        <v>256</v>
      </c>
      <c r="C79" s="4" t="s">
        <v>89</v>
      </c>
      <c r="D79" s="4" t="s">
        <v>89</v>
      </c>
      <c r="E79" s="4">
        <v>626.32000000000005</v>
      </c>
      <c r="F79" s="4">
        <v>65</v>
      </c>
      <c r="G79" s="4">
        <v>65</v>
      </c>
    </row>
    <row r="80" spans="1:7">
      <c r="A80" s="4" t="s">
        <v>257</v>
      </c>
      <c r="B80" s="4" t="s">
        <v>258</v>
      </c>
      <c r="C80" s="4" t="s">
        <v>114</v>
      </c>
      <c r="D80" s="4" t="s">
        <v>114</v>
      </c>
      <c r="E80" s="4">
        <v>828.12</v>
      </c>
      <c r="F80" s="4">
        <v>84</v>
      </c>
      <c r="G80" s="4">
        <v>84</v>
      </c>
    </row>
    <row r="81" spans="1:7">
      <c r="A81" s="4" t="s">
        <v>259</v>
      </c>
      <c r="B81" s="4" t="s">
        <v>260</v>
      </c>
      <c r="C81" s="4" t="s">
        <v>89</v>
      </c>
      <c r="D81" s="4" t="s">
        <v>89</v>
      </c>
      <c r="E81" s="4">
        <v>219.41</v>
      </c>
      <c r="F81" s="4">
        <v>18</v>
      </c>
      <c r="G81" s="4">
        <v>18</v>
      </c>
    </row>
    <row r="82" spans="1:7">
      <c r="A82" s="4" t="s">
        <v>261</v>
      </c>
      <c r="B82" s="4" t="s">
        <v>262</v>
      </c>
      <c r="C82" s="4" t="s">
        <v>156</v>
      </c>
      <c r="D82" s="4" t="s">
        <v>156</v>
      </c>
      <c r="E82" s="4">
        <v>490.56</v>
      </c>
      <c r="F82" s="4">
        <v>4</v>
      </c>
      <c r="G82" s="4">
        <v>4</v>
      </c>
    </row>
    <row r="83" spans="1:7">
      <c r="A83" s="4" t="s">
        <v>263</v>
      </c>
      <c r="B83" s="4" t="s">
        <v>264</v>
      </c>
      <c r="C83" s="4" t="s">
        <v>156</v>
      </c>
      <c r="D83" s="4" t="s">
        <v>156</v>
      </c>
      <c r="E83" s="4">
        <v>72.930000000000007</v>
      </c>
      <c r="F83" s="4">
        <v>1</v>
      </c>
      <c r="G83" s="4">
        <v>1</v>
      </c>
    </row>
    <row r="84" spans="1:7">
      <c r="A84" s="4" t="s">
        <v>265</v>
      </c>
      <c r="B84" s="4" t="s">
        <v>266</v>
      </c>
      <c r="C84" s="4" t="s">
        <v>89</v>
      </c>
      <c r="D84" s="4" t="s">
        <v>89</v>
      </c>
      <c r="E84" s="4">
        <v>792.19</v>
      </c>
      <c r="F84" s="4">
        <v>41</v>
      </c>
      <c r="G84" s="4">
        <v>41</v>
      </c>
    </row>
    <row r="85" spans="1:7">
      <c r="A85" s="4" t="s">
        <v>267</v>
      </c>
      <c r="B85" s="4" t="s">
        <v>268</v>
      </c>
      <c r="C85" s="4" t="s">
        <v>101</v>
      </c>
      <c r="D85" s="4" t="s">
        <v>101</v>
      </c>
      <c r="E85" s="4">
        <v>329.11</v>
      </c>
      <c r="F85" s="4">
        <v>68</v>
      </c>
      <c r="G85" s="4">
        <v>68</v>
      </c>
    </row>
    <row r="86" spans="1:7">
      <c r="A86" s="4" t="s">
        <v>269</v>
      </c>
      <c r="B86" s="4" t="s">
        <v>270</v>
      </c>
      <c r="C86" s="4" t="s">
        <v>101</v>
      </c>
      <c r="D86" s="4" t="s">
        <v>101</v>
      </c>
      <c r="E86" s="4">
        <v>536.46</v>
      </c>
      <c r="F86" s="4">
        <v>25</v>
      </c>
      <c r="G86" s="4">
        <v>25</v>
      </c>
    </row>
    <row r="87" spans="1:7">
      <c r="A87" s="4" t="s">
        <v>271</v>
      </c>
      <c r="B87" s="4" t="s">
        <v>272</v>
      </c>
      <c r="C87" s="4" t="s">
        <v>97</v>
      </c>
      <c r="D87" s="4" t="s">
        <v>97</v>
      </c>
      <c r="E87" s="4">
        <v>112.84</v>
      </c>
      <c r="F87" s="4">
        <v>67</v>
      </c>
      <c r="G87" s="4">
        <v>67</v>
      </c>
    </row>
    <row r="88" spans="1:7">
      <c r="A88" s="4" t="s">
        <v>273</v>
      </c>
      <c r="B88" s="4" t="s">
        <v>274</v>
      </c>
      <c r="C88" s="4" t="s">
        <v>89</v>
      </c>
      <c r="D88" s="4" t="s">
        <v>89</v>
      </c>
      <c r="E88" s="4">
        <v>340.83</v>
      </c>
      <c r="F88" s="4">
        <v>9</v>
      </c>
      <c r="G88" s="4">
        <v>9</v>
      </c>
    </row>
    <row r="89" spans="1:7">
      <c r="A89" s="4" t="s">
        <v>275</v>
      </c>
      <c r="B89" s="4" t="s">
        <v>276</v>
      </c>
      <c r="C89" s="4" t="s">
        <v>101</v>
      </c>
      <c r="D89" s="4" t="s">
        <v>101</v>
      </c>
      <c r="E89" s="4">
        <v>995.34</v>
      </c>
      <c r="F89" s="4">
        <v>77</v>
      </c>
      <c r="G89" s="4">
        <v>77</v>
      </c>
    </row>
    <row r="90" spans="1:7">
      <c r="A90" s="4" t="s">
        <v>277</v>
      </c>
      <c r="B90" s="4" t="s">
        <v>278</v>
      </c>
      <c r="C90" s="4" t="s">
        <v>101</v>
      </c>
      <c r="D90" s="4" t="s">
        <v>101</v>
      </c>
      <c r="E90" s="4">
        <v>769.9</v>
      </c>
      <c r="F90" s="4">
        <v>99</v>
      </c>
      <c r="G90" s="4">
        <v>99</v>
      </c>
    </row>
    <row r="91" spans="1:7">
      <c r="A91" s="4" t="s">
        <v>279</v>
      </c>
      <c r="B91" s="4" t="s">
        <v>280</v>
      </c>
      <c r="C91" s="4" t="s">
        <v>89</v>
      </c>
      <c r="D91" s="4" t="s">
        <v>89</v>
      </c>
      <c r="E91" s="4">
        <v>475.06</v>
      </c>
      <c r="F91" s="4">
        <v>95</v>
      </c>
      <c r="G91" s="4">
        <v>95</v>
      </c>
    </row>
    <row r="92" spans="1:7">
      <c r="A92" s="4" t="s">
        <v>281</v>
      </c>
      <c r="B92" s="4" t="s">
        <v>282</v>
      </c>
      <c r="C92" s="4" t="s">
        <v>101</v>
      </c>
      <c r="D92" s="4" t="s">
        <v>101</v>
      </c>
      <c r="E92" s="4">
        <v>984.78</v>
      </c>
      <c r="F92" s="4">
        <v>59</v>
      </c>
      <c r="G92" s="4">
        <v>59</v>
      </c>
    </row>
    <row r="93" spans="1:7">
      <c r="A93" s="4" t="s">
        <v>283</v>
      </c>
      <c r="B93" s="4" t="s">
        <v>284</v>
      </c>
      <c r="C93" s="4" t="s">
        <v>101</v>
      </c>
      <c r="D93" s="4" t="s">
        <v>101</v>
      </c>
      <c r="E93" s="4">
        <v>827.37</v>
      </c>
      <c r="F93" s="4">
        <v>39</v>
      </c>
      <c r="G93" s="4">
        <v>39</v>
      </c>
    </row>
    <row r="94" spans="1:7">
      <c r="A94" s="4" t="s">
        <v>285</v>
      </c>
      <c r="B94" s="4" t="s">
        <v>286</v>
      </c>
      <c r="C94" s="4" t="s">
        <v>97</v>
      </c>
      <c r="D94" s="4" t="s">
        <v>97</v>
      </c>
      <c r="E94" s="4">
        <v>583.88</v>
      </c>
      <c r="F94" s="4">
        <v>20</v>
      </c>
      <c r="G94" s="4">
        <v>20</v>
      </c>
    </row>
    <row r="95" spans="1:7">
      <c r="A95" s="4" t="s">
        <v>287</v>
      </c>
      <c r="B95" s="4" t="s">
        <v>288</v>
      </c>
      <c r="C95" s="4" t="s">
        <v>156</v>
      </c>
      <c r="D95" s="4" t="s">
        <v>156</v>
      </c>
      <c r="E95" s="4">
        <v>147.41999999999999</v>
      </c>
      <c r="F95" s="4">
        <v>68</v>
      </c>
      <c r="G95" s="4">
        <v>68</v>
      </c>
    </row>
    <row r="96" spans="1:7">
      <c r="A96" s="4" t="s">
        <v>289</v>
      </c>
      <c r="B96" s="4" t="s">
        <v>290</v>
      </c>
      <c r="C96" s="4" t="s">
        <v>156</v>
      </c>
      <c r="D96" s="4" t="s">
        <v>156</v>
      </c>
      <c r="E96" s="4">
        <v>728.6</v>
      </c>
      <c r="F96" s="4">
        <v>30</v>
      </c>
      <c r="G96" s="4">
        <v>30</v>
      </c>
    </row>
    <row r="97" spans="1:7">
      <c r="A97" s="4" t="s">
        <v>291</v>
      </c>
      <c r="B97" s="4" t="s">
        <v>292</v>
      </c>
      <c r="C97" s="4" t="s">
        <v>114</v>
      </c>
      <c r="D97" s="4" t="s">
        <v>114</v>
      </c>
      <c r="E97" s="4">
        <v>590.16</v>
      </c>
      <c r="F97" s="4">
        <v>63</v>
      </c>
      <c r="G97" s="4">
        <v>63</v>
      </c>
    </row>
    <row r="98" spans="1:7">
      <c r="A98" s="4" t="s">
        <v>293</v>
      </c>
      <c r="B98" s="4" t="s">
        <v>294</v>
      </c>
      <c r="C98" s="4" t="s">
        <v>89</v>
      </c>
      <c r="D98" s="4" t="s">
        <v>89</v>
      </c>
      <c r="E98" s="4">
        <v>889.08</v>
      </c>
      <c r="F98" s="4">
        <v>9</v>
      </c>
      <c r="G98" s="4">
        <v>9</v>
      </c>
    </row>
    <row r="99" spans="1:7">
      <c r="A99" s="4" t="s">
        <v>295</v>
      </c>
      <c r="B99" s="4" t="s">
        <v>296</v>
      </c>
      <c r="C99" s="4" t="s">
        <v>156</v>
      </c>
      <c r="D99" s="4" t="s">
        <v>156</v>
      </c>
      <c r="E99" s="4">
        <v>57.22</v>
      </c>
      <c r="F99" s="4">
        <v>34</v>
      </c>
      <c r="G99" s="4">
        <v>34</v>
      </c>
    </row>
    <row r="100" spans="1:7">
      <c r="A100" s="4" t="s">
        <v>297</v>
      </c>
      <c r="B100" s="4" t="s">
        <v>298</v>
      </c>
      <c r="C100" s="4" t="s">
        <v>89</v>
      </c>
      <c r="D100" s="4" t="s">
        <v>89</v>
      </c>
      <c r="E100" s="4">
        <v>401.24</v>
      </c>
      <c r="F100" s="4">
        <v>43</v>
      </c>
      <c r="G100" s="4">
        <v>43</v>
      </c>
    </row>
    <row r="101" spans="1:7">
      <c r="A101" s="4" t="s">
        <v>299</v>
      </c>
      <c r="B101" s="4" t="s">
        <v>300</v>
      </c>
      <c r="C101" s="4" t="s">
        <v>101</v>
      </c>
      <c r="D101" s="4" t="s">
        <v>101</v>
      </c>
      <c r="E101" s="4">
        <v>796.33</v>
      </c>
      <c r="F101" s="4">
        <v>99</v>
      </c>
      <c r="G101" s="4">
        <v>99</v>
      </c>
    </row>
    <row r="102" spans="1:7">
      <c r="A102" s="4" t="s">
        <v>301</v>
      </c>
      <c r="B102" s="4" t="s">
        <v>302</v>
      </c>
      <c r="C102" s="4" t="s">
        <v>97</v>
      </c>
      <c r="D102" s="4" t="s">
        <v>97</v>
      </c>
      <c r="E102" s="4">
        <v>802.31</v>
      </c>
      <c r="F102" s="4">
        <v>97</v>
      </c>
      <c r="G102" s="4">
        <v>97</v>
      </c>
    </row>
    <row r="103" spans="1:7">
      <c r="A103" s="4" t="s">
        <v>303</v>
      </c>
      <c r="B103" s="4" t="s">
        <v>304</v>
      </c>
      <c r="C103" s="4" t="s">
        <v>89</v>
      </c>
      <c r="D103" s="4" t="s">
        <v>89</v>
      </c>
      <c r="E103" s="4">
        <v>612.07000000000005</v>
      </c>
      <c r="F103" s="4">
        <v>25</v>
      </c>
      <c r="G103" s="4">
        <v>25</v>
      </c>
    </row>
    <row r="104" spans="1:7">
      <c r="A104" s="4" t="s">
        <v>305</v>
      </c>
      <c r="B104" s="4" t="s">
        <v>306</v>
      </c>
      <c r="C104" s="4" t="s">
        <v>156</v>
      </c>
      <c r="D104" s="4" t="s">
        <v>156</v>
      </c>
      <c r="E104" s="4">
        <v>366.32</v>
      </c>
      <c r="F104" s="4">
        <v>12</v>
      </c>
      <c r="G104" s="4">
        <v>12</v>
      </c>
    </row>
    <row r="105" spans="1:7">
      <c r="A105" s="4" t="s">
        <v>307</v>
      </c>
      <c r="B105" s="4" t="s">
        <v>308</v>
      </c>
      <c r="C105" s="4" t="s">
        <v>97</v>
      </c>
      <c r="D105" s="4" t="s">
        <v>97</v>
      </c>
      <c r="E105" s="4">
        <v>241.28</v>
      </c>
      <c r="F105" s="4">
        <v>21</v>
      </c>
      <c r="G105" s="4">
        <v>21</v>
      </c>
    </row>
    <row r="106" spans="1:7">
      <c r="A106" s="4" t="s">
        <v>309</v>
      </c>
      <c r="B106" s="4" t="s">
        <v>310</v>
      </c>
      <c r="C106" s="4" t="s">
        <v>97</v>
      </c>
      <c r="D106" s="4" t="s">
        <v>97</v>
      </c>
      <c r="E106" s="4">
        <v>55.88</v>
      </c>
      <c r="F106" s="4">
        <v>11</v>
      </c>
      <c r="G106" s="4">
        <v>11</v>
      </c>
    </row>
    <row r="107" spans="1:7">
      <c r="A107" s="4" t="s">
        <v>311</v>
      </c>
      <c r="B107" s="4" t="s">
        <v>312</v>
      </c>
      <c r="C107" s="4" t="s">
        <v>114</v>
      </c>
      <c r="D107" s="4" t="s">
        <v>114</v>
      </c>
      <c r="E107" s="4">
        <v>876.55</v>
      </c>
      <c r="F107" s="4">
        <v>-9</v>
      </c>
      <c r="G107" s="4">
        <v>0</v>
      </c>
    </row>
    <row r="108" spans="1:7">
      <c r="A108" s="4" t="s">
        <v>313</v>
      </c>
      <c r="B108" s="4" t="s">
        <v>314</v>
      </c>
      <c r="C108" s="4" t="s">
        <v>156</v>
      </c>
      <c r="D108" s="4" t="s">
        <v>156</v>
      </c>
      <c r="E108" s="4">
        <v>411.54</v>
      </c>
      <c r="F108" s="4">
        <v>98</v>
      </c>
      <c r="G108" s="4">
        <v>98</v>
      </c>
    </row>
    <row r="109" spans="1:7">
      <c r="A109" s="4" t="s">
        <v>315</v>
      </c>
      <c r="B109" s="4" t="s">
        <v>316</v>
      </c>
      <c r="C109" s="4" t="s">
        <v>97</v>
      </c>
      <c r="D109" s="4" t="s">
        <v>97</v>
      </c>
      <c r="E109" s="4">
        <v>756.41</v>
      </c>
      <c r="F109" s="4">
        <v>63</v>
      </c>
      <c r="G109" s="4">
        <v>63</v>
      </c>
    </row>
    <row r="110" spans="1:7">
      <c r="A110" s="4" t="s">
        <v>317</v>
      </c>
      <c r="B110" s="4" t="s">
        <v>318</v>
      </c>
      <c r="C110" s="4" t="s">
        <v>114</v>
      </c>
      <c r="D110" s="4" t="s">
        <v>114</v>
      </c>
      <c r="E110" s="4">
        <v>302.37</v>
      </c>
      <c r="F110" s="4">
        <v>75</v>
      </c>
      <c r="G110" s="4">
        <v>75</v>
      </c>
    </row>
    <row r="111" spans="1:7">
      <c r="A111" s="4" t="s">
        <v>319</v>
      </c>
      <c r="B111" s="4" t="s">
        <v>320</v>
      </c>
      <c r="C111" s="4" t="s">
        <v>114</v>
      </c>
      <c r="D111" s="4" t="s">
        <v>114</v>
      </c>
      <c r="E111" s="4">
        <v>510.18</v>
      </c>
      <c r="F111" s="4">
        <v>86</v>
      </c>
      <c r="G111" s="4">
        <v>86</v>
      </c>
    </row>
    <row r="112" spans="1:7">
      <c r="A112" s="4" t="s">
        <v>321</v>
      </c>
      <c r="B112" s="4" t="s">
        <v>322</v>
      </c>
      <c r="C112" s="4" t="s">
        <v>101</v>
      </c>
      <c r="D112" s="4" t="s">
        <v>101</v>
      </c>
      <c r="E112" s="4">
        <v>220.09</v>
      </c>
      <c r="F112" s="4">
        <v>82</v>
      </c>
      <c r="G112" s="4">
        <v>82</v>
      </c>
    </row>
    <row r="113" spans="1:7">
      <c r="A113" s="4" t="s">
        <v>323</v>
      </c>
      <c r="B113" s="4" t="s">
        <v>324</v>
      </c>
      <c r="C113" s="4" t="s">
        <v>114</v>
      </c>
      <c r="D113" s="4" t="s">
        <v>114</v>
      </c>
      <c r="E113" s="4">
        <v>601.62</v>
      </c>
      <c r="F113" s="4">
        <v>42</v>
      </c>
      <c r="G113" s="4">
        <v>42</v>
      </c>
    </row>
    <row r="114" spans="1:7">
      <c r="A114" s="4" t="s">
        <v>325</v>
      </c>
      <c r="B114" s="4" t="s">
        <v>326</v>
      </c>
      <c r="C114" s="4" t="s">
        <v>89</v>
      </c>
      <c r="D114" s="4" t="s">
        <v>89</v>
      </c>
      <c r="E114" s="4">
        <v>919.78</v>
      </c>
      <c r="F114" s="4">
        <v>90</v>
      </c>
      <c r="G114" s="4">
        <v>90</v>
      </c>
    </row>
    <row r="115" spans="1:7">
      <c r="A115" s="4" t="s">
        <v>327</v>
      </c>
      <c r="B115" s="4" t="s">
        <v>328</v>
      </c>
      <c r="C115" s="4" t="s">
        <v>156</v>
      </c>
      <c r="D115" s="4" t="s">
        <v>156</v>
      </c>
      <c r="E115" s="4">
        <v>290.58999999999997</v>
      </c>
      <c r="F115" s="4">
        <v>55</v>
      </c>
      <c r="G115" s="4">
        <v>55</v>
      </c>
    </row>
    <row r="116" spans="1:7">
      <c r="A116" s="4" t="s">
        <v>329</v>
      </c>
      <c r="B116" s="4" t="s">
        <v>330</v>
      </c>
      <c r="C116" s="4" t="s">
        <v>89</v>
      </c>
      <c r="D116" s="4" t="s">
        <v>89</v>
      </c>
      <c r="E116" s="4">
        <v>237.22</v>
      </c>
      <c r="F116" s="4">
        <v>42</v>
      </c>
      <c r="G116" s="4">
        <v>42</v>
      </c>
    </row>
    <row r="117" spans="1:7">
      <c r="A117" s="4" t="s">
        <v>331</v>
      </c>
      <c r="B117" s="4" t="s">
        <v>332</v>
      </c>
      <c r="C117" s="4" t="s">
        <v>97</v>
      </c>
      <c r="D117" s="4" t="s">
        <v>97</v>
      </c>
      <c r="E117" s="4">
        <v>100.65</v>
      </c>
      <c r="F117" s="4">
        <v>84</v>
      </c>
      <c r="G117" s="4">
        <v>84</v>
      </c>
    </row>
    <row r="118" spans="1:7">
      <c r="A118" s="4" t="s">
        <v>333</v>
      </c>
      <c r="B118" s="4" t="s">
        <v>334</v>
      </c>
      <c r="C118" s="4" t="s">
        <v>89</v>
      </c>
      <c r="D118" s="4" t="s">
        <v>89</v>
      </c>
      <c r="E118" s="4">
        <v>274.7</v>
      </c>
      <c r="F118" s="4">
        <v>96</v>
      </c>
      <c r="G118" s="4">
        <v>96</v>
      </c>
    </row>
    <row r="119" spans="1:7">
      <c r="A119" s="4" t="s">
        <v>335</v>
      </c>
      <c r="B119" s="4" t="s">
        <v>336</v>
      </c>
      <c r="C119" s="4" t="s">
        <v>114</v>
      </c>
      <c r="D119" s="4" t="s">
        <v>114</v>
      </c>
      <c r="E119" s="4">
        <v>524.96</v>
      </c>
      <c r="F119" s="4">
        <v>62</v>
      </c>
      <c r="G119" s="4">
        <v>62</v>
      </c>
    </row>
    <row r="120" spans="1:7">
      <c r="A120" s="4" t="s">
        <v>337</v>
      </c>
      <c r="B120" s="4" t="s">
        <v>338</v>
      </c>
      <c r="C120" s="4" t="s">
        <v>89</v>
      </c>
      <c r="D120" s="4" t="s">
        <v>89</v>
      </c>
      <c r="E120" s="4">
        <v>794.42</v>
      </c>
      <c r="F120" s="4">
        <v>25</v>
      </c>
      <c r="G120" s="4">
        <v>25</v>
      </c>
    </row>
    <row r="121" spans="1:7">
      <c r="A121" s="4" t="s">
        <v>339</v>
      </c>
      <c r="B121" s="4" t="s">
        <v>340</v>
      </c>
      <c r="C121" s="4" t="s">
        <v>114</v>
      </c>
      <c r="D121" s="4" t="s">
        <v>114</v>
      </c>
      <c r="E121" s="4">
        <v>466.35</v>
      </c>
      <c r="F121" s="4">
        <v>36</v>
      </c>
      <c r="G121" s="4">
        <v>36</v>
      </c>
    </row>
    <row r="122" spans="1:7">
      <c r="A122" s="4" t="s">
        <v>341</v>
      </c>
      <c r="B122" s="4" t="s">
        <v>342</v>
      </c>
      <c r="C122" s="4" t="s">
        <v>89</v>
      </c>
      <c r="D122" s="4" t="s">
        <v>89</v>
      </c>
      <c r="E122" s="4">
        <v>304.88</v>
      </c>
      <c r="F122" s="4">
        <v>68</v>
      </c>
      <c r="G122" s="4">
        <v>68</v>
      </c>
    </row>
    <row r="123" spans="1:7">
      <c r="A123" s="4" t="s">
        <v>343</v>
      </c>
      <c r="B123" s="4" t="s">
        <v>344</v>
      </c>
      <c r="C123" s="4" t="s">
        <v>89</v>
      </c>
      <c r="D123" s="4" t="s">
        <v>89</v>
      </c>
      <c r="E123" s="4">
        <v>134.71</v>
      </c>
      <c r="F123" s="4">
        <v>45</v>
      </c>
      <c r="G123" s="4">
        <v>45</v>
      </c>
    </row>
    <row r="124" spans="1:7">
      <c r="A124" s="4" t="s">
        <v>345</v>
      </c>
      <c r="B124" s="4" t="s">
        <v>346</v>
      </c>
      <c r="C124" s="4" t="s">
        <v>101</v>
      </c>
      <c r="D124" s="4" t="s">
        <v>101</v>
      </c>
      <c r="E124" s="4">
        <v>458.52</v>
      </c>
      <c r="F124" s="4">
        <v>76</v>
      </c>
      <c r="G124" s="4">
        <v>76</v>
      </c>
    </row>
    <row r="125" spans="1:7">
      <c r="A125" s="4" t="s">
        <v>347</v>
      </c>
      <c r="B125" s="4" t="s">
        <v>348</v>
      </c>
      <c r="C125" s="4" t="s">
        <v>156</v>
      </c>
      <c r="D125" s="4" t="s">
        <v>156</v>
      </c>
      <c r="E125" s="4">
        <v>892.51</v>
      </c>
      <c r="F125" s="4">
        <v>80</v>
      </c>
      <c r="G125" s="4">
        <v>80</v>
      </c>
    </row>
    <row r="126" spans="1:7">
      <c r="A126" s="4" t="s">
        <v>349</v>
      </c>
      <c r="B126" s="4" t="s">
        <v>350</v>
      </c>
      <c r="C126" s="4" t="s">
        <v>97</v>
      </c>
      <c r="D126" s="4" t="s">
        <v>97</v>
      </c>
      <c r="E126" s="4">
        <v>884.02</v>
      </c>
      <c r="F126" s="4">
        <v>41</v>
      </c>
      <c r="G126" s="4">
        <v>41</v>
      </c>
    </row>
    <row r="127" spans="1:7">
      <c r="A127" s="4" t="s">
        <v>351</v>
      </c>
      <c r="B127" s="4" t="s">
        <v>352</v>
      </c>
      <c r="C127" s="4" t="s">
        <v>89</v>
      </c>
      <c r="D127" s="4" t="s">
        <v>89</v>
      </c>
      <c r="E127" s="4">
        <v>987.58</v>
      </c>
      <c r="F127" s="4">
        <v>84</v>
      </c>
      <c r="G127" s="4">
        <v>84</v>
      </c>
    </row>
    <row r="128" spans="1:7">
      <c r="A128" s="4" t="s">
        <v>353</v>
      </c>
      <c r="B128" s="4" t="s">
        <v>354</v>
      </c>
      <c r="C128" s="4" t="s">
        <v>97</v>
      </c>
      <c r="D128" s="4" t="s">
        <v>97</v>
      </c>
      <c r="E128" s="4">
        <v>377.17</v>
      </c>
      <c r="F128" s="4">
        <v>94</v>
      </c>
      <c r="G128" s="4">
        <v>94</v>
      </c>
    </row>
    <row r="129" spans="1:7">
      <c r="A129" s="4" t="s">
        <v>355</v>
      </c>
      <c r="B129" s="4" t="s">
        <v>356</v>
      </c>
      <c r="C129" s="4" t="s">
        <v>97</v>
      </c>
      <c r="D129" s="4" t="s">
        <v>97</v>
      </c>
      <c r="E129" s="4">
        <v>163.44</v>
      </c>
      <c r="F129" s="4">
        <v>12</v>
      </c>
      <c r="G129" s="4">
        <v>12</v>
      </c>
    </row>
    <row r="130" spans="1:7">
      <c r="A130" s="4" t="s">
        <v>357</v>
      </c>
      <c r="B130" s="4" t="s">
        <v>358</v>
      </c>
      <c r="C130" s="4" t="s">
        <v>156</v>
      </c>
      <c r="D130" s="4" t="s">
        <v>156</v>
      </c>
      <c r="E130" s="4">
        <v>328.15</v>
      </c>
      <c r="F130" s="4">
        <v>70</v>
      </c>
      <c r="G130" s="4">
        <v>70</v>
      </c>
    </row>
    <row r="131" spans="1:7">
      <c r="A131" s="4" t="s">
        <v>359</v>
      </c>
      <c r="B131" s="4" t="s">
        <v>360</v>
      </c>
      <c r="C131" s="4" t="s">
        <v>89</v>
      </c>
      <c r="D131" s="4" t="s">
        <v>89</v>
      </c>
      <c r="E131" s="4">
        <v>73.709999999999994</v>
      </c>
      <c r="F131" s="4">
        <v>78</v>
      </c>
      <c r="G131" s="4">
        <v>78</v>
      </c>
    </row>
    <row r="132" spans="1:7">
      <c r="A132" s="4" t="s">
        <v>361</v>
      </c>
      <c r="B132" s="4" t="s">
        <v>362</v>
      </c>
      <c r="C132" s="4" t="s">
        <v>89</v>
      </c>
      <c r="D132" s="4" t="s">
        <v>89</v>
      </c>
      <c r="E132" s="4">
        <v>140.4</v>
      </c>
      <c r="F132" s="4">
        <v>32</v>
      </c>
      <c r="G132" s="4">
        <v>32</v>
      </c>
    </row>
    <row r="133" spans="1:7">
      <c r="A133" s="4" t="s">
        <v>363</v>
      </c>
      <c r="B133" s="4" t="s">
        <v>364</v>
      </c>
      <c r="C133" s="4" t="s">
        <v>156</v>
      </c>
      <c r="D133" s="4" t="s">
        <v>156</v>
      </c>
      <c r="E133" s="4">
        <v>212.57</v>
      </c>
      <c r="F133" s="4">
        <v>13</v>
      </c>
      <c r="G133" s="4">
        <v>13</v>
      </c>
    </row>
    <row r="134" spans="1:7">
      <c r="A134" s="4" t="s">
        <v>365</v>
      </c>
      <c r="B134" s="4" t="s">
        <v>366</v>
      </c>
      <c r="C134" s="4" t="s">
        <v>156</v>
      </c>
      <c r="D134" s="4" t="s">
        <v>156</v>
      </c>
      <c r="E134" s="4">
        <v>949.27</v>
      </c>
      <c r="F134" s="4">
        <v>94</v>
      </c>
      <c r="G134" s="4">
        <v>94</v>
      </c>
    </row>
    <row r="135" spans="1:7">
      <c r="A135" s="4" t="s">
        <v>367</v>
      </c>
      <c r="B135" s="4" t="s">
        <v>368</v>
      </c>
      <c r="C135" s="4" t="s">
        <v>89</v>
      </c>
      <c r="D135" s="4" t="s">
        <v>89</v>
      </c>
      <c r="E135" s="4">
        <v>497.68</v>
      </c>
      <c r="F135" s="4">
        <v>-2</v>
      </c>
      <c r="G135" s="4">
        <v>0</v>
      </c>
    </row>
    <row r="136" spans="1:7">
      <c r="A136" s="4" t="s">
        <v>369</v>
      </c>
      <c r="B136" s="4" t="s">
        <v>370</v>
      </c>
      <c r="C136" s="4" t="s">
        <v>114</v>
      </c>
      <c r="D136" s="4" t="s">
        <v>114</v>
      </c>
      <c r="E136" s="4">
        <v>603.72</v>
      </c>
      <c r="F136" s="4">
        <v>45</v>
      </c>
      <c r="G136" s="4">
        <v>45</v>
      </c>
    </row>
    <row r="137" spans="1:7">
      <c r="A137" s="4" t="s">
        <v>371</v>
      </c>
      <c r="B137" s="4" t="s">
        <v>372</v>
      </c>
      <c r="C137" s="4" t="s">
        <v>156</v>
      </c>
      <c r="D137" s="4" t="s">
        <v>156</v>
      </c>
      <c r="E137" s="4">
        <v>229.05</v>
      </c>
      <c r="F137" s="4">
        <v>-8</v>
      </c>
      <c r="G137" s="4">
        <v>0</v>
      </c>
    </row>
    <row r="138" spans="1:7">
      <c r="A138" s="4" t="s">
        <v>373</v>
      </c>
      <c r="B138" s="4" t="s">
        <v>374</v>
      </c>
      <c r="C138" s="4" t="s">
        <v>156</v>
      </c>
      <c r="D138" s="4" t="s">
        <v>156</v>
      </c>
      <c r="E138" s="4">
        <v>704</v>
      </c>
      <c r="F138" s="4">
        <v>68</v>
      </c>
      <c r="G138" s="4">
        <v>68</v>
      </c>
    </row>
    <row r="139" spans="1:7">
      <c r="A139" s="4" t="s">
        <v>375</v>
      </c>
      <c r="B139" s="4" t="s">
        <v>376</v>
      </c>
      <c r="C139" s="4" t="s">
        <v>156</v>
      </c>
      <c r="D139" s="4" t="s">
        <v>156</v>
      </c>
      <c r="E139" s="4">
        <v>187.68</v>
      </c>
      <c r="F139" s="4">
        <v>64</v>
      </c>
      <c r="G139" s="4">
        <v>64</v>
      </c>
    </row>
    <row r="140" spans="1:7">
      <c r="A140" s="4" t="s">
        <v>377</v>
      </c>
      <c r="B140" s="4" t="s">
        <v>378</v>
      </c>
      <c r="C140" s="4" t="s">
        <v>101</v>
      </c>
      <c r="D140" s="4" t="s">
        <v>101</v>
      </c>
      <c r="E140" s="4">
        <v>794.47</v>
      </c>
      <c r="F140" s="4">
        <v>85</v>
      </c>
      <c r="G140" s="4">
        <v>85</v>
      </c>
    </row>
    <row r="141" spans="1:7">
      <c r="A141" s="4" t="s">
        <v>379</v>
      </c>
      <c r="B141" s="4" t="s">
        <v>380</v>
      </c>
      <c r="C141" s="4" t="s">
        <v>114</v>
      </c>
      <c r="D141" s="4" t="s">
        <v>114</v>
      </c>
      <c r="E141" s="4">
        <v>113.89</v>
      </c>
      <c r="F141" s="4">
        <v>-2</v>
      </c>
      <c r="G141" s="4">
        <v>0</v>
      </c>
    </row>
    <row r="142" spans="1:7">
      <c r="A142" s="4" t="s">
        <v>381</v>
      </c>
      <c r="B142" s="4" t="s">
        <v>382</v>
      </c>
      <c r="C142" s="4" t="s">
        <v>89</v>
      </c>
      <c r="D142" s="4" t="s">
        <v>89</v>
      </c>
      <c r="E142" s="4">
        <v>579.39</v>
      </c>
      <c r="F142" s="4">
        <v>62</v>
      </c>
      <c r="G142" s="4">
        <v>62</v>
      </c>
    </row>
    <row r="143" spans="1:7">
      <c r="A143" s="4" t="s">
        <v>383</v>
      </c>
      <c r="B143" s="4" t="s">
        <v>384</v>
      </c>
      <c r="C143" s="4" t="s">
        <v>114</v>
      </c>
      <c r="D143" s="4" t="s">
        <v>114</v>
      </c>
      <c r="E143" s="4">
        <v>681.47</v>
      </c>
      <c r="F143" s="4">
        <v>24</v>
      </c>
      <c r="G143" s="4">
        <v>24</v>
      </c>
    </row>
    <row r="144" spans="1:7">
      <c r="A144" s="4" t="s">
        <v>385</v>
      </c>
      <c r="B144" s="4" t="s">
        <v>386</v>
      </c>
      <c r="C144" s="4" t="s">
        <v>114</v>
      </c>
      <c r="D144" s="4" t="s">
        <v>114</v>
      </c>
      <c r="E144" s="4">
        <v>86.67</v>
      </c>
      <c r="F144" s="4">
        <v>14</v>
      </c>
      <c r="G144" s="4">
        <v>14</v>
      </c>
    </row>
    <row r="145" spans="1:7">
      <c r="A145" s="4" t="s">
        <v>387</v>
      </c>
      <c r="B145" s="4" t="s">
        <v>388</v>
      </c>
      <c r="C145" s="4" t="s">
        <v>101</v>
      </c>
      <c r="D145" s="4" t="s">
        <v>101</v>
      </c>
      <c r="E145" s="4">
        <v>380.33</v>
      </c>
      <c r="F145" s="4">
        <v>38</v>
      </c>
      <c r="G145" s="4">
        <v>38</v>
      </c>
    </row>
    <row r="146" spans="1:7">
      <c r="A146" s="4" t="s">
        <v>389</v>
      </c>
      <c r="B146" s="4" t="s">
        <v>390</v>
      </c>
      <c r="C146" s="4" t="s">
        <v>97</v>
      </c>
      <c r="D146" s="4" t="s">
        <v>97</v>
      </c>
      <c r="E146" s="4">
        <v>684.58</v>
      </c>
      <c r="F146" s="4">
        <v>52</v>
      </c>
      <c r="G146" s="4">
        <v>52</v>
      </c>
    </row>
    <row r="147" spans="1:7">
      <c r="A147" s="4" t="s">
        <v>391</v>
      </c>
      <c r="B147" s="4" t="s">
        <v>392</v>
      </c>
      <c r="C147" s="4" t="s">
        <v>101</v>
      </c>
      <c r="D147" s="4" t="s">
        <v>101</v>
      </c>
      <c r="E147" s="4">
        <v>618.16999999999996</v>
      </c>
      <c r="F147" s="4">
        <v>28</v>
      </c>
      <c r="G147" s="4">
        <v>28</v>
      </c>
    </row>
    <row r="148" spans="1:7">
      <c r="A148" s="4" t="s">
        <v>393</v>
      </c>
      <c r="B148" s="4" t="s">
        <v>394</v>
      </c>
      <c r="C148" s="4" t="s">
        <v>101</v>
      </c>
      <c r="D148" s="4" t="s">
        <v>101</v>
      </c>
      <c r="E148" s="4">
        <v>156.01</v>
      </c>
      <c r="F148" s="4">
        <v>88</v>
      </c>
      <c r="G148" s="4">
        <v>88</v>
      </c>
    </row>
    <row r="149" spans="1:7">
      <c r="A149" s="4" t="s">
        <v>395</v>
      </c>
      <c r="B149" s="4" t="s">
        <v>396</v>
      </c>
      <c r="C149" s="4" t="s">
        <v>97</v>
      </c>
      <c r="D149" s="4" t="s">
        <v>97</v>
      </c>
      <c r="E149" s="4">
        <v>515.30999999999995</v>
      </c>
      <c r="F149" s="4">
        <v>55</v>
      </c>
      <c r="G149" s="4">
        <v>55</v>
      </c>
    </row>
    <row r="150" spans="1:7">
      <c r="A150" s="4" t="s">
        <v>397</v>
      </c>
      <c r="B150" s="4" t="s">
        <v>398</v>
      </c>
      <c r="C150" s="4" t="s">
        <v>114</v>
      </c>
      <c r="D150" s="4" t="s">
        <v>114</v>
      </c>
      <c r="E150" s="4">
        <v>696.43</v>
      </c>
      <c r="F150" s="4">
        <v>53</v>
      </c>
      <c r="G150" s="4">
        <v>53</v>
      </c>
    </row>
    <row r="151" spans="1:7">
      <c r="A151" s="4" t="s">
        <v>399</v>
      </c>
      <c r="B151" s="4" t="s">
        <v>400</v>
      </c>
      <c r="C151" s="4" t="s">
        <v>101</v>
      </c>
      <c r="D151" s="4" t="s">
        <v>101</v>
      </c>
      <c r="E151" s="4">
        <v>179.42</v>
      </c>
      <c r="F151" s="4">
        <v>43</v>
      </c>
      <c r="G151" s="4">
        <v>43</v>
      </c>
    </row>
    <row r="152" spans="1:7">
      <c r="A152" s="4" t="s">
        <v>401</v>
      </c>
      <c r="B152" s="4" t="s">
        <v>402</v>
      </c>
      <c r="C152" s="4" t="s">
        <v>156</v>
      </c>
      <c r="D152" s="4" t="s">
        <v>156</v>
      </c>
      <c r="E152" s="4">
        <v>129.47999999999999</v>
      </c>
      <c r="F152" s="4">
        <v>94</v>
      </c>
      <c r="G152" s="4">
        <v>94</v>
      </c>
    </row>
    <row r="153" spans="1:7">
      <c r="A153" s="4" t="s">
        <v>403</v>
      </c>
      <c r="B153" s="4" t="s">
        <v>404</v>
      </c>
      <c r="C153" s="4" t="s">
        <v>89</v>
      </c>
      <c r="D153" s="4" t="s">
        <v>89</v>
      </c>
      <c r="E153" s="4">
        <v>447.07</v>
      </c>
      <c r="F153" s="4">
        <v>45</v>
      </c>
      <c r="G153" s="4">
        <v>45</v>
      </c>
    </row>
    <row r="154" spans="1:7">
      <c r="A154" s="4" t="s">
        <v>405</v>
      </c>
      <c r="B154" s="4" t="s">
        <v>406</v>
      </c>
      <c r="C154" s="4" t="s">
        <v>156</v>
      </c>
      <c r="D154" s="4" t="s">
        <v>156</v>
      </c>
      <c r="E154" s="4">
        <v>223.62</v>
      </c>
      <c r="F154" s="4">
        <v>71</v>
      </c>
      <c r="G154" s="4">
        <v>71</v>
      </c>
    </row>
    <row r="155" spans="1:7">
      <c r="A155" s="4" t="s">
        <v>407</v>
      </c>
      <c r="B155" s="4" t="s">
        <v>408</v>
      </c>
      <c r="C155" s="4" t="s">
        <v>101</v>
      </c>
      <c r="D155" s="4" t="s">
        <v>101</v>
      </c>
      <c r="E155" s="4">
        <v>183.53</v>
      </c>
      <c r="F155" s="4">
        <v>91</v>
      </c>
      <c r="G155" s="4">
        <v>91</v>
      </c>
    </row>
    <row r="156" spans="1:7">
      <c r="A156" s="4" t="s">
        <v>409</v>
      </c>
      <c r="B156" s="4" t="s">
        <v>410</v>
      </c>
      <c r="C156" s="4" t="s">
        <v>156</v>
      </c>
      <c r="D156" s="4" t="s">
        <v>156</v>
      </c>
      <c r="E156" s="4">
        <v>183.46</v>
      </c>
      <c r="F156" s="4">
        <v>21</v>
      </c>
      <c r="G156" s="4">
        <v>21</v>
      </c>
    </row>
    <row r="157" spans="1:7">
      <c r="A157" s="4" t="s">
        <v>411</v>
      </c>
      <c r="B157" s="4" t="s">
        <v>412</v>
      </c>
      <c r="C157" s="4" t="s">
        <v>89</v>
      </c>
      <c r="D157" s="4" t="s">
        <v>89</v>
      </c>
      <c r="E157" s="4">
        <v>516.53</v>
      </c>
      <c r="F157" s="4">
        <v>8</v>
      </c>
      <c r="G157" s="4">
        <v>8</v>
      </c>
    </row>
    <row r="158" spans="1:7">
      <c r="A158" s="4" t="s">
        <v>413</v>
      </c>
      <c r="B158" s="4" t="s">
        <v>414</v>
      </c>
      <c r="C158" s="4" t="s">
        <v>97</v>
      </c>
      <c r="D158" s="4" t="s">
        <v>97</v>
      </c>
      <c r="E158" s="4">
        <v>87.03</v>
      </c>
      <c r="F158" s="4">
        <v>59</v>
      </c>
      <c r="G158" s="4">
        <v>59</v>
      </c>
    </row>
    <row r="159" spans="1:7">
      <c r="A159" s="4" t="s">
        <v>415</v>
      </c>
      <c r="B159" s="4" t="s">
        <v>416</v>
      </c>
      <c r="C159" s="4" t="s">
        <v>89</v>
      </c>
      <c r="D159" s="4" t="s">
        <v>89</v>
      </c>
      <c r="E159" s="4">
        <v>685.79</v>
      </c>
      <c r="F159" s="4">
        <v>41</v>
      </c>
      <c r="G159" s="4">
        <v>41</v>
      </c>
    </row>
    <row r="160" spans="1:7">
      <c r="A160" s="4" t="s">
        <v>417</v>
      </c>
      <c r="B160" s="4" t="s">
        <v>418</v>
      </c>
      <c r="C160" s="4" t="s">
        <v>101</v>
      </c>
      <c r="D160" s="4" t="s">
        <v>101</v>
      </c>
      <c r="E160" s="4">
        <v>729.48</v>
      </c>
      <c r="F160" s="4">
        <v>53</v>
      </c>
      <c r="G160" s="4">
        <v>53</v>
      </c>
    </row>
    <row r="161" spans="1:7">
      <c r="A161" s="4" t="s">
        <v>419</v>
      </c>
      <c r="B161" s="4" t="s">
        <v>420</v>
      </c>
      <c r="C161" s="4" t="s">
        <v>97</v>
      </c>
      <c r="D161" s="4" t="s">
        <v>97</v>
      </c>
      <c r="E161" s="4">
        <v>597.36</v>
      </c>
      <c r="F161" s="4">
        <v>97</v>
      </c>
      <c r="G161" s="4">
        <v>97</v>
      </c>
    </row>
    <row r="162" spans="1:7">
      <c r="A162" s="4" t="s">
        <v>421</v>
      </c>
      <c r="B162" s="4" t="s">
        <v>422</v>
      </c>
      <c r="C162" s="4" t="s">
        <v>156</v>
      </c>
      <c r="D162" s="4" t="s">
        <v>156</v>
      </c>
      <c r="E162" s="4">
        <v>529.05999999999995</v>
      </c>
      <c r="F162" s="4">
        <v>93</v>
      </c>
      <c r="G162" s="4">
        <v>93</v>
      </c>
    </row>
    <row r="163" spans="1:7">
      <c r="A163" s="4" t="s">
        <v>423</v>
      </c>
      <c r="B163" s="4" t="s">
        <v>424</v>
      </c>
      <c r="C163" s="4" t="s">
        <v>89</v>
      </c>
      <c r="D163" s="4" t="s">
        <v>89</v>
      </c>
      <c r="E163" s="4">
        <v>558.6</v>
      </c>
      <c r="F163" s="4">
        <v>83</v>
      </c>
      <c r="G163" s="4">
        <v>83</v>
      </c>
    </row>
    <row r="164" spans="1:7">
      <c r="A164" s="4" t="s">
        <v>425</v>
      </c>
      <c r="B164" s="4" t="s">
        <v>426</v>
      </c>
      <c r="C164" s="4" t="s">
        <v>156</v>
      </c>
      <c r="D164" s="4" t="s">
        <v>156</v>
      </c>
      <c r="E164" s="4">
        <v>154.30000000000001</v>
      </c>
      <c r="F164" s="4">
        <v>51</v>
      </c>
      <c r="G164" s="4">
        <v>51</v>
      </c>
    </row>
    <row r="165" spans="1:7">
      <c r="A165" s="4" t="s">
        <v>427</v>
      </c>
      <c r="B165" s="4" t="s">
        <v>428</v>
      </c>
      <c r="C165" s="4" t="s">
        <v>89</v>
      </c>
      <c r="D165" s="4" t="s">
        <v>89</v>
      </c>
      <c r="E165" s="4">
        <v>458.38</v>
      </c>
      <c r="F165" s="4">
        <v>64</v>
      </c>
      <c r="G165" s="4">
        <v>64</v>
      </c>
    </row>
    <row r="166" spans="1:7">
      <c r="A166" s="4" t="s">
        <v>429</v>
      </c>
      <c r="B166" s="4" t="s">
        <v>430</v>
      </c>
      <c r="C166" s="4" t="s">
        <v>101</v>
      </c>
      <c r="D166" s="4" t="s">
        <v>101</v>
      </c>
      <c r="E166" s="4">
        <v>297.58</v>
      </c>
      <c r="F166" s="4">
        <v>60</v>
      </c>
      <c r="G166" s="4">
        <v>60</v>
      </c>
    </row>
    <row r="167" spans="1:7">
      <c r="A167" s="4" t="s">
        <v>431</v>
      </c>
      <c r="B167" s="4" t="s">
        <v>432</v>
      </c>
      <c r="C167" s="4" t="s">
        <v>156</v>
      </c>
      <c r="D167" s="4" t="s">
        <v>156</v>
      </c>
      <c r="E167" s="4">
        <v>579.45000000000005</v>
      </c>
      <c r="F167" s="4">
        <v>66</v>
      </c>
      <c r="G167" s="4">
        <v>66</v>
      </c>
    </row>
    <row r="168" spans="1:7">
      <c r="A168" s="4" t="s">
        <v>433</v>
      </c>
      <c r="B168" s="4" t="s">
        <v>434</v>
      </c>
      <c r="C168" s="4" t="s">
        <v>97</v>
      </c>
      <c r="D168" s="4" t="s">
        <v>97</v>
      </c>
      <c r="E168" s="4">
        <v>182.71</v>
      </c>
      <c r="F168" s="4">
        <v>62</v>
      </c>
      <c r="G168" s="4">
        <v>62</v>
      </c>
    </row>
    <row r="169" spans="1:7">
      <c r="A169" s="4" t="s">
        <v>435</v>
      </c>
      <c r="B169" s="4" t="s">
        <v>436</v>
      </c>
      <c r="C169" s="4" t="s">
        <v>89</v>
      </c>
      <c r="D169" s="4" t="s">
        <v>89</v>
      </c>
      <c r="E169" s="4">
        <v>119.27</v>
      </c>
      <c r="F169" s="4">
        <v>22</v>
      </c>
      <c r="G169" s="4">
        <v>22</v>
      </c>
    </row>
    <row r="170" spans="1:7">
      <c r="A170" s="4" t="s">
        <v>437</v>
      </c>
      <c r="B170" s="4" t="s">
        <v>438</v>
      </c>
      <c r="C170" s="4" t="s">
        <v>114</v>
      </c>
      <c r="D170" s="4" t="s">
        <v>114</v>
      </c>
      <c r="E170" s="4">
        <v>60.27</v>
      </c>
      <c r="F170" s="4">
        <v>33</v>
      </c>
      <c r="G170" s="4">
        <v>33</v>
      </c>
    </row>
    <row r="171" spans="1:7">
      <c r="A171" s="4" t="s">
        <v>439</v>
      </c>
      <c r="B171" s="4" t="s">
        <v>440</v>
      </c>
      <c r="C171" s="4" t="s">
        <v>156</v>
      </c>
      <c r="D171" s="4" t="s">
        <v>156</v>
      </c>
      <c r="E171" s="4">
        <v>200.96</v>
      </c>
      <c r="F171" s="4">
        <v>97</v>
      </c>
      <c r="G171" s="4">
        <v>97</v>
      </c>
    </row>
    <row r="172" spans="1:7">
      <c r="A172" s="4" t="s">
        <v>441</v>
      </c>
      <c r="B172" s="4" t="s">
        <v>442</v>
      </c>
      <c r="C172" s="4" t="s">
        <v>114</v>
      </c>
      <c r="D172" s="4" t="s">
        <v>114</v>
      </c>
      <c r="E172" s="4">
        <v>75.959999999999994</v>
      </c>
      <c r="F172" s="4">
        <v>51</v>
      </c>
      <c r="G172" s="4">
        <v>51</v>
      </c>
    </row>
    <row r="173" spans="1:7">
      <c r="A173" s="4" t="s">
        <v>443</v>
      </c>
      <c r="B173" s="4" t="s">
        <v>444</v>
      </c>
      <c r="C173" s="4" t="s">
        <v>89</v>
      </c>
      <c r="D173" s="4" t="s">
        <v>89</v>
      </c>
      <c r="E173" s="4">
        <v>834.87</v>
      </c>
      <c r="F173" s="4">
        <v>62</v>
      </c>
      <c r="G173" s="4">
        <v>62</v>
      </c>
    </row>
    <row r="174" spans="1:7">
      <c r="A174" s="4" t="s">
        <v>445</v>
      </c>
      <c r="B174" s="4" t="s">
        <v>446</v>
      </c>
      <c r="C174" s="4" t="s">
        <v>97</v>
      </c>
      <c r="D174" s="4" t="s">
        <v>97</v>
      </c>
      <c r="E174" s="4">
        <v>798.81</v>
      </c>
      <c r="F174" s="4">
        <v>69</v>
      </c>
      <c r="G174" s="4">
        <v>69</v>
      </c>
    </row>
    <row r="175" spans="1:7">
      <c r="A175" s="4" t="s">
        <v>447</v>
      </c>
      <c r="B175" s="4" t="s">
        <v>448</v>
      </c>
      <c r="C175" s="4" t="s">
        <v>89</v>
      </c>
      <c r="D175" s="4" t="s">
        <v>89</v>
      </c>
      <c r="E175" s="4">
        <v>107.67</v>
      </c>
      <c r="F175" s="4">
        <v>21</v>
      </c>
      <c r="G175" s="4">
        <v>21</v>
      </c>
    </row>
    <row r="176" spans="1:7">
      <c r="A176" s="4" t="s">
        <v>449</v>
      </c>
      <c r="B176" s="4" t="s">
        <v>450</v>
      </c>
      <c r="C176" s="4" t="s">
        <v>89</v>
      </c>
      <c r="D176" s="4" t="s">
        <v>89</v>
      </c>
      <c r="E176" s="4">
        <v>670.38</v>
      </c>
      <c r="F176" s="4">
        <v>74</v>
      </c>
      <c r="G176" s="4">
        <v>74</v>
      </c>
    </row>
    <row r="177" spans="1:7">
      <c r="A177" s="4" t="s">
        <v>451</v>
      </c>
      <c r="B177" s="4" t="s">
        <v>452</v>
      </c>
      <c r="C177" s="4" t="s">
        <v>97</v>
      </c>
      <c r="D177" s="4" t="s">
        <v>97</v>
      </c>
      <c r="E177" s="4">
        <v>278.58</v>
      </c>
      <c r="F177" s="4">
        <v>-2</v>
      </c>
      <c r="G177" s="4">
        <v>0</v>
      </c>
    </row>
    <row r="178" spans="1:7">
      <c r="A178" s="4" t="s">
        <v>453</v>
      </c>
      <c r="B178" s="4" t="s">
        <v>454</v>
      </c>
      <c r="C178" s="4" t="s">
        <v>97</v>
      </c>
      <c r="D178" s="4" t="s">
        <v>97</v>
      </c>
      <c r="E178" s="4">
        <v>825.88</v>
      </c>
      <c r="F178" s="4">
        <v>28</v>
      </c>
      <c r="G178" s="4">
        <v>28</v>
      </c>
    </row>
    <row r="179" spans="1:7">
      <c r="A179" s="4" t="s">
        <v>455</v>
      </c>
      <c r="B179" s="4" t="s">
        <v>456</v>
      </c>
      <c r="C179" s="4" t="s">
        <v>101</v>
      </c>
      <c r="D179" s="4" t="s">
        <v>101</v>
      </c>
      <c r="E179" s="4">
        <v>747.94</v>
      </c>
      <c r="F179" s="4">
        <v>80</v>
      </c>
      <c r="G179" s="4">
        <v>80</v>
      </c>
    </row>
    <row r="180" spans="1:7">
      <c r="A180" s="4" t="s">
        <v>457</v>
      </c>
      <c r="B180" s="4" t="s">
        <v>458</v>
      </c>
      <c r="C180" s="4" t="s">
        <v>114</v>
      </c>
      <c r="D180" s="4" t="s">
        <v>114</v>
      </c>
      <c r="E180" s="4">
        <v>800.03</v>
      </c>
      <c r="F180" s="4">
        <v>91</v>
      </c>
      <c r="G180" s="4">
        <v>91</v>
      </c>
    </row>
    <row r="181" spans="1:7">
      <c r="A181" s="4" t="s">
        <v>459</v>
      </c>
      <c r="B181" s="4" t="s">
        <v>460</v>
      </c>
      <c r="C181" s="4" t="s">
        <v>89</v>
      </c>
      <c r="D181" s="4" t="s">
        <v>89</v>
      </c>
      <c r="E181" s="4">
        <v>429.74</v>
      </c>
      <c r="F181" s="4">
        <v>65</v>
      </c>
      <c r="G181" s="4">
        <v>65</v>
      </c>
    </row>
    <row r="182" spans="1:7">
      <c r="A182" s="4" t="s">
        <v>461</v>
      </c>
      <c r="B182" s="4" t="s">
        <v>462</v>
      </c>
      <c r="C182" s="4" t="s">
        <v>114</v>
      </c>
      <c r="D182" s="4" t="s">
        <v>114</v>
      </c>
      <c r="E182" s="4">
        <v>363.5</v>
      </c>
      <c r="F182" s="4">
        <v>35</v>
      </c>
      <c r="G182" s="4">
        <v>35</v>
      </c>
    </row>
    <row r="183" spans="1:7">
      <c r="A183" s="4" t="s">
        <v>463</v>
      </c>
      <c r="B183" s="4" t="s">
        <v>464</v>
      </c>
      <c r="C183" s="4" t="s">
        <v>89</v>
      </c>
      <c r="D183" s="4" t="s">
        <v>89</v>
      </c>
      <c r="E183" s="4">
        <v>838.3</v>
      </c>
      <c r="F183" s="4">
        <v>62</v>
      </c>
      <c r="G183" s="4">
        <v>62</v>
      </c>
    </row>
    <row r="184" spans="1:7">
      <c r="A184" s="4" t="s">
        <v>465</v>
      </c>
      <c r="B184" s="4" t="s">
        <v>466</v>
      </c>
      <c r="C184" s="4" t="s">
        <v>101</v>
      </c>
      <c r="D184" s="4" t="s">
        <v>101</v>
      </c>
      <c r="E184" s="4">
        <v>967.51</v>
      </c>
      <c r="F184" s="4">
        <v>-7</v>
      </c>
      <c r="G184" s="4">
        <v>0</v>
      </c>
    </row>
    <row r="185" spans="1:7">
      <c r="A185" s="4" t="s">
        <v>467</v>
      </c>
      <c r="B185" s="4" t="s">
        <v>468</v>
      </c>
      <c r="C185" s="4" t="s">
        <v>97</v>
      </c>
      <c r="D185" s="4" t="s">
        <v>97</v>
      </c>
      <c r="E185" s="4">
        <v>965.71</v>
      </c>
      <c r="F185" s="4">
        <v>15</v>
      </c>
      <c r="G185" s="4">
        <v>15</v>
      </c>
    </row>
    <row r="186" spans="1:7">
      <c r="A186" s="4" t="s">
        <v>469</v>
      </c>
      <c r="B186" s="4" t="s">
        <v>470</v>
      </c>
      <c r="C186" s="4" t="s">
        <v>97</v>
      </c>
      <c r="D186" s="4" t="s">
        <v>97</v>
      </c>
      <c r="E186" s="4">
        <v>392.8</v>
      </c>
      <c r="F186" s="4">
        <v>80</v>
      </c>
      <c r="G186" s="4">
        <v>80</v>
      </c>
    </row>
    <row r="187" spans="1:7">
      <c r="A187" s="4" t="s">
        <v>471</v>
      </c>
      <c r="B187" s="4" t="s">
        <v>472</v>
      </c>
      <c r="C187" s="4" t="s">
        <v>156</v>
      </c>
      <c r="D187" s="4" t="s">
        <v>156</v>
      </c>
      <c r="E187" s="4">
        <v>121.02</v>
      </c>
      <c r="F187" s="4">
        <v>63</v>
      </c>
      <c r="G187" s="4">
        <v>63</v>
      </c>
    </row>
    <row r="188" spans="1:7">
      <c r="A188" s="4" t="s">
        <v>473</v>
      </c>
      <c r="B188" s="4" t="s">
        <v>474</v>
      </c>
      <c r="C188" s="4" t="s">
        <v>89</v>
      </c>
      <c r="D188" s="4" t="s">
        <v>89</v>
      </c>
      <c r="E188" s="4">
        <v>369.8</v>
      </c>
      <c r="F188" s="4">
        <v>75</v>
      </c>
      <c r="G188" s="4">
        <v>75</v>
      </c>
    </row>
    <row r="189" spans="1:7">
      <c r="A189" s="4" t="s">
        <v>475</v>
      </c>
      <c r="B189" s="4" t="s">
        <v>476</v>
      </c>
      <c r="C189" s="4" t="s">
        <v>156</v>
      </c>
      <c r="D189" s="4" t="s">
        <v>156</v>
      </c>
      <c r="E189" s="4">
        <v>68.900000000000006</v>
      </c>
      <c r="F189" s="4">
        <v>48</v>
      </c>
      <c r="G189" s="4">
        <v>48</v>
      </c>
    </row>
    <row r="190" spans="1:7">
      <c r="A190" s="4" t="s">
        <v>477</v>
      </c>
      <c r="B190" s="4" t="s">
        <v>478</v>
      </c>
      <c r="C190" s="4" t="s">
        <v>101</v>
      </c>
      <c r="D190" s="4" t="s">
        <v>101</v>
      </c>
      <c r="E190" s="4">
        <v>130.28</v>
      </c>
      <c r="F190" s="4">
        <v>-9</v>
      </c>
      <c r="G190" s="4">
        <v>0</v>
      </c>
    </row>
    <row r="191" spans="1:7">
      <c r="A191" s="4" t="s">
        <v>479</v>
      </c>
      <c r="B191" s="4" t="s">
        <v>480</v>
      </c>
      <c r="C191" s="4" t="s">
        <v>97</v>
      </c>
      <c r="D191" s="4" t="s">
        <v>97</v>
      </c>
      <c r="E191" s="4">
        <v>825.3</v>
      </c>
      <c r="F191" s="4">
        <v>11</v>
      </c>
      <c r="G191" s="4">
        <v>11</v>
      </c>
    </row>
    <row r="192" spans="1:7">
      <c r="A192" s="4" t="s">
        <v>481</v>
      </c>
      <c r="B192" s="4" t="s">
        <v>482</v>
      </c>
      <c r="C192" s="4" t="s">
        <v>101</v>
      </c>
      <c r="D192" s="4" t="s">
        <v>101</v>
      </c>
      <c r="E192" s="4">
        <v>510.2</v>
      </c>
      <c r="F192" s="4">
        <v>31</v>
      </c>
      <c r="G192" s="4">
        <v>31</v>
      </c>
    </row>
    <row r="193" spans="1:7">
      <c r="A193" s="4" t="s">
        <v>483</v>
      </c>
      <c r="B193" s="4" t="s">
        <v>484</v>
      </c>
      <c r="C193" s="4" t="s">
        <v>114</v>
      </c>
      <c r="D193" s="4" t="s">
        <v>114</v>
      </c>
      <c r="E193" s="4">
        <v>423.57</v>
      </c>
      <c r="F193" s="4">
        <v>96</v>
      </c>
      <c r="G193" s="4">
        <v>96</v>
      </c>
    </row>
    <row r="194" spans="1:7">
      <c r="A194" s="4" t="s">
        <v>485</v>
      </c>
      <c r="B194" s="4" t="s">
        <v>486</v>
      </c>
      <c r="C194" s="4" t="s">
        <v>89</v>
      </c>
      <c r="D194" s="4" t="s">
        <v>89</v>
      </c>
      <c r="E194" s="4">
        <v>582.75</v>
      </c>
      <c r="F194" s="4">
        <v>19</v>
      </c>
      <c r="G194" s="4">
        <v>19</v>
      </c>
    </row>
    <row r="195" spans="1:7">
      <c r="A195" s="4" t="s">
        <v>487</v>
      </c>
      <c r="B195" s="4" t="s">
        <v>488</v>
      </c>
      <c r="C195" s="4" t="s">
        <v>89</v>
      </c>
      <c r="D195" s="4" t="s">
        <v>89</v>
      </c>
      <c r="E195" s="4">
        <v>756.21</v>
      </c>
      <c r="F195" s="4">
        <v>57</v>
      </c>
      <c r="G195" s="4">
        <v>57</v>
      </c>
    </row>
    <row r="196" spans="1:7">
      <c r="A196" s="4" t="s">
        <v>489</v>
      </c>
      <c r="B196" s="4" t="s">
        <v>490</v>
      </c>
      <c r="C196" s="4" t="s">
        <v>89</v>
      </c>
      <c r="D196" s="4" t="s">
        <v>89</v>
      </c>
      <c r="E196" s="4">
        <v>104.9</v>
      </c>
      <c r="F196" s="4">
        <v>48</v>
      </c>
      <c r="G196" s="4">
        <v>48</v>
      </c>
    </row>
    <row r="197" spans="1:7">
      <c r="A197" s="4" t="s">
        <v>491</v>
      </c>
      <c r="B197" s="4" t="s">
        <v>492</v>
      </c>
      <c r="C197" s="4" t="s">
        <v>156</v>
      </c>
      <c r="D197" s="4" t="s">
        <v>156</v>
      </c>
      <c r="E197" s="4">
        <v>288.79000000000002</v>
      </c>
      <c r="F197" s="4">
        <v>50</v>
      </c>
      <c r="G197" s="4">
        <v>50</v>
      </c>
    </row>
    <row r="198" spans="1:7">
      <c r="A198" s="4" t="s">
        <v>493</v>
      </c>
      <c r="B198" s="4" t="s">
        <v>494</v>
      </c>
      <c r="C198" s="4" t="s">
        <v>97</v>
      </c>
      <c r="D198" s="4" t="s">
        <v>97</v>
      </c>
      <c r="E198" s="4">
        <v>341.27</v>
      </c>
      <c r="F198" s="4">
        <v>9</v>
      </c>
      <c r="G198" s="4">
        <v>9</v>
      </c>
    </row>
    <row r="199" spans="1:7">
      <c r="A199" s="4" t="s">
        <v>495</v>
      </c>
      <c r="B199" s="4" t="s">
        <v>496</v>
      </c>
      <c r="C199" s="4" t="s">
        <v>114</v>
      </c>
      <c r="D199" s="4" t="s">
        <v>114</v>
      </c>
      <c r="E199" s="4">
        <v>119.78</v>
      </c>
      <c r="F199" s="4">
        <v>90</v>
      </c>
      <c r="G199" s="4">
        <v>90</v>
      </c>
    </row>
    <row r="200" spans="1:7">
      <c r="A200" s="4" t="s">
        <v>497</v>
      </c>
      <c r="B200" s="4" t="s">
        <v>498</v>
      </c>
      <c r="C200" s="4" t="s">
        <v>89</v>
      </c>
      <c r="D200" s="4" t="s">
        <v>89</v>
      </c>
      <c r="E200" s="4">
        <v>935.99</v>
      </c>
      <c r="F200" s="4">
        <v>5</v>
      </c>
      <c r="G200" s="4">
        <v>5</v>
      </c>
    </row>
    <row r="201" spans="1:7">
      <c r="A201" s="4" t="s">
        <v>499</v>
      </c>
      <c r="B201" s="4" t="s">
        <v>500</v>
      </c>
      <c r="C201" s="4" t="s">
        <v>114</v>
      </c>
      <c r="D201" s="4" t="s">
        <v>114</v>
      </c>
      <c r="E201" s="4">
        <v>137.57</v>
      </c>
      <c r="F201" s="4">
        <v>29</v>
      </c>
      <c r="G201" s="4">
        <v>29</v>
      </c>
    </row>
    <row r="202" spans="1:7">
      <c r="A202" s="4" t="s">
        <v>501</v>
      </c>
      <c r="B202" s="4" t="s">
        <v>502</v>
      </c>
      <c r="C202" s="4" t="s">
        <v>89</v>
      </c>
      <c r="D202" s="4" t="s">
        <v>89</v>
      </c>
      <c r="E202" s="4">
        <v>436.32</v>
      </c>
      <c r="F202" s="4">
        <v>52</v>
      </c>
      <c r="G202" s="4">
        <v>52</v>
      </c>
    </row>
    <row r="203" spans="1:7">
      <c r="A203" s="4" t="s">
        <v>503</v>
      </c>
      <c r="B203" s="4" t="s">
        <v>504</v>
      </c>
      <c r="C203" s="4" t="s">
        <v>156</v>
      </c>
      <c r="D203" s="4" t="s">
        <v>156</v>
      </c>
      <c r="E203" s="4">
        <v>590.45000000000005</v>
      </c>
      <c r="F203" s="4">
        <v>40</v>
      </c>
      <c r="G203" s="4">
        <v>40</v>
      </c>
    </row>
    <row r="204" spans="1:7">
      <c r="A204" s="4" t="s">
        <v>505</v>
      </c>
      <c r="B204" s="4" t="s">
        <v>506</v>
      </c>
      <c r="C204" s="4" t="s">
        <v>97</v>
      </c>
      <c r="D204" s="4" t="s">
        <v>97</v>
      </c>
      <c r="E204" s="4">
        <v>632.98</v>
      </c>
      <c r="F204" s="4">
        <v>39</v>
      </c>
      <c r="G204" s="4">
        <v>39</v>
      </c>
    </row>
    <row r="205" spans="1:7">
      <c r="A205" s="4" t="s">
        <v>507</v>
      </c>
      <c r="B205" s="4" t="s">
        <v>508</v>
      </c>
      <c r="C205" s="4" t="s">
        <v>89</v>
      </c>
      <c r="D205" s="4" t="s">
        <v>89</v>
      </c>
      <c r="E205" s="4">
        <v>667.69</v>
      </c>
      <c r="F205" s="4">
        <v>87</v>
      </c>
      <c r="G205" s="4">
        <v>87</v>
      </c>
    </row>
    <row r="206" spans="1:7">
      <c r="A206" s="4" t="s">
        <v>509</v>
      </c>
      <c r="B206" s="4" t="s">
        <v>510</v>
      </c>
      <c r="C206" s="4" t="s">
        <v>97</v>
      </c>
      <c r="D206" s="4" t="s">
        <v>97</v>
      </c>
      <c r="E206" s="4">
        <v>352.73</v>
      </c>
      <c r="F206" s="4">
        <v>17</v>
      </c>
      <c r="G206" s="4">
        <v>17</v>
      </c>
    </row>
    <row r="207" spans="1:7">
      <c r="A207" s="4" t="s">
        <v>511</v>
      </c>
      <c r="B207" s="4" t="s">
        <v>512</v>
      </c>
      <c r="C207" s="4" t="s">
        <v>114</v>
      </c>
      <c r="D207" s="4" t="s">
        <v>114</v>
      </c>
      <c r="E207" s="4">
        <v>369.53</v>
      </c>
      <c r="F207" s="4">
        <v>27</v>
      </c>
      <c r="G207" s="4">
        <v>27</v>
      </c>
    </row>
    <row r="208" spans="1:7">
      <c r="A208" s="4" t="s">
        <v>513</v>
      </c>
      <c r="B208" s="4" t="s">
        <v>514</v>
      </c>
      <c r="C208" s="4" t="s">
        <v>97</v>
      </c>
      <c r="D208" s="4" t="s">
        <v>97</v>
      </c>
      <c r="E208" s="4">
        <v>72.599999999999994</v>
      </c>
      <c r="F208" s="4">
        <v>68</v>
      </c>
      <c r="G208" s="4">
        <v>68</v>
      </c>
    </row>
    <row r="209" spans="1:7">
      <c r="A209" s="4" t="s">
        <v>515</v>
      </c>
      <c r="B209" s="4" t="s">
        <v>516</v>
      </c>
      <c r="C209" s="4" t="s">
        <v>89</v>
      </c>
      <c r="D209" s="4" t="s">
        <v>89</v>
      </c>
      <c r="E209" s="4">
        <v>280.36</v>
      </c>
      <c r="F209" s="4">
        <v>51</v>
      </c>
      <c r="G209" s="4">
        <v>51</v>
      </c>
    </row>
    <row r="210" spans="1:7">
      <c r="A210" s="4" t="s">
        <v>517</v>
      </c>
      <c r="B210" s="4" t="s">
        <v>518</v>
      </c>
      <c r="C210" s="4" t="s">
        <v>97</v>
      </c>
      <c r="D210" s="4" t="s">
        <v>97</v>
      </c>
      <c r="E210" s="4">
        <v>771.91</v>
      </c>
      <c r="F210" s="4">
        <v>12</v>
      </c>
      <c r="G210" s="4">
        <v>12</v>
      </c>
    </row>
    <row r="211" spans="1:7">
      <c r="A211" s="4" t="s">
        <v>519</v>
      </c>
      <c r="B211" s="4" t="s">
        <v>520</v>
      </c>
      <c r="C211" s="4" t="s">
        <v>156</v>
      </c>
      <c r="D211" s="4" t="s">
        <v>156</v>
      </c>
      <c r="E211" s="4">
        <v>827.87</v>
      </c>
      <c r="F211" s="4">
        <v>-4</v>
      </c>
      <c r="G211" s="4">
        <v>0</v>
      </c>
    </row>
    <row r="212" spans="1:7">
      <c r="A212" s="4" t="s">
        <v>521</v>
      </c>
      <c r="B212" s="4" t="s">
        <v>522</v>
      </c>
      <c r="C212" s="4" t="s">
        <v>156</v>
      </c>
      <c r="D212" s="4" t="s">
        <v>156</v>
      </c>
      <c r="E212" s="4">
        <v>538.16999999999996</v>
      </c>
      <c r="F212" s="4">
        <v>84</v>
      </c>
      <c r="G212" s="4">
        <v>84</v>
      </c>
    </row>
    <row r="213" spans="1:7">
      <c r="A213" s="4" t="s">
        <v>523</v>
      </c>
      <c r="B213" s="4" t="s">
        <v>524</v>
      </c>
      <c r="C213" s="4" t="s">
        <v>101</v>
      </c>
      <c r="D213" s="4" t="s">
        <v>101</v>
      </c>
      <c r="E213" s="4">
        <v>997</v>
      </c>
      <c r="F213" s="4">
        <v>18</v>
      </c>
      <c r="G213" s="4">
        <v>18</v>
      </c>
    </row>
    <row r="214" spans="1:7">
      <c r="A214" s="4" t="s">
        <v>525</v>
      </c>
      <c r="B214" s="4" t="s">
        <v>526</v>
      </c>
      <c r="C214" s="4" t="s">
        <v>97</v>
      </c>
      <c r="D214" s="4" t="s">
        <v>97</v>
      </c>
      <c r="E214" s="4">
        <v>999.58</v>
      </c>
      <c r="F214" s="4">
        <v>18</v>
      </c>
      <c r="G214" s="4">
        <v>18</v>
      </c>
    </row>
    <row r="215" spans="1:7">
      <c r="A215" s="4" t="s">
        <v>527</v>
      </c>
      <c r="B215" s="4" t="s">
        <v>528</v>
      </c>
      <c r="C215" s="4" t="s">
        <v>114</v>
      </c>
      <c r="D215" s="4" t="s">
        <v>114</v>
      </c>
      <c r="E215" s="4">
        <v>61.74</v>
      </c>
      <c r="F215" s="4">
        <v>71</v>
      </c>
      <c r="G215" s="4">
        <v>71</v>
      </c>
    </row>
    <row r="216" spans="1:7">
      <c r="A216" s="4" t="s">
        <v>529</v>
      </c>
      <c r="B216" s="4" t="s">
        <v>530</v>
      </c>
      <c r="C216" s="4" t="s">
        <v>89</v>
      </c>
      <c r="D216" s="4" t="s">
        <v>89</v>
      </c>
      <c r="E216" s="4">
        <v>199.87</v>
      </c>
      <c r="F216" s="4">
        <v>37</v>
      </c>
      <c r="G216" s="4">
        <v>37</v>
      </c>
    </row>
    <row r="217" spans="1:7">
      <c r="A217" s="4" t="s">
        <v>531</v>
      </c>
      <c r="B217" s="4" t="s">
        <v>532</v>
      </c>
      <c r="C217" s="4" t="s">
        <v>89</v>
      </c>
      <c r="D217" s="4" t="s">
        <v>89</v>
      </c>
      <c r="E217" s="4">
        <v>106.32</v>
      </c>
      <c r="F217" s="4">
        <v>64</v>
      </c>
      <c r="G217" s="4">
        <v>64</v>
      </c>
    </row>
    <row r="218" spans="1:7">
      <c r="A218" s="4" t="s">
        <v>533</v>
      </c>
      <c r="B218" s="4" t="s">
        <v>534</v>
      </c>
      <c r="C218" s="4" t="s">
        <v>97</v>
      </c>
      <c r="D218" s="4" t="s">
        <v>97</v>
      </c>
      <c r="E218" s="4">
        <v>328.43</v>
      </c>
      <c r="F218" s="4">
        <v>71</v>
      </c>
      <c r="G218" s="4">
        <v>71</v>
      </c>
    </row>
    <row r="219" spans="1:7">
      <c r="A219" s="4" t="s">
        <v>535</v>
      </c>
      <c r="B219" s="4" t="s">
        <v>536</v>
      </c>
      <c r="C219" s="4" t="s">
        <v>89</v>
      </c>
      <c r="D219" s="4" t="s">
        <v>89</v>
      </c>
      <c r="E219" s="4">
        <v>737.53</v>
      </c>
      <c r="F219" s="4">
        <v>-5</v>
      </c>
      <c r="G219" s="4">
        <v>0</v>
      </c>
    </row>
    <row r="220" spans="1:7">
      <c r="A220" s="4" t="s">
        <v>537</v>
      </c>
      <c r="B220" s="4" t="s">
        <v>538</v>
      </c>
      <c r="C220" s="4" t="s">
        <v>89</v>
      </c>
      <c r="D220" s="4" t="s">
        <v>89</v>
      </c>
      <c r="E220" s="4">
        <v>94.08</v>
      </c>
      <c r="F220" s="4">
        <v>70</v>
      </c>
      <c r="G220" s="4">
        <v>70</v>
      </c>
    </row>
    <row r="221" spans="1:7">
      <c r="A221" s="4" t="s">
        <v>539</v>
      </c>
      <c r="B221" s="4" t="s">
        <v>540</v>
      </c>
      <c r="C221" s="4" t="s">
        <v>114</v>
      </c>
      <c r="D221" s="4" t="s">
        <v>114</v>
      </c>
      <c r="E221" s="4">
        <v>779.68</v>
      </c>
      <c r="F221" s="4">
        <v>85</v>
      </c>
      <c r="G221" s="4">
        <v>85</v>
      </c>
    </row>
    <row r="222" spans="1:7">
      <c r="A222" s="4" t="s">
        <v>541</v>
      </c>
      <c r="B222" s="4" t="s">
        <v>542</v>
      </c>
      <c r="C222" s="4" t="s">
        <v>89</v>
      </c>
      <c r="D222" s="4" t="s">
        <v>89</v>
      </c>
      <c r="E222" s="4">
        <v>236.65</v>
      </c>
      <c r="F222" s="4">
        <v>27</v>
      </c>
      <c r="G222" s="4">
        <v>27</v>
      </c>
    </row>
    <row r="223" spans="1:7">
      <c r="A223" s="4" t="s">
        <v>543</v>
      </c>
      <c r="B223" s="4" t="s">
        <v>544</v>
      </c>
      <c r="C223" s="4" t="s">
        <v>89</v>
      </c>
      <c r="D223" s="4" t="s">
        <v>89</v>
      </c>
      <c r="E223" s="4">
        <v>200.81</v>
      </c>
      <c r="F223" s="4">
        <v>31</v>
      </c>
      <c r="G223" s="4">
        <v>31</v>
      </c>
    </row>
    <row r="224" spans="1:7">
      <c r="A224" s="4" t="s">
        <v>545</v>
      </c>
      <c r="B224" s="4" t="s">
        <v>546</v>
      </c>
      <c r="C224" s="4" t="s">
        <v>97</v>
      </c>
      <c r="D224" s="4" t="s">
        <v>97</v>
      </c>
      <c r="E224" s="4">
        <v>457.29</v>
      </c>
      <c r="F224" s="4">
        <v>84</v>
      </c>
      <c r="G224" s="4">
        <v>84</v>
      </c>
    </row>
    <row r="225" spans="1:7">
      <c r="A225" s="4" t="s">
        <v>547</v>
      </c>
      <c r="B225" s="4" t="s">
        <v>548</v>
      </c>
      <c r="C225" s="4" t="s">
        <v>89</v>
      </c>
      <c r="D225" s="4" t="s">
        <v>89</v>
      </c>
      <c r="E225" s="4">
        <v>584.57000000000005</v>
      </c>
      <c r="F225" s="4">
        <v>57</v>
      </c>
      <c r="G225" s="4">
        <v>57</v>
      </c>
    </row>
    <row r="226" spans="1:7">
      <c r="A226" s="4" t="s">
        <v>549</v>
      </c>
      <c r="B226" s="4" t="s">
        <v>550</v>
      </c>
      <c r="C226" s="4" t="s">
        <v>89</v>
      </c>
      <c r="D226" s="4" t="s">
        <v>89</v>
      </c>
      <c r="E226" s="4">
        <v>355.77</v>
      </c>
      <c r="F226" s="4">
        <v>91</v>
      </c>
      <c r="G226" s="4">
        <v>91</v>
      </c>
    </row>
    <row r="227" spans="1:7">
      <c r="A227" s="4" t="s">
        <v>551</v>
      </c>
      <c r="B227" s="4" t="s">
        <v>552</v>
      </c>
      <c r="C227" s="4" t="s">
        <v>114</v>
      </c>
      <c r="D227" s="4" t="s">
        <v>114</v>
      </c>
      <c r="E227" s="4">
        <v>352.16</v>
      </c>
      <c r="F227" s="4">
        <v>10</v>
      </c>
      <c r="G227" s="4">
        <v>10</v>
      </c>
    </row>
    <row r="228" spans="1:7">
      <c r="A228" s="4" t="s">
        <v>553</v>
      </c>
      <c r="B228" s="4" t="s">
        <v>554</v>
      </c>
      <c r="C228" s="4" t="s">
        <v>156</v>
      </c>
      <c r="D228" s="4" t="s">
        <v>156</v>
      </c>
      <c r="E228" s="4">
        <v>223.48</v>
      </c>
      <c r="F228" s="4">
        <v>31</v>
      </c>
      <c r="G228" s="4">
        <v>31</v>
      </c>
    </row>
    <row r="229" spans="1:7">
      <c r="A229" s="4" t="s">
        <v>555</v>
      </c>
      <c r="B229" s="4" t="s">
        <v>556</v>
      </c>
      <c r="C229" s="4" t="s">
        <v>114</v>
      </c>
      <c r="D229" s="4" t="s">
        <v>114</v>
      </c>
      <c r="E229" s="4">
        <v>780.48</v>
      </c>
      <c r="F229" s="4">
        <v>57</v>
      </c>
      <c r="G229" s="4">
        <v>57</v>
      </c>
    </row>
    <row r="230" spans="1:7">
      <c r="A230" s="4" t="s">
        <v>557</v>
      </c>
      <c r="B230" s="4" t="s">
        <v>558</v>
      </c>
      <c r="C230" s="4" t="s">
        <v>156</v>
      </c>
      <c r="D230" s="4" t="s">
        <v>156</v>
      </c>
      <c r="E230" s="4">
        <v>353.1</v>
      </c>
      <c r="F230" s="4">
        <v>84</v>
      </c>
      <c r="G230" s="4">
        <v>84</v>
      </c>
    </row>
    <row r="231" spans="1:7">
      <c r="A231" s="4" t="s">
        <v>559</v>
      </c>
      <c r="B231" s="4" t="s">
        <v>560</v>
      </c>
      <c r="C231" s="4" t="s">
        <v>114</v>
      </c>
      <c r="D231" s="4" t="s">
        <v>114</v>
      </c>
      <c r="E231" s="4">
        <v>919.1</v>
      </c>
      <c r="F231" s="4">
        <v>62</v>
      </c>
      <c r="G231" s="4">
        <v>62</v>
      </c>
    </row>
    <row r="232" spans="1:7">
      <c r="A232" s="4" t="s">
        <v>561</v>
      </c>
      <c r="B232" s="4" t="s">
        <v>562</v>
      </c>
      <c r="C232" s="4" t="s">
        <v>97</v>
      </c>
      <c r="D232" s="4" t="s">
        <v>97</v>
      </c>
      <c r="E232" s="4">
        <v>411.71</v>
      </c>
      <c r="F232" s="4">
        <v>97</v>
      </c>
      <c r="G232" s="4">
        <v>97</v>
      </c>
    </row>
    <row r="233" spans="1:7">
      <c r="A233" s="4" t="s">
        <v>563</v>
      </c>
      <c r="B233" s="4" t="s">
        <v>564</v>
      </c>
      <c r="C233" s="4" t="s">
        <v>156</v>
      </c>
      <c r="D233" s="4" t="s">
        <v>156</v>
      </c>
      <c r="E233" s="4">
        <v>933.06</v>
      </c>
      <c r="F233" s="4">
        <v>81</v>
      </c>
      <c r="G233" s="4">
        <v>81</v>
      </c>
    </row>
    <row r="234" spans="1:7">
      <c r="A234" s="4" t="s">
        <v>565</v>
      </c>
      <c r="B234" s="4" t="s">
        <v>566</v>
      </c>
      <c r="C234" s="4" t="s">
        <v>114</v>
      </c>
      <c r="D234" s="4" t="s">
        <v>114</v>
      </c>
      <c r="E234" s="4">
        <v>126.73</v>
      </c>
      <c r="F234" s="4">
        <v>18</v>
      </c>
      <c r="G234" s="4">
        <v>18</v>
      </c>
    </row>
    <row r="235" spans="1:7">
      <c r="A235" s="4" t="s">
        <v>567</v>
      </c>
      <c r="B235" s="4" t="s">
        <v>568</v>
      </c>
      <c r="C235" s="4" t="s">
        <v>97</v>
      </c>
      <c r="D235" s="4" t="s">
        <v>97</v>
      </c>
      <c r="E235" s="4">
        <v>321.52999999999997</v>
      </c>
      <c r="F235" s="4">
        <v>38</v>
      </c>
      <c r="G235" s="4">
        <v>38</v>
      </c>
    </row>
    <row r="236" spans="1:7">
      <c r="A236" s="4" t="s">
        <v>569</v>
      </c>
      <c r="B236" s="4" t="s">
        <v>570</v>
      </c>
      <c r="C236" s="4" t="s">
        <v>156</v>
      </c>
      <c r="D236" s="4" t="s">
        <v>156</v>
      </c>
      <c r="E236" s="4">
        <v>609.57000000000005</v>
      </c>
      <c r="F236" s="4">
        <v>52</v>
      </c>
      <c r="G236" s="4">
        <v>52</v>
      </c>
    </row>
    <row r="237" spans="1:7">
      <c r="A237" s="4" t="s">
        <v>571</v>
      </c>
      <c r="B237" s="4" t="s">
        <v>572</v>
      </c>
      <c r="C237" s="4" t="s">
        <v>97</v>
      </c>
      <c r="D237" s="4" t="s">
        <v>97</v>
      </c>
      <c r="E237" s="4">
        <v>656.77</v>
      </c>
      <c r="F237" s="4">
        <v>5</v>
      </c>
      <c r="G237" s="4">
        <v>5</v>
      </c>
    </row>
    <row r="238" spans="1:7">
      <c r="A238" s="4" t="s">
        <v>573</v>
      </c>
      <c r="B238" s="4" t="s">
        <v>574</v>
      </c>
      <c r="C238" s="4" t="s">
        <v>101</v>
      </c>
      <c r="D238" s="4" t="s">
        <v>101</v>
      </c>
      <c r="E238" s="4">
        <v>560.67999999999995</v>
      </c>
      <c r="F238" s="4">
        <v>38</v>
      </c>
      <c r="G238" s="4">
        <v>38</v>
      </c>
    </row>
    <row r="239" spans="1:7">
      <c r="A239" s="4" t="s">
        <v>575</v>
      </c>
      <c r="B239" s="4" t="s">
        <v>576</v>
      </c>
      <c r="C239" s="4" t="s">
        <v>156</v>
      </c>
      <c r="D239" s="4" t="s">
        <v>156</v>
      </c>
      <c r="E239" s="4">
        <v>453.13</v>
      </c>
      <c r="F239" s="4">
        <v>96</v>
      </c>
      <c r="G239" s="4">
        <v>96</v>
      </c>
    </row>
    <row r="240" spans="1:7">
      <c r="A240" s="4" t="s">
        <v>577</v>
      </c>
      <c r="B240" s="4" t="s">
        <v>578</v>
      </c>
      <c r="C240" s="4" t="s">
        <v>89</v>
      </c>
      <c r="D240" s="4" t="s">
        <v>89</v>
      </c>
      <c r="E240" s="4">
        <v>485.92</v>
      </c>
      <c r="F240" s="4">
        <v>49</v>
      </c>
      <c r="G240" s="4">
        <v>49</v>
      </c>
    </row>
    <row r="241" spans="1:7">
      <c r="A241" s="4" t="s">
        <v>579</v>
      </c>
      <c r="B241" s="4" t="s">
        <v>580</v>
      </c>
      <c r="C241" s="4" t="s">
        <v>114</v>
      </c>
      <c r="D241" s="4" t="s">
        <v>114</v>
      </c>
      <c r="E241" s="4">
        <v>187.02</v>
      </c>
      <c r="F241" s="4">
        <v>88</v>
      </c>
      <c r="G241" s="4">
        <v>88</v>
      </c>
    </row>
    <row r="242" spans="1:7">
      <c r="A242" s="4" t="s">
        <v>581</v>
      </c>
      <c r="B242" s="4" t="s">
        <v>582</v>
      </c>
      <c r="C242" s="4" t="s">
        <v>114</v>
      </c>
      <c r="D242" s="4" t="s">
        <v>114</v>
      </c>
      <c r="E242" s="4">
        <v>946.65</v>
      </c>
      <c r="F242" s="4">
        <v>40</v>
      </c>
      <c r="G242" s="4">
        <v>40</v>
      </c>
    </row>
    <row r="243" spans="1:7">
      <c r="A243" s="4" t="s">
        <v>583</v>
      </c>
      <c r="B243" s="4" t="s">
        <v>584</v>
      </c>
      <c r="C243" s="4" t="s">
        <v>89</v>
      </c>
      <c r="D243" s="4" t="s">
        <v>89</v>
      </c>
      <c r="E243" s="4">
        <v>915.71</v>
      </c>
      <c r="F243" s="4">
        <v>75</v>
      </c>
      <c r="G243" s="4">
        <v>75</v>
      </c>
    </row>
    <row r="244" spans="1:7">
      <c r="A244" s="4" t="s">
        <v>585</v>
      </c>
      <c r="B244" s="4" t="s">
        <v>586</v>
      </c>
      <c r="C244" s="4" t="s">
        <v>89</v>
      </c>
      <c r="D244" s="4" t="s">
        <v>89</v>
      </c>
      <c r="E244" s="4">
        <v>232.59</v>
      </c>
      <c r="F244" s="4">
        <v>6</v>
      </c>
      <c r="G244" s="4">
        <v>6</v>
      </c>
    </row>
    <row r="245" spans="1:7">
      <c r="A245" s="4" t="s">
        <v>587</v>
      </c>
      <c r="B245" s="4" t="s">
        <v>588</v>
      </c>
      <c r="C245" s="4" t="s">
        <v>101</v>
      </c>
      <c r="D245" s="4" t="s">
        <v>101</v>
      </c>
      <c r="E245" s="4">
        <v>164.48</v>
      </c>
      <c r="F245" s="4">
        <v>90</v>
      </c>
      <c r="G245" s="4">
        <v>90</v>
      </c>
    </row>
    <row r="246" spans="1:7">
      <c r="A246" s="4" t="s">
        <v>589</v>
      </c>
      <c r="B246" s="4" t="s">
        <v>590</v>
      </c>
      <c r="C246" s="4" t="s">
        <v>89</v>
      </c>
      <c r="D246" s="4" t="s">
        <v>89</v>
      </c>
      <c r="E246" s="4">
        <v>124.29</v>
      </c>
      <c r="F246" s="4">
        <v>37</v>
      </c>
      <c r="G246" s="4">
        <v>37</v>
      </c>
    </row>
    <row r="247" spans="1:7">
      <c r="A247" s="4" t="s">
        <v>591</v>
      </c>
      <c r="B247" s="4" t="s">
        <v>592</v>
      </c>
      <c r="C247" s="4" t="s">
        <v>156</v>
      </c>
      <c r="D247" s="4" t="s">
        <v>156</v>
      </c>
      <c r="E247" s="4">
        <v>285.76</v>
      </c>
      <c r="F247" s="4">
        <v>10</v>
      </c>
      <c r="G247" s="4">
        <v>10</v>
      </c>
    </row>
    <row r="248" spans="1:7">
      <c r="A248" s="4" t="s">
        <v>593</v>
      </c>
      <c r="B248" s="4" t="s">
        <v>594</v>
      </c>
      <c r="C248" s="4" t="s">
        <v>89</v>
      </c>
      <c r="D248" s="4" t="s">
        <v>89</v>
      </c>
      <c r="E248" s="4">
        <v>677.85</v>
      </c>
      <c r="F248" s="4">
        <v>43</v>
      </c>
      <c r="G248" s="4">
        <v>43</v>
      </c>
    </row>
    <row r="249" spans="1:7">
      <c r="A249" s="4" t="s">
        <v>595</v>
      </c>
      <c r="B249" s="4" t="s">
        <v>596</v>
      </c>
      <c r="C249" s="4" t="s">
        <v>89</v>
      </c>
      <c r="D249" s="4" t="s">
        <v>89</v>
      </c>
      <c r="E249" s="4">
        <v>555.08000000000004</v>
      </c>
      <c r="F249" s="4">
        <v>93</v>
      </c>
      <c r="G249" s="4">
        <v>93</v>
      </c>
    </row>
    <row r="250" spans="1:7">
      <c r="A250" s="4" t="s">
        <v>597</v>
      </c>
      <c r="B250" s="4" t="s">
        <v>598</v>
      </c>
      <c r="C250" s="4" t="s">
        <v>89</v>
      </c>
      <c r="D250" s="4" t="s">
        <v>89</v>
      </c>
      <c r="E250" s="4">
        <v>665.57</v>
      </c>
      <c r="F250" s="4">
        <v>76</v>
      </c>
      <c r="G250" s="4">
        <v>76</v>
      </c>
    </row>
    <row r="251" spans="1:7">
      <c r="A251" s="4" t="s">
        <v>599</v>
      </c>
      <c r="B251" s="4" t="s">
        <v>600</v>
      </c>
      <c r="C251" s="4" t="s">
        <v>114</v>
      </c>
      <c r="D251" s="4" t="s">
        <v>114</v>
      </c>
      <c r="E251" s="4">
        <v>946.31</v>
      </c>
      <c r="F251" s="4">
        <v>29</v>
      </c>
      <c r="G251" s="4">
        <v>29</v>
      </c>
    </row>
    <row r="252" spans="1:7">
      <c r="A252" s="4" t="s">
        <v>601</v>
      </c>
      <c r="B252" s="4" t="s">
        <v>602</v>
      </c>
      <c r="C252" s="4" t="s">
        <v>101</v>
      </c>
      <c r="D252" s="4" t="s">
        <v>101</v>
      </c>
      <c r="E252" s="4">
        <v>381.53</v>
      </c>
      <c r="F252" s="4">
        <v>-8</v>
      </c>
      <c r="G252" s="4">
        <v>0</v>
      </c>
    </row>
    <row r="253" spans="1:7">
      <c r="A253" s="4" t="s">
        <v>603</v>
      </c>
      <c r="B253" s="4" t="s">
        <v>604</v>
      </c>
      <c r="C253" s="4" t="s">
        <v>101</v>
      </c>
      <c r="D253" s="4" t="s">
        <v>101</v>
      </c>
      <c r="E253" s="4">
        <v>993.37</v>
      </c>
      <c r="F253" s="4">
        <v>-4</v>
      </c>
      <c r="G253" s="4">
        <v>0</v>
      </c>
    </row>
    <row r="254" spans="1:7">
      <c r="A254" s="4" t="s">
        <v>605</v>
      </c>
      <c r="B254" s="4" t="s">
        <v>606</v>
      </c>
      <c r="C254" s="4" t="s">
        <v>89</v>
      </c>
      <c r="D254" s="4" t="s">
        <v>89</v>
      </c>
      <c r="E254" s="4">
        <v>503.74</v>
      </c>
      <c r="F254" s="4">
        <v>36</v>
      </c>
      <c r="G254" s="4">
        <v>36</v>
      </c>
    </row>
    <row r="255" spans="1:7">
      <c r="A255" s="4" t="s">
        <v>607</v>
      </c>
      <c r="B255" s="4" t="s">
        <v>608</v>
      </c>
      <c r="C255" s="4" t="s">
        <v>89</v>
      </c>
      <c r="D255" s="4" t="s">
        <v>89</v>
      </c>
      <c r="E255" s="4">
        <v>379.61</v>
      </c>
      <c r="F255" s="4">
        <v>-1</v>
      </c>
      <c r="G255" s="4">
        <v>0</v>
      </c>
    </row>
    <row r="256" spans="1:7">
      <c r="A256" s="4" t="s">
        <v>609</v>
      </c>
      <c r="B256" s="4" t="s">
        <v>610</v>
      </c>
      <c r="C256" s="4" t="s">
        <v>97</v>
      </c>
      <c r="D256" s="4" t="s">
        <v>97</v>
      </c>
      <c r="E256" s="4">
        <v>714.28</v>
      </c>
      <c r="F256" s="4">
        <v>2</v>
      </c>
      <c r="G256" s="4">
        <v>2</v>
      </c>
    </row>
    <row r="257" spans="1:7">
      <c r="A257" s="4" t="s">
        <v>611</v>
      </c>
      <c r="B257" s="4" t="s">
        <v>612</v>
      </c>
      <c r="C257" s="4" t="s">
        <v>89</v>
      </c>
      <c r="D257" s="4" t="s">
        <v>89</v>
      </c>
      <c r="E257" s="4">
        <v>658.58</v>
      </c>
      <c r="F257" s="4">
        <v>46</v>
      </c>
      <c r="G257" s="4">
        <v>46</v>
      </c>
    </row>
    <row r="258" spans="1:7">
      <c r="A258" s="4" t="s">
        <v>613</v>
      </c>
      <c r="B258" s="4" t="s">
        <v>614</v>
      </c>
      <c r="C258" s="4" t="s">
        <v>97</v>
      </c>
      <c r="D258" s="4" t="s">
        <v>97</v>
      </c>
      <c r="E258" s="4">
        <v>515.22</v>
      </c>
      <c r="F258" s="4">
        <v>34</v>
      </c>
      <c r="G258" s="4">
        <v>34</v>
      </c>
    </row>
    <row r="259" spans="1:7">
      <c r="A259" s="4" t="s">
        <v>615</v>
      </c>
      <c r="B259" s="4" t="s">
        <v>616</v>
      </c>
      <c r="C259" s="4" t="s">
        <v>97</v>
      </c>
      <c r="D259" s="4" t="s">
        <v>97</v>
      </c>
      <c r="E259" s="4">
        <v>203.71</v>
      </c>
      <c r="F259" s="4">
        <v>62</v>
      </c>
      <c r="G259" s="4">
        <v>62</v>
      </c>
    </row>
    <row r="260" spans="1:7">
      <c r="A260" s="4" t="s">
        <v>617</v>
      </c>
      <c r="B260" s="4" t="s">
        <v>618</v>
      </c>
      <c r="C260" s="4" t="s">
        <v>97</v>
      </c>
      <c r="D260" s="4" t="s">
        <v>97</v>
      </c>
      <c r="E260" s="4">
        <v>628.94000000000005</v>
      </c>
      <c r="F260" s="4">
        <v>64</v>
      </c>
      <c r="G260" s="4">
        <v>64</v>
      </c>
    </row>
    <row r="261" spans="1:7">
      <c r="A261" s="4" t="s">
        <v>619</v>
      </c>
      <c r="B261" s="4" t="s">
        <v>620</v>
      </c>
      <c r="C261" s="4" t="s">
        <v>156</v>
      </c>
      <c r="D261" s="4" t="s">
        <v>156</v>
      </c>
      <c r="E261" s="4">
        <v>388.72</v>
      </c>
      <c r="F261" s="4">
        <v>95</v>
      </c>
      <c r="G261" s="4">
        <v>95</v>
      </c>
    </row>
    <row r="262" spans="1:7">
      <c r="A262" s="4" t="s">
        <v>621</v>
      </c>
      <c r="B262" s="4" t="s">
        <v>622</v>
      </c>
      <c r="C262" s="4" t="s">
        <v>101</v>
      </c>
      <c r="D262" s="4" t="s">
        <v>101</v>
      </c>
      <c r="E262" s="4">
        <v>114.38</v>
      </c>
      <c r="F262" s="4">
        <v>89</v>
      </c>
      <c r="G262" s="4">
        <v>89</v>
      </c>
    </row>
    <row r="263" spans="1:7">
      <c r="A263" s="4" t="s">
        <v>623</v>
      </c>
      <c r="B263" s="4" t="s">
        <v>624</v>
      </c>
      <c r="C263" s="4" t="s">
        <v>97</v>
      </c>
      <c r="D263" s="4" t="s">
        <v>97</v>
      </c>
      <c r="E263" s="4">
        <v>963.67</v>
      </c>
      <c r="F263" s="4">
        <v>67</v>
      </c>
      <c r="G263" s="4">
        <v>67</v>
      </c>
    </row>
    <row r="264" spans="1:7">
      <c r="A264" s="4" t="s">
        <v>625</v>
      </c>
      <c r="B264" s="4" t="s">
        <v>626</v>
      </c>
      <c r="C264" s="4" t="s">
        <v>101</v>
      </c>
      <c r="D264" s="4" t="s">
        <v>101</v>
      </c>
      <c r="E264" s="4">
        <v>119.73</v>
      </c>
      <c r="F264" s="4">
        <v>33</v>
      </c>
      <c r="G264" s="4">
        <v>33</v>
      </c>
    </row>
    <row r="265" spans="1:7">
      <c r="A265" s="4" t="s">
        <v>627</v>
      </c>
      <c r="B265" s="4" t="s">
        <v>628</v>
      </c>
      <c r="C265" s="4" t="s">
        <v>114</v>
      </c>
      <c r="D265" s="4" t="s">
        <v>114</v>
      </c>
      <c r="E265" s="4">
        <v>360.15</v>
      </c>
      <c r="F265" s="4">
        <v>47</v>
      </c>
      <c r="G265" s="4">
        <v>47</v>
      </c>
    </row>
    <row r="266" spans="1:7">
      <c r="A266" s="4" t="s">
        <v>629</v>
      </c>
      <c r="B266" s="4" t="s">
        <v>630</v>
      </c>
      <c r="C266" s="4" t="s">
        <v>97</v>
      </c>
      <c r="D266" s="4" t="s">
        <v>97</v>
      </c>
      <c r="E266" s="4">
        <v>976.24</v>
      </c>
      <c r="F266" s="4">
        <v>55</v>
      </c>
      <c r="G266" s="4">
        <v>55</v>
      </c>
    </row>
    <row r="267" spans="1:7">
      <c r="A267" s="4" t="s">
        <v>631</v>
      </c>
      <c r="B267" s="4" t="s">
        <v>632</v>
      </c>
      <c r="C267" s="4" t="s">
        <v>156</v>
      </c>
      <c r="D267" s="4" t="s">
        <v>156</v>
      </c>
      <c r="E267" s="4">
        <v>797.81</v>
      </c>
      <c r="F267" s="4">
        <v>85</v>
      </c>
      <c r="G267" s="4">
        <v>85</v>
      </c>
    </row>
    <row r="268" spans="1:7">
      <c r="A268" s="4" t="s">
        <v>633</v>
      </c>
      <c r="B268" s="4" t="s">
        <v>634</v>
      </c>
      <c r="C268" s="4" t="s">
        <v>114</v>
      </c>
      <c r="D268" s="4" t="s">
        <v>114</v>
      </c>
      <c r="E268" s="4">
        <v>210.18</v>
      </c>
      <c r="F268" s="4">
        <v>82</v>
      </c>
      <c r="G268" s="4">
        <v>82</v>
      </c>
    </row>
    <row r="269" spans="1:7">
      <c r="A269" s="4" t="s">
        <v>635</v>
      </c>
      <c r="B269" s="4" t="s">
        <v>636</v>
      </c>
      <c r="C269" s="4" t="s">
        <v>156</v>
      </c>
      <c r="D269" s="4" t="s">
        <v>156</v>
      </c>
      <c r="E269" s="4">
        <v>449.69</v>
      </c>
      <c r="F269" s="4">
        <v>4</v>
      </c>
      <c r="G269" s="4">
        <v>4</v>
      </c>
    </row>
    <row r="270" spans="1:7">
      <c r="A270" s="4" t="s">
        <v>637</v>
      </c>
      <c r="B270" s="4" t="s">
        <v>638</v>
      </c>
      <c r="C270" s="4" t="s">
        <v>101</v>
      </c>
      <c r="D270" s="4" t="s">
        <v>101</v>
      </c>
      <c r="E270" s="4">
        <v>256.45</v>
      </c>
      <c r="F270" s="4">
        <v>69</v>
      </c>
      <c r="G270" s="4">
        <v>69</v>
      </c>
    </row>
    <row r="271" spans="1:7">
      <c r="A271" s="4" t="s">
        <v>639</v>
      </c>
      <c r="B271" s="4" t="s">
        <v>640</v>
      </c>
      <c r="C271" s="4" t="s">
        <v>101</v>
      </c>
      <c r="D271" s="4" t="s">
        <v>101</v>
      </c>
      <c r="E271" s="4">
        <v>187.52</v>
      </c>
      <c r="F271" s="4">
        <v>71</v>
      </c>
      <c r="G271" s="4">
        <v>71</v>
      </c>
    </row>
    <row r="272" spans="1:7">
      <c r="A272" s="4" t="s">
        <v>641</v>
      </c>
      <c r="B272" s="4" t="s">
        <v>642</v>
      </c>
      <c r="C272" s="4" t="s">
        <v>114</v>
      </c>
      <c r="D272" s="4" t="s">
        <v>114</v>
      </c>
      <c r="E272" s="4">
        <v>124.46</v>
      </c>
      <c r="F272" s="4">
        <v>25</v>
      </c>
      <c r="G272" s="4">
        <v>25</v>
      </c>
    </row>
    <row r="273" spans="1:7">
      <c r="A273" s="4" t="s">
        <v>643</v>
      </c>
      <c r="B273" s="4" t="s">
        <v>644</v>
      </c>
      <c r="C273" s="4" t="s">
        <v>101</v>
      </c>
      <c r="D273" s="4" t="s">
        <v>101</v>
      </c>
      <c r="E273" s="4">
        <v>312.91000000000003</v>
      </c>
      <c r="F273" s="4">
        <v>47</v>
      </c>
      <c r="G273" s="4">
        <v>47</v>
      </c>
    </row>
    <row r="274" spans="1:7">
      <c r="A274" s="4" t="s">
        <v>645</v>
      </c>
      <c r="B274" s="4" t="s">
        <v>646</v>
      </c>
      <c r="C274" s="4" t="s">
        <v>89</v>
      </c>
      <c r="D274" s="4" t="s">
        <v>89</v>
      </c>
      <c r="E274" s="4">
        <v>989.84</v>
      </c>
      <c r="F274" s="4">
        <v>-6</v>
      </c>
      <c r="G274" s="4">
        <v>0</v>
      </c>
    </row>
    <row r="275" spans="1:7">
      <c r="A275" s="4" t="s">
        <v>647</v>
      </c>
      <c r="B275" s="4" t="s">
        <v>648</v>
      </c>
      <c r="C275" s="4" t="s">
        <v>89</v>
      </c>
      <c r="D275" s="4" t="s">
        <v>89</v>
      </c>
      <c r="E275" s="4">
        <v>417.69</v>
      </c>
      <c r="F275" s="4">
        <v>54</v>
      </c>
      <c r="G275" s="4">
        <v>54</v>
      </c>
    </row>
    <row r="276" spans="1:7">
      <c r="A276" s="4" t="s">
        <v>649</v>
      </c>
      <c r="B276" s="4" t="s">
        <v>650</v>
      </c>
      <c r="C276" s="4" t="s">
        <v>156</v>
      </c>
      <c r="D276" s="4" t="s">
        <v>156</v>
      </c>
      <c r="E276" s="4">
        <v>610.87</v>
      </c>
      <c r="F276" s="4">
        <v>32</v>
      </c>
      <c r="G276" s="4">
        <v>32</v>
      </c>
    </row>
    <row r="277" spans="1:7">
      <c r="A277" s="4" t="s">
        <v>651</v>
      </c>
      <c r="B277" s="4" t="s">
        <v>652</v>
      </c>
      <c r="C277" s="4" t="s">
        <v>114</v>
      </c>
      <c r="D277" s="4" t="s">
        <v>114</v>
      </c>
      <c r="E277" s="4">
        <v>719.3</v>
      </c>
      <c r="F277" s="4">
        <v>68</v>
      </c>
      <c r="G277" s="4">
        <v>68</v>
      </c>
    </row>
    <row r="278" spans="1:7">
      <c r="A278" s="4" t="s">
        <v>653</v>
      </c>
      <c r="B278" s="4" t="s">
        <v>654</v>
      </c>
      <c r="C278" s="4" t="s">
        <v>97</v>
      </c>
      <c r="D278" s="4" t="s">
        <v>97</v>
      </c>
      <c r="E278" s="4">
        <v>554.79</v>
      </c>
      <c r="F278" s="4">
        <v>76</v>
      </c>
      <c r="G278" s="4">
        <v>76</v>
      </c>
    </row>
    <row r="279" spans="1:7">
      <c r="A279" s="4" t="s">
        <v>655</v>
      </c>
      <c r="B279" s="4" t="s">
        <v>656</v>
      </c>
      <c r="C279" s="4" t="s">
        <v>101</v>
      </c>
      <c r="D279" s="4" t="s">
        <v>101</v>
      </c>
      <c r="E279" s="4">
        <v>865.73</v>
      </c>
      <c r="F279" s="4">
        <v>48</v>
      </c>
      <c r="G279" s="4">
        <v>48</v>
      </c>
    </row>
    <row r="280" spans="1:7">
      <c r="A280" s="4" t="s">
        <v>657</v>
      </c>
      <c r="B280" s="4" t="s">
        <v>658</v>
      </c>
      <c r="C280" s="4" t="s">
        <v>114</v>
      </c>
      <c r="D280" s="4" t="s">
        <v>114</v>
      </c>
      <c r="E280" s="4">
        <v>95.29</v>
      </c>
      <c r="F280" s="4">
        <v>97</v>
      </c>
      <c r="G280" s="4">
        <v>97</v>
      </c>
    </row>
    <row r="281" spans="1:7">
      <c r="A281" s="4" t="s">
        <v>659</v>
      </c>
      <c r="B281" s="4" t="s">
        <v>660</v>
      </c>
      <c r="C281" s="4" t="s">
        <v>101</v>
      </c>
      <c r="D281" s="4" t="s">
        <v>101</v>
      </c>
      <c r="E281" s="4">
        <v>276.58999999999997</v>
      </c>
      <c r="F281" s="4">
        <v>86</v>
      </c>
      <c r="G281" s="4">
        <v>86</v>
      </c>
    </row>
    <row r="282" spans="1:7">
      <c r="A282" s="4" t="s">
        <v>661</v>
      </c>
      <c r="B282" s="4" t="s">
        <v>662</v>
      </c>
      <c r="C282" s="4" t="s">
        <v>97</v>
      </c>
      <c r="D282" s="4" t="s">
        <v>97</v>
      </c>
      <c r="E282" s="4">
        <v>192.63</v>
      </c>
      <c r="F282" s="4">
        <v>-4</v>
      </c>
      <c r="G282" s="4">
        <v>0</v>
      </c>
    </row>
    <row r="283" spans="1:7">
      <c r="A283" s="4" t="s">
        <v>663</v>
      </c>
      <c r="B283" s="4" t="s">
        <v>664</v>
      </c>
      <c r="C283" s="4" t="s">
        <v>114</v>
      </c>
      <c r="D283" s="4" t="s">
        <v>114</v>
      </c>
      <c r="E283" s="4">
        <v>966.13</v>
      </c>
      <c r="F283" s="4">
        <v>53</v>
      </c>
      <c r="G283" s="4">
        <v>53</v>
      </c>
    </row>
    <row r="284" spans="1:7">
      <c r="A284" s="4" t="s">
        <v>665</v>
      </c>
      <c r="B284" s="4" t="s">
        <v>666</v>
      </c>
      <c r="C284" s="4" t="s">
        <v>97</v>
      </c>
      <c r="D284" s="4" t="s">
        <v>97</v>
      </c>
      <c r="E284" s="4">
        <v>195.15</v>
      </c>
      <c r="F284" s="4">
        <v>45</v>
      </c>
      <c r="G284" s="4">
        <v>45</v>
      </c>
    </row>
    <row r="285" spans="1:7">
      <c r="A285" s="4" t="s">
        <v>667</v>
      </c>
      <c r="B285" s="4" t="s">
        <v>668</v>
      </c>
      <c r="C285" s="4" t="s">
        <v>89</v>
      </c>
      <c r="D285" s="4" t="s">
        <v>89</v>
      </c>
      <c r="E285" s="4">
        <v>603.51</v>
      </c>
      <c r="F285" s="4">
        <v>26</v>
      </c>
      <c r="G285" s="4">
        <v>26</v>
      </c>
    </row>
    <row r="286" spans="1:7">
      <c r="A286" s="4" t="s">
        <v>669</v>
      </c>
      <c r="B286" s="4" t="s">
        <v>670</v>
      </c>
      <c r="C286" s="4" t="s">
        <v>89</v>
      </c>
      <c r="D286" s="4" t="s">
        <v>89</v>
      </c>
      <c r="E286" s="4">
        <v>403.91</v>
      </c>
      <c r="F286" s="4">
        <v>95</v>
      </c>
      <c r="G286" s="4">
        <v>95</v>
      </c>
    </row>
    <row r="287" spans="1:7">
      <c r="A287" s="4" t="s">
        <v>671</v>
      </c>
      <c r="B287" s="4" t="s">
        <v>672</v>
      </c>
      <c r="C287" s="4" t="s">
        <v>89</v>
      </c>
      <c r="D287" s="4" t="s">
        <v>89</v>
      </c>
      <c r="E287" s="4">
        <v>84.93</v>
      </c>
      <c r="F287" s="4">
        <v>43</v>
      </c>
      <c r="G287" s="4">
        <v>43</v>
      </c>
    </row>
    <row r="288" spans="1:7">
      <c r="A288" s="4" t="s">
        <v>673</v>
      </c>
      <c r="B288" s="4" t="s">
        <v>674</v>
      </c>
      <c r="C288" s="4" t="s">
        <v>97</v>
      </c>
      <c r="D288" s="4" t="s">
        <v>97</v>
      </c>
      <c r="E288" s="4">
        <v>964.55</v>
      </c>
      <c r="F288" s="4">
        <v>-9</v>
      </c>
      <c r="G288" s="4">
        <v>0</v>
      </c>
    </row>
    <row r="289" spans="1:7">
      <c r="A289" s="4" t="s">
        <v>675</v>
      </c>
      <c r="B289" s="4" t="s">
        <v>676</v>
      </c>
      <c r="C289" s="4" t="s">
        <v>89</v>
      </c>
      <c r="D289" s="4" t="s">
        <v>89</v>
      </c>
      <c r="E289" s="4">
        <v>547.49</v>
      </c>
      <c r="F289" s="4">
        <v>94</v>
      </c>
      <c r="G289" s="4">
        <v>94</v>
      </c>
    </row>
    <row r="290" spans="1:7">
      <c r="A290" s="4" t="s">
        <v>677</v>
      </c>
      <c r="B290" s="4" t="s">
        <v>678</v>
      </c>
      <c r="C290" s="4" t="s">
        <v>114</v>
      </c>
      <c r="D290" s="4" t="s">
        <v>114</v>
      </c>
      <c r="E290" s="4">
        <v>830.77</v>
      </c>
      <c r="F290" s="4">
        <v>7</v>
      </c>
      <c r="G290" s="4">
        <v>7</v>
      </c>
    </row>
    <row r="291" spans="1:7">
      <c r="A291" s="4" t="s">
        <v>679</v>
      </c>
      <c r="B291" s="4" t="s">
        <v>680</v>
      </c>
      <c r="C291" s="4" t="s">
        <v>101</v>
      </c>
      <c r="D291" s="4" t="s">
        <v>101</v>
      </c>
      <c r="E291" s="4">
        <v>604.09</v>
      </c>
      <c r="F291" s="4">
        <v>6</v>
      </c>
      <c r="G291" s="4">
        <v>6</v>
      </c>
    </row>
    <row r="292" spans="1:7">
      <c r="A292" s="4" t="s">
        <v>681</v>
      </c>
      <c r="B292" s="4" t="s">
        <v>682</v>
      </c>
      <c r="C292" s="4" t="s">
        <v>114</v>
      </c>
      <c r="D292" s="4" t="s">
        <v>114</v>
      </c>
      <c r="E292" s="4">
        <v>84.84</v>
      </c>
      <c r="F292" s="4">
        <v>77</v>
      </c>
      <c r="G292" s="4">
        <v>77</v>
      </c>
    </row>
    <row r="293" spans="1:7">
      <c r="A293" s="4" t="s">
        <v>683</v>
      </c>
      <c r="B293" s="4" t="s">
        <v>684</v>
      </c>
      <c r="C293" s="4" t="s">
        <v>89</v>
      </c>
      <c r="D293" s="4" t="s">
        <v>89</v>
      </c>
      <c r="E293" s="4">
        <v>925.89</v>
      </c>
      <c r="F293" s="4">
        <v>11</v>
      </c>
      <c r="G293" s="4">
        <v>11</v>
      </c>
    </row>
    <row r="294" spans="1:7">
      <c r="A294" s="4" t="s">
        <v>685</v>
      </c>
      <c r="B294" s="4" t="s">
        <v>686</v>
      </c>
      <c r="C294" s="4" t="s">
        <v>101</v>
      </c>
      <c r="D294" s="4" t="s">
        <v>101</v>
      </c>
      <c r="E294" s="4">
        <v>720.77</v>
      </c>
      <c r="F294" s="4">
        <v>65</v>
      </c>
      <c r="G294" s="4">
        <v>65</v>
      </c>
    </row>
    <row r="295" spans="1:7">
      <c r="A295" s="4" t="s">
        <v>687</v>
      </c>
      <c r="B295" s="4" t="s">
        <v>688</v>
      </c>
      <c r="C295" s="4" t="s">
        <v>101</v>
      </c>
      <c r="D295" s="4" t="s">
        <v>101</v>
      </c>
      <c r="E295" s="4">
        <v>943.6</v>
      </c>
      <c r="F295" s="4">
        <v>21</v>
      </c>
      <c r="G295" s="4">
        <v>21</v>
      </c>
    </row>
    <row r="296" spans="1:7">
      <c r="A296" s="4" t="s">
        <v>689</v>
      </c>
      <c r="B296" s="4" t="s">
        <v>690</v>
      </c>
      <c r="C296" s="4" t="s">
        <v>156</v>
      </c>
      <c r="D296" s="4" t="s">
        <v>156</v>
      </c>
      <c r="E296" s="4">
        <v>838.11</v>
      </c>
      <c r="F296" s="4">
        <v>74</v>
      </c>
      <c r="G296" s="4">
        <v>74</v>
      </c>
    </row>
    <row r="297" spans="1:7">
      <c r="A297" s="4" t="s">
        <v>691</v>
      </c>
      <c r="B297" s="4" t="s">
        <v>692</v>
      </c>
      <c r="C297" s="4" t="s">
        <v>89</v>
      </c>
      <c r="D297" s="4" t="s">
        <v>89</v>
      </c>
      <c r="E297" s="4">
        <v>549.20000000000005</v>
      </c>
      <c r="F297" s="4">
        <v>52</v>
      </c>
      <c r="G297" s="4">
        <v>52</v>
      </c>
    </row>
    <row r="298" spans="1:7">
      <c r="A298" s="4" t="s">
        <v>693</v>
      </c>
      <c r="B298" s="4" t="s">
        <v>694</v>
      </c>
      <c r="C298" s="4" t="s">
        <v>97</v>
      </c>
      <c r="D298" s="4" t="s">
        <v>97</v>
      </c>
      <c r="E298" s="4">
        <v>514.66999999999996</v>
      </c>
      <c r="F298" s="4">
        <v>13</v>
      </c>
      <c r="G298" s="4">
        <v>13</v>
      </c>
    </row>
    <row r="299" spans="1:7">
      <c r="A299" s="4" t="s">
        <v>695</v>
      </c>
      <c r="B299" s="4" t="s">
        <v>696</v>
      </c>
      <c r="C299" s="4" t="s">
        <v>89</v>
      </c>
      <c r="D299" s="4" t="s">
        <v>89</v>
      </c>
      <c r="E299" s="4">
        <v>477.28</v>
      </c>
      <c r="F299" s="4">
        <v>17</v>
      </c>
      <c r="G299" s="4">
        <v>17</v>
      </c>
    </row>
    <row r="300" spans="1:7">
      <c r="A300" s="4" t="s">
        <v>697</v>
      </c>
      <c r="B300" s="4" t="s">
        <v>698</v>
      </c>
      <c r="C300" s="4" t="s">
        <v>97</v>
      </c>
      <c r="D300" s="4" t="s">
        <v>97</v>
      </c>
      <c r="E300" s="4">
        <v>767.76</v>
      </c>
      <c r="F300" s="4">
        <v>84</v>
      </c>
      <c r="G300" s="4">
        <v>84</v>
      </c>
    </row>
    <row r="301" spans="1:7">
      <c r="A301" s="4" t="s">
        <v>699</v>
      </c>
      <c r="B301" s="4" t="s">
        <v>700</v>
      </c>
      <c r="C301" s="4" t="s">
        <v>101</v>
      </c>
      <c r="D301" s="4" t="s">
        <v>101</v>
      </c>
      <c r="E301" s="4">
        <v>584.52</v>
      </c>
      <c r="F301" s="4">
        <v>-7</v>
      </c>
      <c r="G301" s="4">
        <v>0</v>
      </c>
    </row>
    <row r="302" spans="1:7">
      <c r="A302" s="4" t="s">
        <v>701</v>
      </c>
      <c r="B302" s="4" t="s">
        <v>702</v>
      </c>
      <c r="C302" s="4" t="s">
        <v>101</v>
      </c>
      <c r="D302" s="4" t="s">
        <v>101</v>
      </c>
      <c r="E302" s="4">
        <v>624.82000000000005</v>
      </c>
      <c r="F302" s="4">
        <v>92</v>
      </c>
      <c r="G302" s="4">
        <v>92</v>
      </c>
    </row>
    <row r="303" spans="1:7">
      <c r="A303" s="4" t="s">
        <v>703</v>
      </c>
      <c r="B303" s="4" t="s">
        <v>704</v>
      </c>
      <c r="C303" s="4" t="s">
        <v>114</v>
      </c>
      <c r="D303" s="4" t="s">
        <v>114</v>
      </c>
      <c r="E303" s="4">
        <v>324.95999999999998</v>
      </c>
      <c r="F303" s="4">
        <v>18</v>
      </c>
      <c r="G303" s="4">
        <v>18</v>
      </c>
    </row>
    <row r="304" spans="1:7">
      <c r="A304" s="4" t="s">
        <v>705</v>
      </c>
      <c r="B304" s="4" t="s">
        <v>706</v>
      </c>
      <c r="C304" s="4" t="s">
        <v>101</v>
      </c>
      <c r="D304" s="4" t="s">
        <v>101</v>
      </c>
      <c r="E304" s="4">
        <v>337.88</v>
      </c>
      <c r="F304" s="4">
        <v>7</v>
      </c>
      <c r="G304" s="4">
        <v>7</v>
      </c>
    </row>
    <row r="305" spans="1:7">
      <c r="A305" s="4" t="s">
        <v>707</v>
      </c>
      <c r="B305" s="4" t="s">
        <v>708</v>
      </c>
      <c r="C305" s="4" t="s">
        <v>101</v>
      </c>
      <c r="D305" s="4" t="s">
        <v>101</v>
      </c>
      <c r="E305" s="4">
        <v>542.5</v>
      </c>
      <c r="F305" s="4">
        <v>70</v>
      </c>
      <c r="G305" s="4">
        <v>70</v>
      </c>
    </row>
    <row r="306" spans="1:7">
      <c r="A306" s="4" t="s">
        <v>709</v>
      </c>
      <c r="B306" s="4" t="s">
        <v>710</v>
      </c>
      <c r="C306" s="4" t="s">
        <v>89</v>
      </c>
      <c r="D306" s="4" t="s">
        <v>89</v>
      </c>
      <c r="E306" s="4">
        <v>986.72</v>
      </c>
      <c r="F306" s="4">
        <v>94</v>
      </c>
      <c r="G306" s="4">
        <v>94</v>
      </c>
    </row>
    <row r="307" spans="1:7">
      <c r="A307" s="4" t="s">
        <v>711</v>
      </c>
      <c r="B307" s="4" t="s">
        <v>712</v>
      </c>
      <c r="C307" s="4" t="s">
        <v>156</v>
      </c>
      <c r="D307" s="4" t="s">
        <v>156</v>
      </c>
      <c r="E307" s="4">
        <v>103.69</v>
      </c>
      <c r="F307" s="4">
        <v>41</v>
      </c>
      <c r="G307" s="4">
        <v>41</v>
      </c>
    </row>
    <row r="308" spans="1:7">
      <c r="A308" s="4" t="s">
        <v>713</v>
      </c>
      <c r="B308" s="4" t="s">
        <v>714</v>
      </c>
      <c r="C308" s="4" t="s">
        <v>114</v>
      </c>
      <c r="D308" s="4" t="s">
        <v>114</v>
      </c>
      <c r="E308" s="4">
        <v>367.49</v>
      </c>
      <c r="F308" s="4">
        <v>31</v>
      </c>
      <c r="G308" s="4">
        <v>31</v>
      </c>
    </row>
    <row r="309" spans="1:7">
      <c r="A309" s="4" t="s">
        <v>715</v>
      </c>
      <c r="B309" s="4" t="s">
        <v>716</v>
      </c>
      <c r="C309" s="4" t="s">
        <v>156</v>
      </c>
      <c r="D309" s="4" t="s">
        <v>156</v>
      </c>
      <c r="E309" s="4">
        <v>958.77</v>
      </c>
      <c r="F309" s="4">
        <v>22</v>
      </c>
      <c r="G309" s="4">
        <v>22</v>
      </c>
    </row>
    <row r="310" spans="1:7">
      <c r="A310" s="4" t="s">
        <v>717</v>
      </c>
      <c r="B310" s="4" t="s">
        <v>718</v>
      </c>
      <c r="C310" s="4" t="s">
        <v>114</v>
      </c>
      <c r="D310" s="4" t="s">
        <v>114</v>
      </c>
      <c r="E310" s="4">
        <v>328</v>
      </c>
      <c r="F310" s="4">
        <v>68</v>
      </c>
      <c r="G310" s="4">
        <v>68</v>
      </c>
    </row>
    <row r="311" spans="1:7">
      <c r="A311" s="4" t="s">
        <v>719</v>
      </c>
      <c r="B311" s="4" t="s">
        <v>720</v>
      </c>
      <c r="C311" s="4" t="s">
        <v>114</v>
      </c>
      <c r="D311" s="4" t="s">
        <v>114</v>
      </c>
      <c r="E311" s="4">
        <v>909.59</v>
      </c>
      <c r="F311" s="4">
        <v>15</v>
      </c>
      <c r="G311" s="4">
        <v>15</v>
      </c>
    </row>
    <row r="312" spans="1:7">
      <c r="A312" s="4" t="s">
        <v>721</v>
      </c>
      <c r="B312" s="4" t="s">
        <v>722</v>
      </c>
      <c r="C312" s="4" t="s">
        <v>156</v>
      </c>
      <c r="D312" s="4" t="s">
        <v>156</v>
      </c>
      <c r="E312" s="4">
        <v>358.53</v>
      </c>
      <c r="F312" s="4">
        <v>35</v>
      </c>
      <c r="G312" s="4">
        <v>35</v>
      </c>
    </row>
    <row r="313" spans="1:7">
      <c r="A313" s="4" t="s">
        <v>723</v>
      </c>
      <c r="B313" s="4" t="s">
        <v>724</v>
      </c>
      <c r="C313" s="4" t="s">
        <v>89</v>
      </c>
      <c r="D313" s="4" t="s">
        <v>89</v>
      </c>
      <c r="E313" s="4">
        <v>709.05</v>
      </c>
      <c r="F313" s="4">
        <v>47</v>
      </c>
      <c r="G313" s="4">
        <v>47</v>
      </c>
    </row>
    <row r="314" spans="1:7">
      <c r="A314" s="4" t="s">
        <v>725</v>
      </c>
      <c r="B314" s="4" t="s">
        <v>726</v>
      </c>
      <c r="C314" s="4" t="s">
        <v>101</v>
      </c>
      <c r="D314" s="4" t="s">
        <v>101</v>
      </c>
      <c r="E314" s="4">
        <v>894.49</v>
      </c>
      <c r="F314" s="4">
        <v>6</v>
      </c>
      <c r="G314" s="4">
        <v>6</v>
      </c>
    </row>
    <row r="315" spans="1:7">
      <c r="A315" s="4" t="s">
        <v>727</v>
      </c>
      <c r="B315" s="4" t="s">
        <v>728</v>
      </c>
      <c r="C315" s="4" t="s">
        <v>97</v>
      </c>
      <c r="D315" s="4" t="s">
        <v>97</v>
      </c>
      <c r="E315" s="4">
        <v>719.34</v>
      </c>
      <c r="F315" s="4">
        <v>44</v>
      </c>
      <c r="G315" s="4">
        <v>44</v>
      </c>
    </row>
    <row r="316" spans="1:7">
      <c r="A316" s="4" t="s">
        <v>729</v>
      </c>
      <c r="B316" s="4" t="s">
        <v>730</v>
      </c>
      <c r="C316" s="4" t="s">
        <v>101</v>
      </c>
      <c r="D316" s="4" t="s">
        <v>101</v>
      </c>
      <c r="E316" s="4">
        <v>407.29</v>
      </c>
      <c r="F316" s="4">
        <v>98</v>
      </c>
      <c r="G316" s="4">
        <v>98</v>
      </c>
    </row>
    <row r="317" spans="1:7">
      <c r="A317" s="4" t="s">
        <v>731</v>
      </c>
      <c r="B317" s="4" t="s">
        <v>732</v>
      </c>
      <c r="C317" s="4" t="s">
        <v>156</v>
      </c>
      <c r="D317" s="4" t="s">
        <v>156</v>
      </c>
      <c r="E317" s="4">
        <v>754.38</v>
      </c>
      <c r="F317" s="4">
        <v>24</v>
      </c>
      <c r="G317" s="4">
        <v>24</v>
      </c>
    </row>
    <row r="318" spans="1:7">
      <c r="A318" s="4" t="s">
        <v>733</v>
      </c>
      <c r="B318" s="4" t="s">
        <v>734</v>
      </c>
      <c r="C318" s="4" t="s">
        <v>89</v>
      </c>
      <c r="D318" s="4" t="s">
        <v>89</v>
      </c>
      <c r="E318" s="4">
        <v>958.09</v>
      </c>
      <c r="F318" s="4">
        <v>84</v>
      </c>
      <c r="G318" s="4">
        <v>84</v>
      </c>
    </row>
    <row r="319" spans="1:7">
      <c r="A319" s="4" t="s">
        <v>735</v>
      </c>
      <c r="B319" s="4" t="s">
        <v>736</v>
      </c>
      <c r="C319" s="4" t="s">
        <v>89</v>
      </c>
      <c r="D319" s="4" t="s">
        <v>89</v>
      </c>
      <c r="E319" s="4">
        <v>458.26</v>
      </c>
      <c r="F319" s="4">
        <v>42</v>
      </c>
      <c r="G319" s="4">
        <v>42</v>
      </c>
    </row>
    <row r="320" spans="1:7">
      <c r="A320" s="4" t="s">
        <v>737</v>
      </c>
      <c r="B320" s="4" t="s">
        <v>738</v>
      </c>
      <c r="C320" s="4" t="s">
        <v>101</v>
      </c>
      <c r="D320" s="4" t="s">
        <v>101</v>
      </c>
      <c r="E320" s="4">
        <v>793.08</v>
      </c>
      <c r="F320" s="4">
        <v>-2</v>
      </c>
      <c r="G320" s="4">
        <v>0</v>
      </c>
    </row>
    <row r="321" spans="1:7">
      <c r="A321" s="4" t="s">
        <v>739</v>
      </c>
      <c r="B321" s="4" t="s">
        <v>740</v>
      </c>
      <c r="C321" s="4" t="s">
        <v>156</v>
      </c>
      <c r="D321" s="4" t="s">
        <v>156</v>
      </c>
      <c r="E321" s="4">
        <v>954.81</v>
      </c>
      <c r="F321" s="4">
        <v>15</v>
      </c>
      <c r="G321" s="4">
        <v>15</v>
      </c>
    </row>
    <row r="322" spans="1:7">
      <c r="A322" s="4" t="s">
        <v>741</v>
      </c>
      <c r="B322" s="4" t="s">
        <v>742</v>
      </c>
      <c r="C322" s="4" t="s">
        <v>156</v>
      </c>
      <c r="D322" s="4" t="s">
        <v>156</v>
      </c>
      <c r="E322" s="4">
        <v>510.13</v>
      </c>
      <c r="F322" s="4">
        <v>47</v>
      </c>
      <c r="G322" s="4">
        <v>47</v>
      </c>
    </row>
    <row r="323" spans="1:7">
      <c r="A323" s="4" t="s">
        <v>743</v>
      </c>
      <c r="B323" s="4" t="s">
        <v>744</v>
      </c>
      <c r="C323" s="4" t="s">
        <v>101</v>
      </c>
      <c r="D323" s="4" t="s">
        <v>101</v>
      </c>
      <c r="E323" s="4">
        <v>188.34</v>
      </c>
      <c r="F323" s="4">
        <v>95</v>
      </c>
      <c r="G323" s="4">
        <v>95</v>
      </c>
    </row>
    <row r="324" spans="1:7">
      <c r="A324" s="4" t="s">
        <v>745</v>
      </c>
      <c r="B324" s="4" t="s">
        <v>746</v>
      </c>
      <c r="C324" s="4" t="s">
        <v>89</v>
      </c>
      <c r="D324" s="4" t="s">
        <v>89</v>
      </c>
      <c r="E324" s="4">
        <v>184.92</v>
      </c>
      <c r="F324" s="4">
        <v>60</v>
      </c>
      <c r="G324" s="4">
        <v>60</v>
      </c>
    </row>
    <row r="325" spans="1:7">
      <c r="A325" s="4" t="s">
        <v>747</v>
      </c>
      <c r="B325" s="4" t="s">
        <v>748</v>
      </c>
      <c r="C325" s="4" t="s">
        <v>89</v>
      </c>
      <c r="D325" s="4" t="s">
        <v>89</v>
      </c>
      <c r="E325" s="4">
        <v>550.88</v>
      </c>
      <c r="F325" s="4">
        <v>99</v>
      </c>
      <c r="G325" s="4">
        <v>99</v>
      </c>
    </row>
    <row r="326" spans="1:7">
      <c r="A326" s="4" t="s">
        <v>749</v>
      </c>
      <c r="B326" s="4" t="s">
        <v>750</v>
      </c>
      <c r="C326" s="4" t="s">
        <v>97</v>
      </c>
      <c r="D326" s="4" t="s">
        <v>97</v>
      </c>
      <c r="E326" s="4">
        <v>735.53</v>
      </c>
      <c r="F326" s="4">
        <v>-9</v>
      </c>
      <c r="G326" s="4">
        <v>0</v>
      </c>
    </row>
    <row r="327" spans="1:7">
      <c r="A327" s="4" t="s">
        <v>751</v>
      </c>
      <c r="B327" s="4" t="s">
        <v>752</v>
      </c>
      <c r="C327" s="4" t="s">
        <v>97</v>
      </c>
      <c r="D327" s="4" t="s">
        <v>97</v>
      </c>
      <c r="E327" s="4">
        <v>904.83</v>
      </c>
      <c r="F327" s="4">
        <v>3</v>
      </c>
      <c r="G327" s="4">
        <v>3</v>
      </c>
    </row>
    <row r="328" spans="1:7">
      <c r="A328" s="4" t="s">
        <v>753</v>
      </c>
      <c r="B328" s="4" t="s">
        <v>754</v>
      </c>
      <c r="C328" s="4" t="s">
        <v>156</v>
      </c>
      <c r="D328" s="4" t="s">
        <v>156</v>
      </c>
      <c r="E328" s="4">
        <v>880.99</v>
      </c>
      <c r="F328" s="4">
        <v>78</v>
      </c>
      <c r="G328" s="4">
        <v>78</v>
      </c>
    </row>
    <row r="329" spans="1:7">
      <c r="A329" s="4" t="s">
        <v>755</v>
      </c>
      <c r="B329" s="4" t="s">
        <v>756</v>
      </c>
      <c r="C329" s="4" t="s">
        <v>156</v>
      </c>
      <c r="D329" s="4" t="s">
        <v>156</v>
      </c>
      <c r="E329" s="4">
        <v>73.87</v>
      </c>
      <c r="F329" s="4">
        <v>72</v>
      </c>
      <c r="G329" s="4">
        <v>72</v>
      </c>
    </row>
    <row r="330" spans="1:7">
      <c r="A330" s="4" t="s">
        <v>757</v>
      </c>
      <c r="B330" s="4" t="s">
        <v>758</v>
      </c>
      <c r="C330" s="4" t="s">
        <v>101</v>
      </c>
      <c r="D330" s="4" t="s">
        <v>101</v>
      </c>
      <c r="E330" s="4">
        <v>894.91</v>
      </c>
      <c r="F330" s="4">
        <v>8</v>
      </c>
      <c r="G330" s="4">
        <v>8</v>
      </c>
    </row>
    <row r="331" spans="1:7">
      <c r="A331" s="4" t="s">
        <v>759</v>
      </c>
      <c r="B331" s="4" t="s">
        <v>760</v>
      </c>
      <c r="C331" s="4" t="s">
        <v>97</v>
      </c>
      <c r="D331" s="4" t="s">
        <v>97</v>
      </c>
      <c r="E331" s="4">
        <v>572.44000000000005</v>
      </c>
      <c r="F331" s="4">
        <v>72</v>
      </c>
      <c r="G331" s="4">
        <v>72</v>
      </c>
    </row>
    <row r="332" spans="1:7">
      <c r="A332" s="4" t="s">
        <v>761</v>
      </c>
      <c r="B332" s="4" t="s">
        <v>762</v>
      </c>
      <c r="C332" s="4" t="s">
        <v>101</v>
      </c>
      <c r="D332" s="4" t="s">
        <v>101</v>
      </c>
      <c r="E332" s="4">
        <v>648.57000000000005</v>
      </c>
      <c r="F332" s="4">
        <v>26</v>
      </c>
      <c r="G332" s="4">
        <v>26</v>
      </c>
    </row>
    <row r="333" spans="1:7">
      <c r="A333" s="4" t="s">
        <v>763</v>
      </c>
      <c r="B333" s="4" t="s">
        <v>764</v>
      </c>
      <c r="C333" s="4" t="s">
        <v>114</v>
      </c>
      <c r="D333" s="4" t="s">
        <v>114</v>
      </c>
      <c r="E333" s="4">
        <v>736.3</v>
      </c>
      <c r="F333" s="4">
        <v>-6</v>
      </c>
      <c r="G333" s="4">
        <v>0</v>
      </c>
    </row>
    <row r="334" spans="1:7">
      <c r="A334" s="4" t="s">
        <v>765</v>
      </c>
      <c r="B334" s="4" t="s">
        <v>766</v>
      </c>
      <c r="C334" s="4" t="s">
        <v>97</v>
      </c>
      <c r="D334" s="4" t="s">
        <v>97</v>
      </c>
      <c r="E334" s="4">
        <v>777.31</v>
      </c>
      <c r="F334" s="4">
        <v>90</v>
      </c>
      <c r="G334" s="4">
        <v>90</v>
      </c>
    </row>
    <row r="335" spans="1:7">
      <c r="A335" s="4" t="s">
        <v>767</v>
      </c>
      <c r="B335" s="4" t="s">
        <v>768</v>
      </c>
      <c r="C335" s="4" t="s">
        <v>101</v>
      </c>
      <c r="D335" s="4" t="s">
        <v>101</v>
      </c>
      <c r="E335" s="4">
        <v>693.46</v>
      </c>
      <c r="F335" s="4">
        <v>75</v>
      </c>
      <c r="G335" s="4">
        <v>75</v>
      </c>
    </row>
    <row r="336" spans="1:7">
      <c r="A336" s="4" t="s">
        <v>769</v>
      </c>
      <c r="B336" s="4" t="s">
        <v>770</v>
      </c>
      <c r="C336" s="4" t="s">
        <v>101</v>
      </c>
      <c r="D336" s="4" t="s">
        <v>101</v>
      </c>
      <c r="E336" s="4">
        <v>547.19000000000005</v>
      </c>
      <c r="F336" s="4">
        <v>30</v>
      </c>
      <c r="G336" s="4">
        <v>30</v>
      </c>
    </row>
    <row r="337" spans="1:7">
      <c r="A337" s="4" t="s">
        <v>771</v>
      </c>
      <c r="B337" s="4" t="s">
        <v>772</v>
      </c>
      <c r="C337" s="4" t="s">
        <v>101</v>
      </c>
      <c r="D337" s="4" t="s">
        <v>101</v>
      </c>
      <c r="E337" s="4">
        <v>729.63</v>
      </c>
      <c r="F337" s="4">
        <v>9</v>
      </c>
      <c r="G337" s="4">
        <v>9</v>
      </c>
    </row>
    <row r="338" spans="1:7">
      <c r="A338" s="4" t="s">
        <v>773</v>
      </c>
      <c r="B338" s="4" t="s">
        <v>774</v>
      </c>
      <c r="C338" s="4" t="s">
        <v>89</v>
      </c>
      <c r="D338" s="4" t="s">
        <v>89</v>
      </c>
      <c r="E338" s="4">
        <v>287.58</v>
      </c>
      <c r="F338" s="4">
        <v>45</v>
      </c>
      <c r="G338" s="4">
        <v>45</v>
      </c>
    </row>
    <row r="339" spans="1:7">
      <c r="A339" s="4" t="s">
        <v>775</v>
      </c>
      <c r="B339" s="4" t="s">
        <v>776</v>
      </c>
      <c r="C339" s="4" t="s">
        <v>114</v>
      </c>
      <c r="D339" s="4" t="s">
        <v>114</v>
      </c>
      <c r="E339" s="4">
        <v>222.73</v>
      </c>
      <c r="F339" s="4">
        <v>62</v>
      </c>
      <c r="G339" s="4">
        <v>62</v>
      </c>
    </row>
    <row r="340" spans="1:7">
      <c r="A340" s="4" t="s">
        <v>777</v>
      </c>
      <c r="B340" s="4" t="s">
        <v>778</v>
      </c>
      <c r="C340" s="4" t="s">
        <v>101</v>
      </c>
      <c r="D340" s="4" t="s">
        <v>101</v>
      </c>
      <c r="E340" s="4">
        <v>871.83</v>
      </c>
      <c r="F340" s="4">
        <v>71</v>
      </c>
      <c r="G340" s="4">
        <v>71</v>
      </c>
    </row>
    <row r="341" spans="1:7">
      <c r="A341" s="4" t="s">
        <v>779</v>
      </c>
      <c r="B341" s="4" t="s">
        <v>780</v>
      </c>
      <c r="C341" s="4" t="s">
        <v>156</v>
      </c>
      <c r="D341" s="4" t="s">
        <v>156</v>
      </c>
      <c r="E341" s="4">
        <v>236.7</v>
      </c>
      <c r="F341" s="4">
        <v>74</v>
      </c>
      <c r="G341" s="4">
        <v>74</v>
      </c>
    </row>
    <row r="342" spans="1:7">
      <c r="A342" s="4" t="s">
        <v>781</v>
      </c>
      <c r="B342" s="4" t="s">
        <v>782</v>
      </c>
      <c r="C342" s="4" t="s">
        <v>101</v>
      </c>
      <c r="D342" s="4" t="s">
        <v>101</v>
      </c>
      <c r="E342" s="4">
        <v>963.67</v>
      </c>
      <c r="F342" s="4">
        <v>23</v>
      </c>
      <c r="G342" s="4">
        <v>23</v>
      </c>
    </row>
    <row r="343" spans="1:7">
      <c r="A343" s="4" t="s">
        <v>783</v>
      </c>
      <c r="B343" s="4" t="s">
        <v>784</v>
      </c>
      <c r="C343" s="4" t="s">
        <v>101</v>
      </c>
      <c r="D343" s="4" t="s">
        <v>101</v>
      </c>
      <c r="E343" s="4">
        <v>963.39</v>
      </c>
      <c r="F343" s="4">
        <v>67</v>
      </c>
      <c r="G343" s="4">
        <v>67</v>
      </c>
    </row>
    <row r="344" spans="1:7">
      <c r="A344" s="4" t="s">
        <v>785</v>
      </c>
      <c r="B344" s="4" t="s">
        <v>786</v>
      </c>
      <c r="C344" s="4" t="s">
        <v>156</v>
      </c>
      <c r="D344" s="4" t="s">
        <v>156</v>
      </c>
      <c r="E344" s="4">
        <v>385.63</v>
      </c>
      <c r="F344" s="4">
        <v>-5</v>
      </c>
      <c r="G344" s="4">
        <v>0</v>
      </c>
    </row>
    <row r="345" spans="1:7">
      <c r="A345" s="4" t="s">
        <v>787</v>
      </c>
      <c r="B345" s="4" t="s">
        <v>788</v>
      </c>
      <c r="C345" s="4" t="s">
        <v>101</v>
      </c>
      <c r="D345" s="4" t="s">
        <v>101</v>
      </c>
      <c r="E345" s="4">
        <v>596.26</v>
      </c>
      <c r="F345" s="4">
        <v>-2</v>
      </c>
      <c r="G345" s="4">
        <v>0</v>
      </c>
    </row>
    <row r="346" spans="1:7">
      <c r="A346" s="4" t="s">
        <v>789</v>
      </c>
      <c r="B346" s="4" t="s">
        <v>790</v>
      </c>
      <c r="C346" s="4" t="s">
        <v>89</v>
      </c>
      <c r="D346" s="4" t="s">
        <v>89</v>
      </c>
      <c r="E346" s="4">
        <v>656.03</v>
      </c>
      <c r="F346" s="4">
        <v>5</v>
      </c>
      <c r="G346" s="4">
        <v>5</v>
      </c>
    </row>
    <row r="347" spans="1:7">
      <c r="A347" s="4" t="s">
        <v>791</v>
      </c>
      <c r="B347" s="4" t="s">
        <v>792</v>
      </c>
      <c r="C347" s="4" t="s">
        <v>101</v>
      </c>
      <c r="D347" s="4" t="s">
        <v>101</v>
      </c>
      <c r="E347" s="4">
        <v>860.38</v>
      </c>
      <c r="F347" s="4">
        <v>4</v>
      </c>
      <c r="G347" s="4">
        <v>4</v>
      </c>
    </row>
    <row r="348" spans="1:7">
      <c r="A348" s="4" t="s">
        <v>793</v>
      </c>
      <c r="B348" s="4" t="s">
        <v>794</v>
      </c>
      <c r="C348" s="4" t="s">
        <v>114</v>
      </c>
      <c r="D348" s="4" t="s">
        <v>114</v>
      </c>
      <c r="E348" s="4">
        <v>218.11</v>
      </c>
      <c r="F348" s="4">
        <v>1</v>
      </c>
      <c r="G348" s="4">
        <v>1</v>
      </c>
    </row>
    <row r="349" spans="1:7">
      <c r="A349" s="4" t="s">
        <v>795</v>
      </c>
      <c r="B349" s="4" t="s">
        <v>796</v>
      </c>
      <c r="C349" s="4" t="s">
        <v>101</v>
      </c>
      <c r="D349" s="4" t="s">
        <v>101</v>
      </c>
      <c r="E349" s="4">
        <v>869.7</v>
      </c>
      <c r="F349" s="4">
        <v>84</v>
      </c>
      <c r="G349" s="4">
        <v>84</v>
      </c>
    </row>
    <row r="350" spans="1:7">
      <c r="A350" s="4" t="s">
        <v>797</v>
      </c>
      <c r="B350" s="4" t="s">
        <v>798</v>
      </c>
      <c r="C350" s="4" t="s">
        <v>97</v>
      </c>
      <c r="D350" s="4" t="s">
        <v>97</v>
      </c>
      <c r="E350" s="4">
        <v>963.7</v>
      </c>
      <c r="F350" s="4">
        <v>4</v>
      </c>
      <c r="G350" s="4">
        <v>4</v>
      </c>
    </row>
    <row r="351" spans="1:7">
      <c r="A351" s="4" t="s">
        <v>799</v>
      </c>
      <c r="B351" s="4" t="s">
        <v>800</v>
      </c>
      <c r="C351" s="4" t="s">
        <v>101</v>
      </c>
      <c r="D351" s="4" t="s">
        <v>101</v>
      </c>
      <c r="E351" s="4">
        <v>418.92</v>
      </c>
      <c r="F351" s="4">
        <v>50</v>
      </c>
      <c r="G351" s="4">
        <v>50</v>
      </c>
    </row>
    <row r="352" spans="1:7">
      <c r="A352" s="4" t="s">
        <v>801</v>
      </c>
      <c r="B352" s="4" t="s">
        <v>802</v>
      </c>
      <c r="C352" s="4" t="s">
        <v>101</v>
      </c>
      <c r="D352" s="4" t="s">
        <v>101</v>
      </c>
      <c r="E352" s="4">
        <v>261.97000000000003</v>
      </c>
      <c r="F352" s="4">
        <v>-4</v>
      </c>
      <c r="G352" s="4">
        <v>0</v>
      </c>
    </row>
    <row r="353" spans="1:7">
      <c r="A353" s="4" t="s">
        <v>803</v>
      </c>
      <c r="B353" s="4" t="s">
        <v>804</v>
      </c>
      <c r="C353" s="4" t="s">
        <v>97</v>
      </c>
      <c r="D353" s="4" t="s">
        <v>97</v>
      </c>
      <c r="E353" s="4">
        <v>602.94000000000005</v>
      </c>
      <c r="F353" s="4">
        <v>37</v>
      </c>
      <c r="G353" s="4">
        <v>37</v>
      </c>
    </row>
    <row r="354" spans="1:7">
      <c r="A354" s="4" t="s">
        <v>805</v>
      </c>
      <c r="B354" s="4" t="s">
        <v>806</v>
      </c>
      <c r="C354" s="4" t="s">
        <v>97</v>
      </c>
      <c r="D354" s="4" t="s">
        <v>97</v>
      </c>
      <c r="E354" s="4">
        <v>816.26</v>
      </c>
      <c r="F354" s="4">
        <v>8</v>
      </c>
      <c r="G354" s="4">
        <v>8</v>
      </c>
    </row>
    <row r="355" spans="1:7">
      <c r="A355" s="4" t="s">
        <v>807</v>
      </c>
      <c r="B355" s="4" t="s">
        <v>808</v>
      </c>
      <c r="C355" s="4" t="s">
        <v>114</v>
      </c>
      <c r="D355" s="4" t="s">
        <v>114</v>
      </c>
      <c r="E355" s="4">
        <v>211.36</v>
      </c>
      <c r="F355" s="4">
        <v>42</v>
      </c>
      <c r="G355" s="4">
        <v>42</v>
      </c>
    </row>
    <row r="356" spans="1:7">
      <c r="A356" s="4" t="s">
        <v>809</v>
      </c>
      <c r="B356" s="4" t="s">
        <v>810</v>
      </c>
      <c r="C356" s="4" t="s">
        <v>97</v>
      </c>
      <c r="D356" s="4" t="s">
        <v>97</v>
      </c>
      <c r="E356" s="4">
        <v>429.86</v>
      </c>
      <c r="F356" s="4">
        <v>58</v>
      </c>
      <c r="G356" s="4">
        <v>58</v>
      </c>
    </row>
    <row r="357" spans="1:7">
      <c r="A357" s="4" t="s">
        <v>811</v>
      </c>
      <c r="B357" s="4" t="s">
        <v>812</v>
      </c>
      <c r="C357" s="4" t="s">
        <v>101</v>
      </c>
      <c r="D357" s="4" t="s">
        <v>101</v>
      </c>
      <c r="E357" s="4">
        <v>891.65</v>
      </c>
      <c r="F357" s="4">
        <v>9</v>
      </c>
      <c r="G357" s="4">
        <v>9</v>
      </c>
    </row>
    <row r="358" spans="1:7">
      <c r="A358" s="4" t="s">
        <v>813</v>
      </c>
      <c r="B358" s="4" t="s">
        <v>814</v>
      </c>
      <c r="C358" s="4" t="s">
        <v>97</v>
      </c>
      <c r="D358" s="4" t="s">
        <v>97</v>
      </c>
      <c r="E358" s="4">
        <v>683.23</v>
      </c>
      <c r="F358" s="4">
        <v>47</v>
      </c>
      <c r="G358" s="4">
        <v>47</v>
      </c>
    </row>
    <row r="359" spans="1:7">
      <c r="A359" s="4" t="s">
        <v>815</v>
      </c>
      <c r="B359" s="4" t="s">
        <v>816</v>
      </c>
      <c r="C359" s="4" t="s">
        <v>101</v>
      </c>
      <c r="D359" s="4" t="s">
        <v>101</v>
      </c>
      <c r="E359" s="4">
        <v>365.1</v>
      </c>
      <c r="F359" s="4">
        <v>80</v>
      </c>
      <c r="G359" s="4">
        <v>80</v>
      </c>
    </row>
    <row r="360" spans="1:7">
      <c r="A360" s="4" t="s">
        <v>817</v>
      </c>
      <c r="B360" s="4" t="s">
        <v>818</v>
      </c>
      <c r="C360" s="4" t="s">
        <v>97</v>
      </c>
      <c r="D360" s="4" t="s">
        <v>97</v>
      </c>
      <c r="E360" s="4">
        <v>608.1</v>
      </c>
      <c r="F360" s="4">
        <v>-2</v>
      </c>
      <c r="G360" s="4">
        <v>0</v>
      </c>
    </row>
    <row r="361" spans="1:7">
      <c r="A361" s="4" t="s">
        <v>819</v>
      </c>
      <c r="B361" s="4" t="s">
        <v>820</v>
      </c>
      <c r="C361" s="4" t="s">
        <v>97</v>
      </c>
      <c r="D361" s="4" t="s">
        <v>97</v>
      </c>
      <c r="E361" s="4">
        <v>495.37</v>
      </c>
      <c r="F361" s="4">
        <v>35</v>
      </c>
      <c r="G361" s="4">
        <v>35</v>
      </c>
    </row>
    <row r="362" spans="1:7">
      <c r="A362" s="4" t="s">
        <v>821</v>
      </c>
      <c r="B362" s="4" t="s">
        <v>822</v>
      </c>
      <c r="C362" s="4" t="s">
        <v>89</v>
      </c>
      <c r="D362" s="4" t="s">
        <v>89</v>
      </c>
      <c r="E362" s="4">
        <v>999.62</v>
      </c>
      <c r="F362" s="4">
        <v>82</v>
      </c>
      <c r="G362" s="4">
        <v>82</v>
      </c>
    </row>
    <row r="363" spans="1:7">
      <c r="A363" s="4" t="s">
        <v>823</v>
      </c>
      <c r="B363" s="4" t="s">
        <v>824</v>
      </c>
      <c r="C363" s="4" t="s">
        <v>101</v>
      </c>
      <c r="D363" s="4" t="s">
        <v>101</v>
      </c>
      <c r="E363" s="4">
        <v>810.19</v>
      </c>
      <c r="F363" s="4">
        <v>25</v>
      </c>
      <c r="G363" s="4">
        <v>25</v>
      </c>
    </row>
    <row r="364" spans="1:7">
      <c r="A364" s="4" t="s">
        <v>825</v>
      </c>
      <c r="B364" s="4" t="s">
        <v>826</v>
      </c>
      <c r="C364" s="4" t="s">
        <v>156</v>
      </c>
      <c r="D364" s="4" t="s">
        <v>156</v>
      </c>
      <c r="E364" s="4">
        <v>688.72</v>
      </c>
      <c r="F364" s="4">
        <v>45</v>
      </c>
      <c r="G364" s="4">
        <v>45</v>
      </c>
    </row>
    <row r="365" spans="1:7">
      <c r="A365" s="4" t="s">
        <v>827</v>
      </c>
      <c r="B365" s="4" t="s">
        <v>828</v>
      </c>
      <c r="C365" s="4" t="s">
        <v>97</v>
      </c>
      <c r="D365" s="4" t="s">
        <v>97</v>
      </c>
      <c r="E365" s="4">
        <v>804.4</v>
      </c>
      <c r="F365" s="4">
        <v>88</v>
      </c>
      <c r="G365" s="4">
        <v>88</v>
      </c>
    </row>
    <row r="366" spans="1:7">
      <c r="A366" s="4" t="s">
        <v>829</v>
      </c>
      <c r="B366" s="4" t="s">
        <v>830</v>
      </c>
      <c r="C366" s="4" t="s">
        <v>89</v>
      </c>
      <c r="D366" s="4" t="s">
        <v>89</v>
      </c>
      <c r="E366" s="4">
        <v>501.69</v>
      </c>
      <c r="F366" s="4">
        <v>70</v>
      </c>
      <c r="G366" s="4">
        <v>70</v>
      </c>
    </row>
    <row r="367" spans="1:7">
      <c r="A367" s="4" t="s">
        <v>831</v>
      </c>
      <c r="B367" s="4" t="s">
        <v>832</v>
      </c>
      <c r="C367" s="4" t="s">
        <v>89</v>
      </c>
      <c r="D367" s="4" t="s">
        <v>89</v>
      </c>
      <c r="E367" s="4">
        <v>863.92</v>
      </c>
      <c r="F367" s="4">
        <v>17</v>
      </c>
      <c r="G367" s="4">
        <v>17</v>
      </c>
    </row>
    <row r="368" spans="1:7">
      <c r="A368" s="4" t="s">
        <v>833</v>
      </c>
      <c r="B368" s="4" t="s">
        <v>834</v>
      </c>
      <c r="C368" s="4" t="s">
        <v>114</v>
      </c>
      <c r="D368" s="4" t="s">
        <v>114</v>
      </c>
      <c r="E368" s="4">
        <v>653.04</v>
      </c>
      <c r="F368" s="4">
        <v>43</v>
      </c>
      <c r="G368" s="4">
        <v>43</v>
      </c>
    </row>
    <row r="369" spans="1:7">
      <c r="A369" s="4" t="s">
        <v>835</v>
      </c>
      <c r="B369" s="4" t="s">
        <v>836</v>
      </c>
      <c r="C369" s="4" t="s">
        <v>89</v>
      </c>
      <c r="D369" s="4" t="s">
        <v>89</v>
      </c>
      <c r="E369" s="4">
        <v>287.69</v>
      </c>
      <c r="F369" s="4">
        <v>8</v>
      </c>
      <c r="G369" s="4">
        <v>8</v>
      </c>
    </row>
    <row r="370" spans="1:7">
      <c r="A370" s="4" t="s">
        <v>837</v>
      </c>
      <c r="B370" s="4" t="s">
        <v>838</v>
      </c>
      <c r="C370" s="4" t="s">
        <v>89</v>
      </c>
      <c r="D370" s="4" t="s">
        <v>89</v>
      </c>
      <c r="E370" s="4">
        <v>175.63</v>
      </c>
      <c r="F370" s="4">
        <v>3</v>
      </c>
      <c r="G370" s="4">
        <v>3</v>
      </c>
    </row>
    <row r="371" spans="1:7">
      <c r="A371" s="4" t="s">
        <v>839</v>
      </c>
      <c r="B371" s="4" t="s">
        <v>840</v>
      </c>
      <c r="C371" s="4" t="s">
        <v>89</v>
      </c>
      <c r="D371" s="4" t="s">
        <v>89</v>
      </c>
      <c r="E371" s="4">
        <v>650.97</v>
      </c>
      <c r="F371" s="4">
        <v>34</v>
      </c>
      <c r="G371" s="4">
        <v>34</v>
      </c>
    </row>
    <row r="372" spans="1:7">
      <c r="A372" s="4" t="s">
        <v>841</v>
      </c>
      <c r="B372" s="4" t="s">
        <v>842</v>
      </c>
      <c r="C372" s="4" t="s">
        <v>89</v>
      </c>
      <c r="D372" s="4" t="s">
        <v>89</v>
      </c>
      <c r="E372" s="4">
        <v>778.01</v>
      </c>
      <c r="F372" s="4">
        <v>75</v>
      </c>
      <c r="G372" s="4">
        <v>75</v>
      </c>
    </row>
    <row r="373" spans="1:7">
      <c r="A373" s="4" t="s">
        <v>843</v>
      </c>
      <c r="B373" s="4" t="s">
        <v>844</v>
      </c>
      <c r="C373" s="4" t="s">
        <v>97</v>
      </c>
      <c r="D373" s="4" t="s">
        <v>97</v>
      </c>
      <c r="E373" s="4">
        <v>358.25</v>
      </c>
      <c r="F373" s="4">
        <v>61</v>
      </c>
      <c r="G373" s="4">
        <v>61</v>
      </c>
    </row>
    <row r="374" spans="1:7">
      <c r="A374" s="4" t="s">
        <v>845</v>
      </c>
      <c r="B374" s="4" t="s">
        <v>846</v>
      </c>
      <c r="C374" s="4" t="s">
        <v>97</v>
      </c>
      <c r="D374" s="4" t="s">
        <v>97</v>
      </c>
      <c r="E374" s="4">
        <v>323</v>
      </c>
      <c r="F374" s="4">
        <v>-8</v>
      </c>
      <c r="G374" s="4">
        <v>0</v>
      </c>
    </row>
    <row r="375" spans="1:7">
      <c r="A375" s="4" t="s">
        <v>847</v>
      </c>
      <c r="B375" s="4" t="s">
        <v>848</v>
      </c>
      <c r="C375" s="4" t="s">
        <v>114</v>
      </c>
      <c r="D375" s="4" t="s">
        <v>114</v>
      </c>
      <c r="E375" s="4">
        <v>384.14</v>
      </c>
      <c r="F375" s="4">
        <v>15</v>
      </c>
      <c r="G375" s="4">
        <v>15</v>
      </c>
    </row>
    <row r="376" spans="1:7">
      <c r="A376" s="4" t="s">
        <v>849</v>
      </c>
      <c r="B376" s="4" t="s">
        <v>850</v>
      </c>
      <c r="C376" s="4" t="s">
        <v>114</v>
      </c>
      <c r="D376" s="4" t="s">
        <v>114</v>
      </c>
      <c r="E376" s="4">
        <v>952.49</v>
      </c>
      <c r="F376" s="4">
        <v>89</v>
      </c>
      <c r="G376" s="4">
        <v>89</v>
      </c>
    </row>
    <row r="377" spans="1:7">
      <c r="A377" s="4" t="s">
        <v>851</v>
      </c>
      <c r="B377" s="4" t="s">
        <v>852</v>
      </c>
      <c r="C377" s="4" t="s">
        <v>114</v>
      </c>
      <c r="D377" s="4" t="s">
        <v>114</v>
      </c>
      <c r="E377" s="4">
        <v>628.48</v>
      </c>
      <c r="F377" s="4">
        <v>27</v>
      </c>
      <c r="G377" s="4">
        <v>27</v>
      </c>
    </row>
    <row r="378" spans="1:7">
      <c r="A378" s="4" t="s">
        <v>853</v>
      </c>
      <c r="B378" s="4" t="s">
        <v>854</v>
      </c>
      <c r="C378" s="4" t="s">
        <v>156</v>
      </c>
      <c r="D378" s="4" t="s">
        <v>156</v>
      </c>
      <c r="E378" s="4">
        <v>827.56</v>
      </c>
      <c r="F378" s="4">
        <v>92</v>
      </c>
      <c r="G378" s="4">
        <v>92</v>
      </c>
    </row>
    <row r="379" spans="1:7">
      <c r="A379" s="4" t="s">
        <v>855</v>
      </c>
      <c r="B379" s="4" t="s">
        <v>856</v>
      </c>
      <c r="C379" s="4" t="s">
        <v>97</v>
      </c>
      <c r="D379" s="4" t="s">
        <v>97</v>
      </c>
      <c r="E379" s="4">
        <v>695.98</v>
      </c>
      <c r="F379" s="4">
        <v>57</v>
      </c>
      <c r="G379" s="4">
        <v>57</v>
      </c>
    </row>
    <row r="380" spans="1:7">
      <c r="A380" s="4" t="s">
        <v>857</v>
      </c>
      <c r="B380" s="4" t="s">
        <v>858</v>
      </c>
      <c r="C380" s="4" t="s">
        <v>101</v>
      </c>
      <c r="D380" s="4" t="s">
        <v>101</v>
      </c>
      <c r="E380" s="4">
        <v>902.33</v>
      </c>
      <c r="F380" s="4">
        <v>46</v>
      </c>
      <c r="G380" s="4">
        <v>46</v>
      </c>
    </row>
    <row r="381" spans="1:7">
      <c r="A381" s="4" t="s">
        <v>859</v>
      </c>
      <c r="B381" s="4" t="s">
        <v>860</v>
      </c>
      <c r="C381" s="4" t="s">
        <v>97</v>
      </c>
      <c r="D381" s="4" t="s">
        <v>97</v>
      </c>
      <c r="E381" s="4">
        <v>420.41</v>
      </c>
      <c r="F381" s="4">
        <v>58</v>
      </c>
      <c r="G381" s="4">
        <v>58</v>
      </c>
    </row>
    <row r="382" spans="1:7">
      <c r="A382" s="4" t="s">
        <v>861</v>
      </c>
      <c r="B382" s="4" t="s">
        <v>862</v>
      </c>
      <c r="C382" s="4" t="s">
        <v>97</v>
      </c>
      <c r="D382" s="4" t="s">
        <v>97</v>
      </c>
      <c r="E382" s="4">
        <v>798.08</v>
      </c>
      <c r="F382" s="4">
        <v>97</v>
      </c>
      <c r="G382" s="4">
        <v>97</v>
      </c>
    </row>
    <row r="383" spans="1:7">
      <c r="A383" s="4" t="s">
        <v>863</v>
      </c>
      <c r="B383" s="4" t="s">
        <v>864</v>
      </c>
      <c r="C383" s="4" t="s">
        <v>101</v>
      </c>
      <c r="D383" s="4" t="s">
        <v>101</v>
      </c>
      <c r="E383" s="4">
        <v>468.78</v>
      </c>
      <c r="F383" s="4">
        <v>-5</v>
      </c>
      <c r="G383" s="4">
        <v>0</v>
      </c>
    </row>
    <row r="384" spans="1:7">
      <c r="A384" s="4" t="s">
        <v>865</v>
      </c>
      <c r="B384" s="4" t="s">
        <v>866</v>
      </c>
      <c r="C384" s="4" t="s">
        <v>101</v>
      </c>
      <c r="D384" s="4" t="s">
        <v>101</v>
      </c>
      <c r="E384" s="4">
        <v>846.18</v>
      </c>
      <c r="F384" s="4">
        <v>37</v>
      </c>
      <c r="G384" s="4">
        <v>37</v>
      </c>
    </row>
    <row r="385" spans="1:7">
      <c r="A385" s="4" t="s">
        <v>867</v>
      </c>
      <c r="B385" s="4" t="s">
        <v>868</v>
      </c>
      <c r="C385" s="4" t="s">
        <v>156</v>
      </c>
      <c r="D385" s="4" t="s">
        <v>156</v>
      </c>
      <c r="E385" s="4">
        <v>668.87</v>
      </c>
      <c r="F385" s="4">
        <v>82</v>
      </c>
      <c r="G385" s="4">
        <v>82</v>
      </c>
    </row>
    <row r="386" spans="1:7">
      <c r="A386" s="4" t="s">
        <v>869</v>
      </c>
      <c r="B386" s="4" t="s">
        <v>870</v>
      </c>
      <c r="C386" s="4" t="s">
        <v>97</v>
      </c>
      <c r="D386" s="4" t="s">
        <v>97</v>
      </c>
      <c r="E386" s="4">
        <v>285.81</v>
      </c>
      <c r="F386" s="4">
        <v>1</v>
      </c>
      <c r="G386" s="4">
        <v>1</v>
      </c>
    </row>
    <row r="387" spans="1:7">
      <c r="A387" s="4" t="s">
        <v>871</v>
      </c>
      <c r="B387" s="4" t="s">
        <v>872</v>
      </c>
      <c r="C387" s="4" t="s">
        <v>89</v>
      </c>
      <c r="D387" s="4" t="s">
        <v>89</v>
      </c>
      <c r="E387" s="4">
        <v>901.5</v>
      </c>
      <c r="F387" s="4">
        <v>62</v>
      </c>
      <c r="G387" s="4">
        <v>62</v>
      </c>
    </row>
    <row r="388" spans="1:7">
      <c r="A388" s="4" t="s">
        <v>873</v>
      </c>
      <c r="B388" s="4" t="s">
        <v>874</v>
      </c>
      <c r="C388" s="4" t="s">
        <v>89</v>
      </c>
      <c r="D388" s="4" t="s">
        <v>89</v>
      </c>
      <c r="E388" s="4">
        <v>228.39</v>
      </c>
      <c r="F388" s="4">
        <v>-7</v>
      </c>
      <c r="G388" s="4">
        <v>0</v>
      </c>
    </row>
    <row r="389" spans="1:7">
      <c r="A389" s="4" t="s">
        <v>875</v>
      </c>
      <c r="B389" s="4" t="s">
        <v>876</v>
      </c>
      <c r="C389" s="4" t="s">
        <v>97</v>
      </c>
      <c r="D389" s="4" t="s">
        <v>97</v>
      </c>
      <c r="E389" s="4">
        <v>905.74</v>
      </c>
      <c r="F389" s="4">
        <v>59</v>
      </c>
      <c r="G389" s="4">
        <v>59</v>
      </c>
    </row>
    <row r="390" spans="1:7">
      <c r="A390" s="4" t="s">
        <v>877</v>
      </c>
      <c r="B390" s="4" t="s">
        <v>878</v>
      </c>
      <c r="C390" s="4" t="s">
        <v>101</v>
      </c>
      <c r="D390" s="4" t="s">
        <v>101</v>
      </c>
      <c r="E390" s="4">
        <v>821.84</v>
      </c>
      <c r="F390" s="4">
        <v>74</v>
      </c>
      <c r="G390" s="4">
        <v>74</v>
      </c>
    </row>
    <row r="391" spans="1:7">
      <c r="A391" s="4" t="s">
        <v>879</v>
      </c>
      <c r="B391" s="4" t="s">
        <v>880</v>
      </c>
      <c r="C391" s="4" t="s">
        <v>114</v>
      </c>
      <c r="D391" s="4" t="s">
        <v>114</v>
      </c>
      <c r="E391" s="4">
        <v>99.42</v>
      </c>
      <c r="F391" s="4">
        <v>92</v>
      </c>
      <c r="G391" s="4">
        <v>92</v>
      </c>
    </row>
    <row r="392" spans="1:7">
      <c r="A392" s="4" t="s">
        <v>881</v>
      </c>
      <c r="B392" s="4" t="s">
        <v>882</v>
      </c>
      <c r="C392" s="4" t="s">
        <v>89</v>
      </c>
      <c r="D392" s="4" t="s">
        <v>89</v>
      </c>
      <c r="E392" s="4">
        <v>888.88</v>
      </c>
      <c r="F392" s="4">
        <v>1</v>
      </c>
      <c r="G392" s="4">
        <v>1</v>
      </c>
    </row>
    <row r="393" spans="1:7">
      <c r="A393" s="4" t="s">
        <v>883</v>
      </c>
      <c r="B393" s="4" t="s">
        <v>884</v>
      </c>
      <c r="C393" s="4" t="s">
        <v>114</v>
      </c>
      <c r="D393" s="4" t="s">
        <v>114</v>
      </c>
      <c r="E393" s="4">
        <v>513.07000000000005</v>
      </c>
      <c r="F393" s="4">
        <v>64</v>
      </c>
      <c r="G393" s="4">
        <v>64</v>
      </c>
    </row>
    <row r="394" spans="1:7">
      <c r="A394" s="4" t="s">
        <v>885</v>
      </c>
      <c r="B394" s="4" t="s">
        <v>886</v>
      </c>
      <c r="C394" s="4" t="s">
        <v>114</v>
      </c>
      <c r="D394" s="4" t="s">
        <v>114</v>
      </c>
      <c r="E394" s="4">
        <v>145.58000000000001</v>
      </c>
      <c r="F394" s="4">
        <v>-4</v>
      </c>
      <c r="G394" s="4">
        <v>0</v>
      </c>
    </row>
    <row r="395" spans="1:7">
      <c r="A395" s="4" t="s">
        <v>887</v>
      </c>
      <c r="B395" s="4" t="s">
        <v>888</v>
      </c>
      <c r="C395" s="4" t="s">
        <v>89</v>
      </c>
      <c r="D395" s="4" t="s">
        <v>89</v>
      </c>
      <c r="E395" s="4">
        <v>958.08</v>
      </c>
      <c r="F395" s="4">
        <v>13</v>
      </c>
      <c r="G395" s="4">
        <v>13</v>
      </c>
    </row>
    <row r="396" spans="1:7">
      <c r="A396" s="4" t="s">
        <v>889</v>
      </c>
      <c r="B396" s="4" t="s">
        <v>890</v>
      </c>
      <c r="C396" s="4" t="s">
        <v>156</v>
      </c>
      <c r="D396" s="4" t="s">
        <v>156</v>
      </c>
      <c r="E396" s="4">
        <v>357.59</v>
      </c>
      <c r="F396" s="4">
        <v>21</v>
      </c>
      <c r="G396" s="4">
        <v>21</v>
      </c>
    </row>
    <row r="397" spans="1:7">
      <c r="A397" s="4" t="s">
        <v>891</v>
      </c>
      <c r="B397" s="4" t="s">
        <v>892</v>
      </c>
      <c r="C397" s="4" t="s">
        <v>156</v>
      </c>
      <c r="D397" s="4" t="s">
        <v>156</v>
      </c>
      <c r="E397" s="4">
        <v>371.86</v>
      </c>
      <c r="F397" s="4">
        <v>54</v>
      </c>
      <c r="G397" s="4">
        <v>54</v>
      </c>
    </row>
    <row r="398" spans="1:7">
      <c r="A398" s="4" t="s">
        <v>893</v>
      </c>
      <c r="B398" s="4" t="s">
        <v>894</v>
      </c>
      <c r="C398" s="4" t="s">
        <v>89</v>
      </c>
      <c r="D398" s="4" t="s">
        <v>89</v>
      </c>
      <c r="E398" s="4">
        <v>466.12</v>
      </c>
      <c r="F398" s="4">
        <v>37</v>
      </c>
      <c r="G398" s="4">
        <v>37</v>
      </c>
    </row>
    <row r="399" spans="1:7">
      <c r="A399" s="4" t="s">
        <v>895</v>
      </c>
      <c r="B399" s="4" t="s">
        <v>896</v>
      </c>
      <c r="C399" s="4" t="s">
        <v>89</v>
      </c>
      <c r="D399" s="4" t="s">
        <v>89</v>
      </c>
      <c r="E399" s="4">
        <v>822.82</v>
      </c>
      <c r="F399" s="4">
        <v>84</v>
      </c>
      <c r="G399" s="4">
        <v>84</v>
      </c>
    </row>
    <row r="400" spans="1:7">
      <c r="A400" s="4" t="s">
        <v>897</v>
      </c>
      <c r="B400" s="4" t="s">
        <v>898</v>
      </c>
      <c r="C400" s="4" t="s">
        <v>101</v>
      </c>
      <c r="D400" s="4" t="s">
        <v>101</v>
      </c>
      <c r="E400" s="4">
        <v>759.65</v>
      </c>
      <c r="F400" s="4">
        <v>75</v>
      </c>
      <c r="G400" s="4">
        <v>75</v>
      </c>
    </row>
    <row r="401" spans="1:7">
      <c r="A401" s="4" t="s">
        <v>899</v>
      </c>
      <c r="B401" s="4" t="s">
        <v>900</v>
      </c>
      <c r="C401" s="4" t="s">
        <v>97</v>
      </c>
      <c r="D401" s="4" t="s">
        <v>97</v>
      </c>
      <c r="E401" s="4">
        <v>715.03</v>
      </c>
      <c r="F401" s="4">
        <v>-6</v>
      </c>
      <c r="G401" s="4">
        <v>0</v>
      </c>
    </row>
    <row r="402" spans="1:7">
      <c r="A402" s="4" t="s">
        <v>901</v>
      </c>
      <c r="B402" s="4" t="s">
        <v>902</v>
      </c>
      <c r="C402" s="4" t="s">
        <v>156</v>
      </c>
      <c r="D402" s="4" t="s">
        <v>156</v>
      </c>
      <c r="E402" s="4">
        <v>960.29</v>
      </c>
      <c r="F402" s="4">
        <v>23</v>
      </c>
      <c r="G402" s="4">
        <v>23</v>
      </c>
    </row>
    <row r="403" spans="1:7">
      <c r="A403" s="4" t="s">
        <v>903</v>
      </c>
      <c r="B403" s="4" t="s">
        <v>904</v>
      </c>
      <c r="C403" s="4" t="s">
        <v>156</v>
      </c>
      <c r="D403" s="4" t="s">
        <v>156</v>
      </c>
      <c r="E403" s="4">
        <v>499.52</v>
      </c>
      <c r="F403" s="4">
        <v>48</v>
      </c>
      <c r="G403" s="4">
        <v>48</v>
      </c>
    </row>
    <row r="404" spans="1:7">
      <c r="A404" s="4" t="s">
        <v>905</v>
      </c>
      <c r="B404" s="4" t="s">
        <v>906</v>
      </c>
      <c r="C404" s="4" t="s">
        <v>156</v>
      </c>
      <c r="D404" s="4" t="s">
        <v>156</v>
      </c>
      <c r="E404" s="4">
        <v>931.21</v>
      </c>
      <c r="F404" s="4">
        <v>2</v>
      </c>
      <c r="G404" s="4">
        <v>2</v>
      </c>
    </row>
    <row r="405" spans="1:7">
      <c r="A405" s="4" t="s">
        <v>907</v>
      </c>
      <c r="B405" s="4" t="s">
        <v>908</v>
      </c>
      <c r="C405" s="4" t="s">
        <v>89</v>
      </c>
      <c r="D405" s="4" t="s">
        <v>89</v>
      </c>
      <c r="E405" s="4">
        <v>931.88</v>
      </c>
      <c r="F405" s="4">
        <v>53</v>
      </c>
      <c r="G405" s="4">
        <v>53</v>
      </c>
    </row>
    <row r="406" spans="1:7">
      <c r="A406" s="4" t="s">
        <v>909</v>
      </c>
      <c r="B406" s="4" t="s">
        <v>910</v>
      </c>
      <c r="C406" s="4" t="s">
        <v>114</v>
      </c>
      <c r="D406" s="4" t="s">
        <v>114</v>
      </c>
      <c r="E406" s="4">
        <v>895.39</v>
      </c>
      <c r="F406" s="4">
        <v>78</v>
      </c>
      <c r="G406" s="4">
        <v>78</v>
      </c>
    </row>
    <row r="407" spans="1:7">
      <c r="A407" s="4" t="s">
        <v>911</v>
      </c>
      <c r="B407" s="4" t="s">
        <v>912</v>
      </c>
      <c r="C407" s="4" t="s">
        <v>101</v>
      </c>
      <c r="D407" s="4" t="s">
        <v>101</v>
      </c>
      <c r="E407" s="4">
        <v>736.04</v>
      </c>
      <c r="F407" s="4">
        <v>-9</v>
      </c>
      <c r="G407" s="4">
        <v>0</v>
      </c>
    </row>
    <row r="408" spans="1:7">
      <c r="A408" s="4" t="s">
        <v>913</v>
      </c>
      <c r="B408" s="4" t="s">
        <v>914</v>
      </c>
      <c r="C408" s="4" t="s">
        <v>89</v>
      </c>
      <c r="D408" s="4" t="s">
        <v>89</v>
      </c>
      <c r="E408" s="4">
        <v>315.91000000000003</v>
      </c>
      <c r="F408" s="4">
        <v>63</v>
      </c>
      <c r="G408" s="4">
        <v>63</v>
      </c>
    </row>
    <row r="409" spans="1:7">
      <c r="A409" s="4" t="s">
        <v>915</v>
      </c>
      <c r="B409" s="4" t="s">
        <v>916</v>
      </c>
      <c r="C409" s="4" t="s">
        <v>156</v>
      </c>
      <c r="D409" s="4" t="s">
        <v>156</v>
      </c>
      <c r="E409" s="4">
        <v>390.05</v>
      </c>
      <c r="F409" s="4">
        <v>70</v>
      </c>
      <c r="G409" s="4">
        <v>70</v>
      </c>
    </row>
    <row r="410" spans="1:7">
      <c r="A410" s="4" t="s">
        <v>917</v>
      </c>
      <c r="B410" s="4" t="s">
        <v>918</v>
      </c>
      <c r="C410" s="4" t="s">
        <v>101</v>
      </c>
      <c r="D410" s="4" t="s">
        <v>101</v>
      </c>
      <c r="E410" s="4">
        <v>86.41</v>
      </c>
      <c r="F410" s="4">
        <v>64</v>
      </c>
      <c r="G410" s="4">
        <v>64</v>
      </c>
    </row>
    <row r="411" spans="1:7">
      <c r="A411" s="4" t="s">
        <v>919</v>
      </c>
      <c r="B411" s="4" t="s">
        <v>920</v>
      </c>
      <c r="C411" s="4" t="s">
        <v>114</v>
      </c>
      <c r="D411" s="4" t="s">
        <v>114</v>
      </c>
      <c r="E411" s="4">
        <v>297.97000000000003</v>
      </c>
      <c r="F411" s="4">
        <v>41</v>
      </c>
      <c r="G411" s="4">
        <v>41</v>
      </c>
    </row>
    <row r="412" spans="1:7">
      <c r="A412" s="4" t="s">
        <v>921</v>
      </c>
      <c r="B412" s="4" t="s">
        <v>922</v>
      </c>
      <c r="C412" s="4" t="s">
        <v>114</v>
      </c>
      <c r="D412" s="4" t="s">
        <v>114</v>
      </c>
      <c r="E412" s="4">
        <v>982.28</v>
      </c>
      <c r="F412" s="4">
        <v>14</v>
      </c>
      <c r="G412" s="4">
        <v>14</v>
      </c>
    </row>
    <row r="413" spans="1:7">
      <c r="A413" s="4" t="s">
        <v>923</v>
      </c>
      <c r="B413" s="4" t="s">
        <v>924</v>
      </c>
      <c r="C413" s="4" t="s">
        <v>101</v>
      </c>
      <c r="D413" s="4" t="s">
        <v>101</v>
      </c>
      <c r="E413" s="4">
        <v>229.63</v>
      </c>
      <c r="F413" s="4">
        <v>-7</v>
      </c>
      <c r="G413" s="4">
        <v>0</v>
      </c>
    </row>
    <row r="414" spans="1:7">
      <c r="A414" s="4" t="s">
        <v>925</v>
      </c>
      <c r="B414" s="4" t="s">
        <v>926</v>
      </c>
      <c r="C414" s="4" t="s">
        <v>114</v>
      </c>
      <c r="D414" s="4" t="s">
        <v>114</v>
      </c>
      <c r="E414" s="4">
        <v>324.85000000000002</v>
      </c>
      <c r="F414" s="4">
        <v>8</v>
      </c>
      <c r="G414" s="4">
        <v>8</v>
      </c>
    </row>
    <row r="415" spans="1:7">
      <c r="A415" s="4" t="s">
        <v>927</v>
      </c>
      <c r="B415" s="4" t="s">
        <v>928</v>
      </c>
      <c r="C415" s="4" t="s">
        <v>101</v>
      </c>
      <c r="D415" s="4" t="s">
        <v>101</v>
      </c>
      <c r="E415" s="4">
        <v>380.52</v>
      </c>
      <c r="F415" s="4">
        <v>49</v>
      </c>
      <c r="G415" s="4">
        <v>49</v>
      </c>
    </row>
    <row r="416" spans="1:7">
      <c r="A416" s="4" t="s">
        <v>929</v>
      </c>
      <c r="B416" s="4" t="s">
        <v>930</v>
      </c>
      <c r="C416" s="4" t="s">
        <v>89</v>
      </c>
      <c r="D416" s="4" t="s">
        <v>89</v>
      </c>
      <c r="E416" s="4">
        <v>877.99</v>
      </c>
      <c r="F416" s="4">
        <v>30</v>
      </c>
      <c r="G416" s="4">
        <v>30</v>
      </c>
    </row>
    <row r="417" spans="1:7">
      <c r="A417" s="4" t="s">
        <v>931</v>
      </c>
      <c r="B417" s="4" t="s">
        <v>932</v>
      </c>
      <c r="C417" s="4" t="s">
        <v>156</v>
      </c>
      <c r="D417" s="4" t="s">
        <v>156</v>
      </c>
      <c r="E417" s="4">
        <v>938.45</v>
      </c>
      <c r="F417" s="4">
        <v>53</v>
      </c>
      <c r="G417" s="4">
        <v>53</v>
      </c>
    </row>
    <row r="418" spans="1:7">
      <c r="A418" s="4" t="s">
        <v>933</v>
      </c>
      <c r="B418" s="4" t="s">
        <v>934</v>
      </c>
      <c r="C418" s="4" t="s">
        <v>97</v>
      </c>
      <c r="D418" s="4" t="s">
        <v>97</v>
      </c>
      <c r="E418" s="4">
        <v>713.93</v>
      </c>
      <c r="F418" s="4">
        <v>47</v>
      </c>
      <c r="G418" s="4">
        <v>47</v>
      </c>
    </row>
    <row r="419" spans="1:7">
      <c r="A419" s="4" t="s">
        <v>935</v>
      </c>
      <c r="B419" s="4" t="s">
        <v>936</v>
      </c>
      <c r="C419" s="4" t="s">
        <v>97</v>
      </c>
      <c r="D419" s="4" t="s">
        <v>97</v>
      </c>
      <c r="E419" s="4">
        <v>352.05</v>
      </c>
      <c r="F419" s="4">
        <v>79</v>
      </c>
      <c r="G419" s="4">
        <v>79</v>
      </c>
    </row>
    <row r="420" spans="1:7">
      <c r="A420" s="4" t="s">
        <v>937</v>
      </c>
      <c r="B420" s="4" t="s">
        <v>938</v>
      </c>
      <c r="C420" s="4" t="s">
        <v>156</v>
      </c>
      <c r="D420" s="4" t="s">
        <v>156</v>
      </c>
      <c r="E420" s="4">
        <v>471.7</v>
      </c>
      <c r="F420" s="4">
        <v>61</v>
      </c>
      <c r="G420" s="4">
        <v>61</v>
      </c>
    </row>
    <row r="421" spans="1:7">
      <c r="A421" s="4" t="s">
        <v>939</v>
      </c>
      <c r="B421" s="4" t="s">
        <v>940</v>
      </c>
      <c r="C421" s="4" t="s">
        <v>114</v>
      </c>
      <c r="D421" s="4" t="s">
        <v>114</v>
      </c>
      <c r="E421" s="4">
        <v>384.83</v>
      </c>
      <c r="F421" s="4">
        <v>39</v>
      </c>
      <c r="G421" s="4">
        <v>39</v>
      </c>
    </row>
    <row r="422" spans="1:7">
      <c r="A422" s="4" t="s">
        <v>941</v>
      </c>
      <c r="B422" s="4" t="s">
        <v>942</v>
      </c>
      <c r="C422" s="4" t="s">
        <v>97</v>
      </c>
      <c r="D422" s="4" t="s">
        <v>97</v>
      </c>
      <c r="E422" s="4">
        <v>925.55</v>
      </c>
      <c r="F422" s="4">
        <v>78</v>
      </c>
      <c r="G422" s="4">
        <v>78</v>
      </c>
    </row>
    <row r="423" spans="1:7">
      <c r="A423" s="4" t="s">
        <v>943</v>
      </c>
      <c r="B423" s="4" t="s">
        <v>944</v>
      </c>
      <c r="C423" s="4" t="s">
        <v>114</v>
      </c>
      <c r="D423" s="4" t="s">
        <v>114</v>
      </c>
      <c r="E423" s="4">
        <v>524.37</v>
      </c>
      <c r="F423" s="4">
        <v>-3</v>
      </c>
      <c r="G423" s="4">
        <v>0</v>
      </c>
    </row>
    <row r="424" spans="1:7">
      <c r="A424" s="4" t="s">
        <v>945</v>
      </c>
      <c r="B424" s="4" t="s">
        <v>946</v>
      </c>
      <c r="C424" s="4" t="s">
        <v>101</v>
      </c>
      <c r="D424" s="4" t="s">
        <v>101</v>
      </c>
      <c r="E424" s="4">
        <v>915.99</v>
      </c>
      <c r="F424" s="4">
        <v>39</v>
      </c>
      <c r="G424" s="4">
        <v>39</v>
      </c>
    </row>
    <row r="425" spans="1:7">
      <c r="A425" s="4" t="s">
        <v>947</v>
      </c>
      <c r="B425" s="4" t="s">
        <v>948</v>
      </c>
      <c r="C425" s="4" t="s">
        <v>156</v>
      </c>
      <c r="D425" s="4" t="s">
        <v>156</v>
      </c>
      <c r="E425" s="4">
        <v>88.13</v>
      </c>
      <c r="F425" s="4">
        <v>84</v>
      </c>
      <c r="G425" s="4">
        <v>84</v>
      </c>
    </row>
    <row r="426" spans="1:7">
      <c r="A426" s="4" t="s">
        <v>949</v>
      </c>
      <c r="B426" s="4" t="s">
        <v>950</v>
      </c>
      <c r="C426" s="4" t="s">
        <v>97</v>
      </c>
      <c r="D426" s="4" t="s">
        <v>97</v>
      </c>
      <c r="E426" s="4">
        <v>586.4</v>
      </c>
      <c r="F426" s="4">
        <v>37</v>
      </c>
      <c r="G426" s="4">
        <v>37</v>
      </c>
    </row>
    <row r="427" spans="1:7">
      <c r="A427" s="4" t="s">
        <v>951</v>
      </c>
      <c r="B427" s="4" t="s">
        <v>952</v>
      </c>
      <c r="C427" s="4" t="s">
        <v>89</v>
      </c>
      <c r="D427" s="4" t="s">
        <v>89</v>
      </c>
      <c r="E427" s="4">
        <v>403.36</v>
      </c>
      <c r="F427" s="4">
        <v>4</v>
      </c>
      <c r="G427" s="4">
        <v>4</v>
      </c>
    </row>
    <row r="428" spans="1:7">
      <c r="A428" s="4" t="s">
        <v>953</v>
      </c>
      <c r="B428" s="4" t="s">
        <v>954</v>
      </c>
      <c r="C428" s="4" t="s">
        <v>101</v>
      </c>
      <c r="D428" s="4" t="s">
        <v>101</v>
      </c>
      <c r="E428" s="4">
        <v>931.83</v>
      </c>
      <c r="F428" s="4">
        <v>82</v>
      </c>
      <c r="G428" s="4">
        <v>82</v>
      </c>
    </row>
    <row r="429" spans="1:7">
      <c r="A429" s="4" t="s">
        <v>955</v>
      </c>
      <c r="B429" s="4" t="s">
        <v>956</v>
      </c>
      <c r="C429" s="4" t="s">
        <v>89</v>
      </c>
      <c r="D429" s="4" t="s">
        <v>89</v>
      </c>
      <c r="E429" s="4">
        <v>786.65</v>
      </c>
      <c r="F429" s="4">
        <v>51</v>
      </c>
      <c r="G429" s="4">
        <v>51</v>
      </c>
    </row>
    <row r="430" spans="1:7">
      <c r="A430" s="4" t="s">
        <v>957</v>
      </c>
      <c r="B430" s="4" t="s">
        <v>958</v>
      </c>
      <c r="C430" s="4" t="s">
        <v>101</v>
      </c>
      <c r="D430" s="4" t="s">
        <v>101</v>
      </c>
      <c r="E430" s="4">
        <v>104.1</v>
      </c>
      <c r="F430" s="4">
        <v>26</v>
      </c>
      <c r="G430" s="4">
        <v>26</v>
      </c>
    </row>
    <row r="431" spans="1:7">
      <c r="A431" s="4" t="s">
        <v>959</v>
      </c>
      <c r="B431" s="4" t="s">
        <v>960</v>
      </c>
      <c r="C431" s="4" t="s">
        <v>101</v>
      </c>
      <c r="D431" s="4" t="s">
        <v>101</v>
      </c>
      <c r="E431" s="4">
        <v>792.62</v>
      </c>
      <c r="F431" s="4">
        <v>-1</v>
      </c>
      <c r="G431" s="4">
        <v>0</v>
      </c>
    </row>
    <row r="432" spans="1:7">
      <c r="A432" s="4" t="s">
        <v>961</v>
      </c>
      <c r="B432" s="4" t="s">
        <v>962</v>
      </c>
      <c r="C432" s="4" t="s">
        <v>101</v>
      </c>
      <c r="D432" s="4" t="s">
        <v>101</v>
      </c>
      <c r="E432" s="4">
        <v>772.48</v>
      </c>
      <c r="F432" s="4">
        <v>78</v>
      </c>
      <c r="G432" s="4">
        <v>78</v>
      </c>
    </row>
    <row r="433" spans="1:7">
      <c r="A433" s="4" t="s">
        <v>963</v>
      </c>
      <c r="B433" s="4" t="s">
        <v>964</v>
      </c>
      <c r="C433" s="4" t="s">
        <v>156</v>
      </c>
      <c r="D433" s="4" t="s">
        <v>156</v>
      </c>
      <c r="E433" s="4">
        <v>251.37</v>
      </c>
      <c r="F433" s="4">
        <v>73</v>
      </c>
      <c r="G433" s="4">
        <v>73</v>
      </c>
    </row>
    <row r="434" spans="1:7">
      <c r="A434" s="4" t="s">
        <v>965</v>
      </c>
      <c r="B434" s="4" t="s">
        <v>966</v>
      </c>
      <c r="C434" s="4" t="s">
        <v>114</v>
      </c>
      <c r="D434" s="4" t="s">
        <v>114</v>
      </c>
      <c r="E434" s="4">
        <v>697.04</v>
      </c>
      <c r="F434" s="4">
        <v>77</v>
      </c>
      <c r="G434" s="4">
        <v>77</v>
      </c>
    </row>
    <row r="435" spans="1:7">
      <c r="A435" s="4" t="s">
        <v>967</v>
      </c>
      <c r="B435" s="4" t="s">
        <v>968</v>
      </c>
      <c r="C435" s="4" t="s">
        <v>156</v>
      </c>
      <c r="D435" s="4" t="s">
        <v>156</v>
      </c>
      <c r="E435" s="4">
        <v>954.59</v>
      </c>
      <c r="F435" s="4">
        <v>52</v>
      </c>
      <c r="G435" s="4">
        <v>52</v>
      </c>
    </row>
    <row r="436" spans="1:7">
      <c r="A436" s="4" t="s">
        <v>969</v>
      </c>
      <c r="B436" s="4" t="s">
        <v>970</v>
      </c>
      <c r="C436" s="4" t="s">
        <v>97</v>
      </c>
      <c r="D436" s="4" t="s">
        <v>97</v>
      </c>
      <c r="E436" s="4">
        <v>763.67</v>
      </c>
      <c r="F436" s="4">
        <v>52</v>
      </c>
      <c r="G436" s="4">
        <v>52</v>
      </c>
    </row>
    <row r="437" spans="1:7">
      <c r="A437" s="4" t="s">
        <v>971</v>
      </c>
      <c r="B437" s="4" t="s">
        <v>972</v>
      </c>
      <c r="C437" s="4" t="s">
        <v>156</v>
      </c>
      <c r="D437" s="4" t="s">
        <v>156</v>
      </c>
      <c r="E437" s="4">
        <v>260.13</v>
      </c>
      <c r="F437" s="4">
        <v>27</v>
      </c>
      <c r="G437" s="4">
        <v>27</v>
      </c>
    </row>
    <row r="438" spans="1:7">
      <c r="A438" s="4" t="s">
        <v>973</v>
      </c>
      <c r="B438" s="4" t="s">
        <v>974</v>
      </c>
      <c r="C438" s="4" t="s">
        <v>114</v>
      </c>
      <c r="D438" s="4" t="s">
        <v>114</v>
      </c>
      <c r="E438" s="4">
        <v>167.31</v>
      </c>
      <c r="F438" s="4">
        <v>-1</v>
      </c>
      <c r="G438" s="4">
        <v>0</v>
      </c>
    </row>
    <row r="439" spans="1:7">
      <c r="A439" s="4" t="s">
        <v>975</v>
      </c>
      <c r="B439" s="4" t="s">
        <v>976</v>
      </c>
      <c r="C439" s="4" t="s">
        <v>97</v>
      </c>
      <c r="D439" s="4" t="s">
        <v>97</v>
      </c>
      <c r="E439" s="4">
        <v>476.71</v>
      </c>
      <c r="F439" s="4">
        <v>16</v>
      </c>
      <c r="G439" s="4">
        <v>16</v>
      </c>
    </row>
    <row r="440" spans="1:7">
      <c r="A440" s="4" t="s">
        <v>977</v>
      </c>
      <c r="B440" s="4" t="s">
        <v>978</v>
      </c>
      <c r="C440" s="4" t="s">
        <v>156</v>
      </c>
      <c r="D440" s="4" t="s">
        <v>156</v>
      </c>
      <c r="E440" s="4">
        <v>821.49</v>
      </c>
      <c r="F440" s="4">
        <v>2</v>
      </c>
      <c r="G440" s="4">
        <v>2</v>
      </c>
    </row>
    <row r="441" spans="1:7">
      <c r="A441" s="4" t="s">
        <v>979</v>
      </c>
      <c r="B441" s="4" t="s">
        <v>980</v>
      </c>
      <c r="C441" s="4" t="s">
        <v>101</v>
      </c>
      <c r="D441" s="4" t="s">
        <v>101</v>
      </c>
      <c r="E441" s="4">
        <v>355.44</v>
      </c>
      <c r="F441" s="4">
        <v>37</v>
      </c>
      <c r="G441" s="4">
        <v>37</v>
      </c>
    </row>
    <row r="442" spans="1:7">
      <c r="A442" s="4" t="s">
        <v>981</v>
      </c>
      <c r="B442" s="4" t="s">
        <v>982</v>
      </c>
      <c r="C442" s="4" t="s">
        <v>114</v>
      </c>
      <c r="D442" s="4" t="s">
        <v>114</v>
      </c>
      <c r="E442" s="4">
        <v>484.2</v>
      </c>
      <c r="F442" s="4">
        <v>96</v>
      </c>
      <c r="G442" s="4">
        <v>96</v>
      </c>
    </row>
    <row r="443" spans="1:7">
      <c r="A443" s="4" t="s">
        <v>983</v>
      </c>
      <c r="B443" s="4" t="s">
        <v>984</v>
      </c>
      <c r="C443" s="4" t="s">
        <v>101</v>
      </c>
      <c r="D443" s="4" t="s">
        <v>101</v>
      </c>
      <c r="E443" s="4">
        <v>909.45</v>
      </c>
      <c r="F443" s="4">
        <v>0</v>
      </c>
      <c r="G443" s="4">
        <v>0</v>
      </c>
    </row>
    <row r="444" spans="1:7">
      <c r="A444" s="4" t="s">
        <v>985</v>
      </c>
      <c r="B444" s="4" t="s">
        <v>986</v>
      </c>
      <c r="C444" s="4" t="s">
        <v>156</v>
      </c>
      <c r="D444" s="4" t="s">
        <v>156</v>
      </c>
      <c r="E444" s="4">
        <v>219.38</v>
      </c>
      <c r="F444" s="4">
        <v>96</v>
      </c>
      <c r="G444" s="4">
        <v>96</v>
      </c>
    </row>
    <row r="445" spans="1:7">
      <c r="A445" s="4" t="s">
        <v>987</v>
      </c>
      <c r="B445" s="4" t="s">
        <v>988</v>
      </c>
      <c r="C445" s="4" t="s">
        <v>101</v>
      </c>
      <c r="D445" s="4" t="s">
        <v>101</v>
      </c>
      <c r="E445" s="4">
        <v>498.82</v>
      </c>
      <c r="F445" s="4">
        <v>51</v>
      </c>
      <c r="G445" s="4">
        <v>51</v>
      </c>
    </row>
    <row r="446" spans="1:7">
      <c r="A446" s="4" t="s">
        <v>989</v>
      </c>
      <c r="B446" s="4" t="s">
        <v>990</v>
      </c>
      <c r="C446" s="4" t="s">
        <v>101</v>
      </c>
      <c r="D446" s="4" t="s">
        <v>101</v>
      </c>
      <c r="E446" s="4">
        <v>266.77999999999997</v>
      </c>
      <c r="F446" s="4">
        <v>72</v>
      </c>
      <c r="G446" s="4">
        <v>72</v>
      </c>
    </row>
    <row r="447" spans="1:7">
      <c r="A447" s="4" t="s">
        <v>991</v>
      </c>
      <c r="B447" s="4" t="s">
        <v>992</v>
      </c>
      <c r="C447" s="4" t="s">
        <v>114</v>
      </c>
      <c r="D447" s="4" t="s">
        <v>114</v>
      </c>
      <c r="E447" s="4">
        <v>171.68</v>
      </c>
      <c r="F447" s="4">
        <v>67</v>
      </c>
      <c r="G447" s="4">
        <v>67</v>
      </c>
    </row>
    <row r="448" spans="1:7">
      <c r="A448" s="4" t="s">
        <v>993</v>
      </c>
      <c r="B448" s="4" t="s">
        <v>994</v>
      </c>
      <c r="C448" s="4" t="s">
        <v>97</v>
      </c>
      <c r="D448" s="4" t="s">
        <v>97</v>
      </c>
      <c r="E448" s="4">
        <v>328.08</v>
      </c>
      <c r="F448" s="4">
        <v>67</v>
      </c>
      <c r="G448" s="4">
        <v>67</v>
      </c>
    </row>
    <row r="449" spans="1:7">
      <c r="A449" s="4" t="s">
        <v>995</v>
      </c>
      <c r="B449" s="4" t="s">
        <v>996</v>
      </c>
      <c r="C449" s="4" t="s">
        <v>156</v>
      </c>
      <c r="D449" s="4" t="s">
        <v>156</v>
      </c>
      <c r="E449" s="4">
        <v>733.66</v>
      </c>
      <c r="F449" s="4">
        <v>30</v>
      </c>
      <c r="G449" s="4">
        <v>30</v>
      </c>
    </row>
    <row r="450" spans="1:7">
      <c r="A450" s="4" t="s">
        <v>997</v>
      </c>
      <c r="B450" s="4" t="s">
        <v>998</v>
      </c>
      <c r="C450" s="4" t="s">
        <v>101</v>
      </c>
      <c r="D450" s="4" t="s">
        <v>101</v>
      </c>
      <c r="E450" s="4">
        <v>958.9</v>
      </c>
      <c r="F450" s="4">
        <v>65</v>
      </c>
      <c r="G450" s="4">
        <v>65</v>
      </c>
    </row>
    <row r="451" spans="1:7">
      <c r="A451" s="4" t="s">
        <v>999</v>
      </c>
      <c r="B451" s="4" t="s">
        <v>1000</v>
      </c>
      <c r="C451" s="4" t="s">
        <v>114</v>
      </c>
      <c r="D451" s="4" t="s">
        <v>114</v>
      </c>
      <c r="E451" s="4">
        <v>644.04</v>
      </c>
      <c r="F451" s="4">
        <v>51</v>
      </c>
      <c r="G451" s="4">
        <v>51</v>
      </c>
    </row>
    <row r="452" spans="1:7">
      <c r="A452" s="4" t="s">
        <v>1001</v>
      </c>
      <c r="B452" s="4" t="s">
        <v>1002</v>
      </c>
      <c r="C452" s="4" t="s">
        <v>89</v>
      </c>
      <c r="D452" s="4" t="s">
        <v>89</v>
      </c>
      <c r="E452" s="4">
        <v>752.65</v>
      </c>
      <c r="F452" s="4">
        <v>79</v>
      </c>
      <c r="G452" s="4">
        <v>79</v>
      </c>
    </row>
    <row r="453" spans="1:7">
      <c r="A453" s="4" t="s">
        <v>1003</v>
      </c>
      <c r="B453" s="4" t="s">
        <v>1004</v>
      </c>
      <c r="C453" s="4" t="s">
        <v>89</v>
      </c>
      <c r="D453" s="4" t="s">
        <v>89</v>
      </c>
      <c r="E453" s="4">
        <v>661.07</v>
      </c>
      <c r="F453" s="4">
        <v>32</v>
      </c>
      <c r="G453" s="4">
        <v>32</v>
      </c>
    </row>
    <row r="454" spans="1:7">
      <c r="A454" s="4" t="s">
        <v>1005</v>
      </c>
      <c r="B454" s="4" t="s">
        <v>1006</v>
      </c>
      <c r="C454" s="4" t="s">
        <v>156</v>
      </c>
      <c r="D454" s="4" t="s">
        <v>156</v>
      </c>
      <c r="E454" s="4">
        <v>122.17</v>
      </c>
      <c r="F454" s="4">
        <v>-10</v>
      </c>
      <c r="G454" s="4">
        <v>0</v>
      </c>
    </row>
    <row r="455" spans="1:7">
      <c r="A455" s="4" t="s">
        <v>1007</v>
      </c>
      <c r="B455" s="4" t="s">
        <v>1008</v>
      </c>
      <c r="C455" s="4" t="s">
        <v>97</v>
      </c>
      <c r="D455" s="4" t="s">
        <v>97</v>
      </c>
      <c r="E455" s="4">
        <v>788.1</v>
      </c>
      <c r="F455" s="4">
        <v>87</v>
      </c>
      <c r="G455" s="4">
        <v>87</v>
      </c>
    </row>
    <row r="456" spans="1:7">
      <c r="A456" s="4" t="s">
        <v>1009</v>
      </c>
      <c r="B456" s="4" t="s">
        <v>1010</v>
      </c>
      <c r="C456" s="4" t="s">
        <v>89</v>
      </c>
      <c r="D456" s="4" t="s">
        <v>89</v>
      </c>
      <c r="E456" s="4">
        <v>525.85</v>
      </c>
      <c r="F456" s="4">
        <v>88</v>
      </c>
      <c r="G456" s="4">
        <v>88</v>
      </c>
    </row>
    <row r="457" spans="1:7">
      <c r="A457" s="4" t="s">
        <v>1011</v>
      </c>
      <c r="B457" s="4" t="s">
        <v>1012</v>
      </c>
      <c r="C457" s="4" t="s">
        <v>89</v>
      </c>
      <c r="D457" s="4" t="s">
        <v>89</v>
      </c>
      <c r="E457" s="4">
        <v>880.15</v>
      </c>
      <c r="F457" s="4">
        <v>3</v>
      </c>
      <c r="G457" s="4">
        <v>3</v>
      </c>
    </row>
    <row r="458" spans="1:7">
      <c r="A458" s="4" t="s">
        <v>1013</v>
      </c>
      <c r="B458" s="4" t="s">
        <v>1014</v>
      </c>
      <c r="C458" s="4" t="s">
        <v>89</v>
      </c>
      <c r="D458" s="4" t="s">
        <v>89</v>
      </c>
      <c r="E458" s="4">
        <v>797.5</v>
      </c>
      <c r="F458" s="4">
        <v>55</v>
      </c>
      <c r="G458" s="4">
        <v>55</v>
      </c>
    </row>
    <row r="459" spans="1:7">
      <c r="A459" s="4" t="s">
        <v>1015</v>
      </c>
      <c r="B459" s="4" t="s">
        <v>1016</v>
      </c>
      <c r="C459" s="4" t="s">
        <v>114</v>
      </c>
      <c r="D459" s="4" t="s">
        <v>114</v>
      </c>
      <c r="E459" s="4">
        <v>714.46</v>
      </c>
      <c r="F459" s="4">
        <v>60</v>
      </c>
      <c r="G459" s="4">
        <v>60</v>
      </c>
    </row>
    <row r="460" spans="1:7">
      <c r="A460" s="4" t="s">
        <v>1017</v>
      </c>
      <c r="B460" s="4" t="s">
        <v>1018</v>
      </c>
      <c r="C460" s="4" t="s">
        <v>97</v>
      </c>
      <c r="D460" s="4" t="s">
        <v>97</v>
      </c>
      <c r="E460" s="4">
        <v>246.84</v>
      </c>
      <c r="F460" s="4">
        <v>62</v>
      </c>
      <c r="G460" s="4">
        <v>62</v>
      </c>
    </row>
    <row r="461" spans="1:7">
      <c r="A461" s="4" t="s">
        <v>1019</v>
      </c>
      <c r="B461" s="4" t="s">
        <v>1020</v>
      </c>
      <c r="C461" s="4" t="s">
        <v>156</v>
      </c>
      <c r="D461" s="4" t="s">
        <v>156</v>
      </c>
      <c r="E461" s="4">
        <v>747.89</v>
      </c>
      <c r="F461" s="4">
        <v>73</v>
      </c>
      <c r="G461" s="4">
        <v>73</v>
      </c>
    </row>
    <row r="462" spans="1:7">
      <c r="A462" s="4" t="s">
        <v>1021</v>
      </c>
      <c r="B462" s="4" t="s">
        <v>1022</v>
      </c>
      <c r="C462" s="4" t="s">
        <v>89</v>
      </c>
      <c r="D462" s="4" t="s">
        <v>89</v>
      </c>
      <c r="E462" s="4">
        <v>412.17</v>
      </c>
      <c r="F462" s="4">
        <v>49</v>
      </c>
      <c r="G462" s="4">
        <v>49</v>
      </c>
    </row>
    <row r="463" spans="1:7">
      <c r="A463" s="4" t="s">
        <v>1023</v>
      </c>
      <c r="B463" s="4" t="s">
        <v>1024</v>
      </c>
      <c r="C463" s="4" t="s">
        <v>101</v>
      </c>
      <c r="D463" s="4" t="s">
        <v>101</v>
      </c>
      <c r="E463" s="4">
        <v>208.83</v>
      </c>
      <c r="F463" s="4">
        <v>37</v>
      </c>
      <c r="G463" s="4">
        <v>37</v>
      </c>
    </row>
    <row r="464" spans="1:7">
      <c r="A464" s="4" t="s">
        <v>1025</v>
      </c>
      <c r="B464" s="4" t="s">
        <v>1026</v>
      </c>
      <c r="C464" s="4" t="s">
        <v>89</v>
      </c>
      <c r="D464" s="4" t="s">
        <v>89</v>
      </c>
      <c r="E464" s="4">
        <v>945.09</v>
      </c>
      <c r="F464" s="4">
        <v>31</v>
      </c>
      <c r="G464" s="4">
        <v>31</v>
      </c>
    </row>
    <row r="465" spans="1:7">
      <c r="A465" s="4" t="s">
        <v>1027</v>
      </c>
      <c r="B465" s="4" t="s">
        <v>1028</v>
      </c>
      <c r="C465" s="4" t="s">
        <v>101</v>
      </c>
      <c r="D465" s="4" t="s">
        <v>101</v>
      </c>
      <c r="E465" s="4">
        <v>697.99</v>
      </c>
      <c r="F465" s="4">
        <v>52</v>
      </c>
      <c r="G465" s="4">
        <v>52</v>
      </c>
    </row>
    <row r="466" spans="1:7">
      <c r="A466" s="4" t="s">
        <v>1029</v>
      </c>
      <c r="B466" s="4" t="s">
        <v>1030</v>
      </c>
      <c r="C466" s="4" t="s">
        <v>97</v>
      </c>
      <c r="D466" s="4" t="s">
        <v>97</v>
      </c>
      <c r="E466" s="4">
        <v>438.87</v>
      </c>
      <c r="F466" s="4">
        <v>98</v>
      </c>
      <c r="G466" s="4">
        <v>98</v>
      </c>
    </row>
    <row r="467" spans="1:7">
      <c r="A467" s="4" t="s">
        <v>1031</v>
      </c>
      <c r="B467" s="4" t="s">
        <v>1032</v>
      </c>
      <c r="C467" s="4" t="s">
        <v>89</v>
      </c>
      <c r="D467" s="4" t="s">
        <v>89</v>
      </c>
      <c r="E467" s="4">
        <v>933.13</v>
      </c>
      <c r="F467" s="4">
        <v>-9</v>
      </c>
      <c r="G467" s="4">
        <v>0</v>
      </c>
    </row>
    <row r="468" spans="1:7">
      <c r="A468" s="4" t="s">
        <v>1033</v>
      </c>
      <c r="B468" s="4" t="s">
        <v>1034</v>
      </c>
      <c r="C468" s="4" t="s">
        <v>156</v>
      </c>
      <c r="D468" s="4" t="s">
        <v>156</v>
      </c>
      <c r="E468" s="4">
        <v>212.2</v>
      </c>
      <c r="F468" s="4">
        <v>26</v>
      </c>
      <c r="G468" s="4">
        <v>26</v>
      </c>
    </row>
    <row r="469" spans="1:7">
      <c r="A469" s="4" t="s">
        <v>1035</v>
      </c>
      <c r="B469" s="4" t="s">
        <v>1036</v>
      </c>
      <c r="C469" s="4" t="s">
        <v>114</v>
      </c>
      <c r="D469" s="4" t="s">
        <v>114</v>
      </c>
      <c r="E469" s="4">
        <v>775.72</v>
      </c>
      <c r="F469" s="4">
        <v>89</v>
      </c>
      <c r="G469" s="4">
        <v>89</v>
      </c>
    </row>
    <row r="470" spans="1:7">
      <c r="A470" s="4" t="s">
        <v>1037</v>
      </c>
      <c r="B470" s="4" t="s">
        <v>1038</v>
      </c>
      <c r="C470" s="4" t="s">
        <v>114</v>
      </c>
      <c r="D470" s="4" t="s">
        <v>114</v>
      </c>
      <c r="E470" s="4">
        <v>548.39</v>
      </c>
      <c r="F470" s="4">
        <v>46</v>
      </c>
      <c r="G470" s="4">
        <v>46</v>
      </c>
    </row>
    <row r="471" spans="1:7">
      <c r="A471" s="4" t="s">
        <v>1039</v>
      </c>
      <c r="B471" s="4" t="s">
        <v>1040</v>
      </c>
      <c r="C471" s="4" t="s">
        <v>156</v>
      </c>
      <c r="D471" s="4" t="s">
        <v>156</v>
      </c>
      <c r="E471" s="4">
        <v>715.81</v>
      </c>
      <c r="F471" s="4">
        <v>28</v>
      </c>
      <c r="G471" s="4">
        <v>28</v>
      </c>
    </row>
    <row r="472" spans="1:7">
      <c r="A472" s="4" t="s">
        <v>1041</v>
      </c>
      <c r="B472" s="4" t="s">
        <v>1042</v>
      </c>
      <c r="C472" s="4" t="s">
        <v>89</v>
      </c>
      <c r="D472" s="4" t="s">
        <v>89</v>
      </c>
      <c r="E472" s="4">
        <v>910.29</v>
      </c>
      <c r="F472" s="4">
        <v>72</v>
      </c>
      <c r="G472" s="4">
        <v>72</v>
      </c>
    </row>
    <row r="473" spans="1:7">
      <c r="A473" s="4" t="s">
        <v>1043</v>
      </c>
      <c r="B473" s="4" t="s">
        <v>1044</v>
      </c>
      <c r="C473" s="4" t="s">
        <v>97</v>
      </c>
      <c r="D473" s="4" t="s">
        <v>97</v>
      </c>
      <c r="E473" s="4">
        <v>916.16</v>
      </c>
      <c r="F473" s="4">
        <v>31</v>
      </c>
      <c r="G473" s="4">
        <v>31</v>
      </c>
    </row>
    <row r="474" spans="1:7">
      <c r="A474" s="4" t="s">
        <v>1045</v>
      </c>
      <c r="B474" s="4" t="s">
        <v>1046</v>
      </c>
      <c r="C474" s="4" t="s">
        <v>101</v>
      </c>
      <c r="D474" s="4" t="s">
        <v>101</v>
      </c>
      <c r="E474" s="4">
        <v>390.05</v>
      </c>
      <c r="F474" s="4">
        <v>7</v>
      </c>
      <c r="G474" s="4">
        <v>7</v>
      </c>
    </row>
    <row r="475" spans="1:7">
      <c r="A475" s="4" t="s">
        <v>1047</v>
      </c>
      <c r="B475" s="4" t="s">
        <v>1048</v>
      </c>
      <c r="C475" s="4" t="s">
        <v>97</v>
      </c>
      <c r="D475" s="4" t="s">
        <v>97</v>
      </c>
      <c r="E475" s="4">
        <v>972.19</v>
      </c>
      <c r="F475" s="4">
        <v>57</v>
      </c>
      <c r="G475" s="4">
        <v>57</v>
      </c>
    </row>
    <row r="476" spans="1:7">
      <c r="A476" s="4" t="s">
        <v>1049</v>
      </c>
      <c r="B476" s="4" t="s">
        <v>1050</v>
      </c>
      <c r="C476" s="4" t="s">
        <v>156</v>
      </c>
      <c r="D476" s="4" t="s">
        <v>156</v>
      </c>
      <c r="E476" s="4">
        <v>469.35</v>
      </c>
      <c r="F476" s="4">
        <v>11</v>
      </c>
      <c r="G476" s="4">
        <v>11</v>
      </c>
    </row>
    <row r="477" spans="1:7">
      <c r="A477" s="4" t="s">
        <v>1051</v>
      </c>
      <c r="B477" s="4" t="s">
        <v>1052</v>
      </c>
      <c r="C477" s="4" t="s">
        <v>97</v>
      </c>
      <c r="D477" s="4" t="s">
        <v>97</v>
      </c>
      <c r="E477" s="4">
        <v>954.63</v>
      </c>
      <c r="F477" s="4">
        <v>-7</v>
      </c>
      <c r="G477" s="4">
        <v>0</v>
      </c>
    </row>
    <row r="478" spans="1:7">
      <c r="A478" s="4" t="s">
        <v>1053</v>
      </c>
      <c r="B478" s="4" t="s">
        <v>1054</v>
      </c>
      <c r="C478" s="4" t="s">
        <v>89</v>
      </c>
      <c r="D478" s="4" t="s">
        <v>89</v>
      </c>
      <c r="E478" s="4">
        <v>555.6</v>
      </c>
      <c r="F478" s="4">
        <v>-8</v>
      </c>
      <c r="G478" s="4">
        <v>0</v>
      </c>
    </row>
    <row r="479" spans="1:7">
      <c r="A479" s="4" t="s">
        <v>1055</v>
      </c>
      <c r="B479" s="4" t="s">
        <v>1056</v>
      </c>
      <c r="C479" s="4" t="s">
        <v>101</v>
      </c>
      <c r="D479" s="4" t="s">
        <v>101</v>
      </c>
      <c r="E479" s="4">
        <v>223.33</v>
      </c>
      <c r="F479" s="4">
        <v>19</v>
      </c>
      <c r="G479" s="4">
        <v>19</v>
      </c>
    </row>
    <row r="480" spans="1:7">
      <c r="A480" s="4" t="s">
        <v>1057</v>
      </c>
      <c r="B480" s="4" t="s">
        <v>1058</v>
      </c>
      <c r="C480" s="4" t="s">
        <v>89</v>
      </c>
      <c r="D480" s="4" t="s">
        <v>89</v>
      </c>
      <c r="E480" s="4">
        <v>228.16</v>
      </c>
      <c r="F480" s="4">
        <v>82</v>
      </c>
      <c r="G480" s="4">
        <v>82</v>
      </c>
    </row>
    <row r="481" spans="1:7">
      <c r="A481" s="4" t="s">
        <v>1059</v>
      </c>
      <c r="B481" s="4" t="s">
        <v>1060</v>
      </c>
      <c r="C481" s="4" t="s">
        <v>156</v>
      </c>
      <c r="D481" s="4" t="s">
        <v>156</v>
      </c>
      <c r="E481" s="4">
        <v>624.48</v>
      </c>
      <c r="F481" s="4">
        <v>20</v>
      </c>
      <c r="G481" s="4">
        <v>20</v>
      </c>
    </row>
    <row r="482" spans="1:7">
      <c r="A482" s="4" t="s">
        <v>1061</v>
      </c>
      <c r="B482" s="4" t="s">
        <v>1062</v>
      </c>
      <c r="C482" s="4" t="s">
        <v>97</v>
      </c>
      <c r="D482" s="4" t="s">
        <v>97</v>
      </c>
      <c r="E482" s="4">
        <v>849.96</v>
      </c>
      <c r="F482" s="4">
        <v>88</v>
      </c>
      <c r="G482" s="4">
        <v>88</v>
      </c>
    </row>
    <row r="483" spans="1:7">
      <c r="A483" s="4" t="s">
        <v>1063</v>
      </c>
      <c r="B483" s="4" t="s">
        <v>1064</v>
      </c>
      <c r="C483" s="4" t="s">
        <v>101</v>
      </c>
      <c r="D483" s="4" t="s">
        <v>101</v>
      </c>
      <c r="E483" s="4">
        <v>835.6</v>
      </c>
      <c r="F483" s="4">
        <v>41</v>
      </c>
      <c r="G483" s="4">
        <v>41</v>
      </c>
    </row>
    <row r="484" spans="1:7">
      <c r="A484" s="4" t="s">
        <v>1065</v>
      </c>
      <c r="B484" s="4" t="s">
        <v>1066</v>
      </c>
      <c r="C484" s="4" t="s">
        <v>97</v>
      </c>
      <c r="D484" s="4" t="s">
        <v>97</v>
      </c>
      <c r="E484" s="4">
        <v>262.29000000000002</v>
      </c>
      <c r="F484" s="4">
        <v>47</v>
      </c>
      <c r="G484" s="4">
        <v>47</v>
      </c>
    </row>
    <row r="485" spans="1:7">
      <c r="A485" s="4" t="s">
        <v>1067</v>
      </c>
      <c r="B485" s="4" t="s">
        <v>1068</v>
      </c>
      <c r="C485" s="4" t="s">
        <v>156</v>
      </c>
      <c r="D485" s="4" t="s">
        <v>156</v>
      </c>
      <c r="E485" s="4">
        <v>515.14</v>
      </c>
      <c r="F485" s="4">
        <v>-8</v>
      </c>
      <c r="G485" s="4">
        <v>0</v>
      </c>
    </row>
    <row r="486" spans="1:7">
      <c r="A486" s="4" t="s">
        <v>1069</v>
      </c>
      <c r="B486" s="4" t="s">
        <v>1070</v>
      </c>
      <c r="C486" s="4" t="s">
        <v>101</v>
      </c>
      <c r="D486" s="4" t="s">
        <v>101</v>
      </c>
      <c r="E486" s="4">
        <v>869.96</v>
      </c>
      <c r="F486" s="4">
        <v>15</v>
      </c>
      <c r="G486" s="4">
        <v>15</v>
      </c>
    </row>
    <row r="487" spans="1:7">
      <c r="A487" s="4" t="s">
        <v>1071</v>
      </c>
      <c r="B487" s="4" t="s">
        <v>1072</v>
      </c>
      <c r="C487" s="4" t="s">
        <v>97</v>
      </c>
      <c r="D487" s="4" t="s">
        <v>97</v>
      </c>
      <c r="E487" s="4">
        <v>522.66999999999996</v>
      </c>
      <c r="F487" s="4">
        <v>76</v>
      </c>
      <c r="G487" s="4">
        <v>76</v>
      </c>
    </row>
    <row r="488" spans="1:7">
      <c r="A488" s="4" t="s">
        <v>1073</v>
      </c>
      <c r="B488" s="4" t="s">
        <v>1074</v>
      </c>
      <c r="C488" s="4" t="s">
        <v>156</v>
      </c>
      <c r="D488" s="4" t="s">
        <v>156</v>
      </c>
      <c r="E488" s="4">
        <v>357.51</v>
      </c>
      <c r="F488" s="4">
        <v>96</v>
      </c>
      <c r="G488" s="4">
        <v>96</v>
      </c>
    </row>
    <row r="489" spans="1:7">
      <c r="A489" s="4" t="s">
        <v>1075</v>
      </c>
      <c r="B489" s="4" t="s">
        <v>1076</v>
      </c>
      <c r="C489" s="4" t="s">
        <v>97</v>
      </c>
      <c r="D489" s="4" t="s">
        <v>97</v>
      </c>
      <c r="E489" s="4">
        <v>316.04000000000002</v>
      </c>
      <c r="F489" s="4">
        <v>68</v>
      </c>
      <c r="G489" s="4">
        <v>68</v>
      </c>
    </row>
    <row r="490" spans="1:7">
      <c r="A490" s="4" t="s">
        <v>1077</v>
      </c>
      <c r="B490" s="4" t="s">
        <v>1078</v>
      </c>
      <c r="C490" s="4" t="s">
        <v>89</v>
      </c>
      <c r="D490" s="4" t="s">
        <v>89</v>
      </c>
      <c r="E490" s="4">
        <v>637.07000000000005</v>
      </c>
      <c r="F490" s="4">
        <v>-8</v>
      </c>
      <c r="G490" s="4">
        <v>0</v>
      </c>
    </row>
    <row r="491" spans="1:7">
      <c r="A491" s="4" t="s">
        <v>1079</v>
      </c>
      <c r="B491" s="4" t="s">
        <v>1080</v>
      </c>
      <c r="C491" s="4" t="s">
        <v>114</v>
      </c>
      <c r="D491" s="4" t="s">
        <v>114</v>
      </c>
      <c r="E491" s="4">
        <v>767.59</v>
      </c>
      <c r="F491" s="4">
        <v>4</v>
      </c>
      <c r="G491" s="4">
        <v>4</v>
      </c>
    </row>
    <row r="492" spans="1:7">
      <c r="A492" s="4" t="s">
        <v>1081</v>
      </c>
      <c r="B492" s="4" t="s">
        <v>1082</v>
      </c>
      <c r="C492" s="4" t="s">
        <v>101</v>
      </c>
      <c r="D492" s="4" t="s">
        <v>101</v>
      </c>
      <c r="E492" s="4">
        <v>105.85</v>
      </c>
      <c r="F492" s="4">
        <v>22</v>
      </c>
      <c r="G492" s="4">
        <v>22</v>
      </c>
    </row>
    <row r="493" spans="1:7">
      <c r="A493" s="4" t="s">
        <v>1083</v>
      </c>
      <c r="B493" s="4" t="s">
        <v>1084</v>
      </c>
      <c r="C493" s="4" t="s">
        <v>156</v>
      </c>
      <c r="D493" s="4" t="s">
        <v>156</v>
      </c>
      <c r="E493" s="4">
        <v>101.25</v>
      </c>
      <c r="F493" s="4">
        <v>0</v>
      </c>
      <c r="G493" s="4">
        <v>0</v>
      </c>
    </row>
    <row r="494" spans="1:7">
      <c r="A494" s="4" t="s">
        <v>1085</v>
      </c>
      <c r="B494" s="4" t="s">
        <v>1086</v>
      </c>
      <c r="C494" s="4" t="s">
        <v>97</v>
      </c>
      <c r="D494" s="4" t="s">
        <v>97</v>
      </c>
      <c r="E494" s="4">
        <v>711.14</v>
      </c>
      <c r="F494" s="4">
        <v>16</v>
      </c>
      <c r="G494" s="4">
        <v>16</v>
      </c>
    </row>
    <row r="495" spans="1:7">
      <c r="A495" s="4" t="s">
        <v>1087</v>
      </c>
      <c r="B495" s="4" t="s">
        <v>1088</v>
      </c>
      <c r="C495" s="4" t="s">
        <v>156</v>
      </c>
      <c r="D495" s="4" t="s">
        <v>156</v>
      </c>
      <c r="E495" s="4">
        <v>260.72000000000003</v>
      </c>
      <c r="F495" s="4">
        <v>-4</v>
      </c>
      <c r="G495" s="4">
        <v>0</v>
      </c>
    </row>
    <row r="496" spans="1:7">
      <c r="A496" s="4" t="s">
        <v>1089</v>
      </c>
      <c r="B496" s="4" t="s">
        <v>1090</v>
      </c>
      <c r="C496" s="4" t="s">
        <v>89</v>
      </c>
      <c r="D496" s="4" t="s">
        <v>89</v>
      </c>
      <c r="E496" s="4">
        <v>732.11</v>
      </c>
      <c r="F496" s="4">
        <v>49</v>
      </c>
      <c r="G496" s="4">
        <v>49</v>
      </c>
    </row>
    <row r="497" spans="1:7">
      <c r="A497" s="4" t="s">
        <v>1091</v>
      </c>
      <c r="B497" s="4" t="s">
        <v>1092</v>
      </c>
      <c r="C497" s="4" t="s">
        <v>89</v>
      </c>
      <c r="D497" s="4" t="s">
        <v>89</v>
      </c>
      <c r="E497" s="4">
        <v>408.03</v>
      </c>
      <c r="F497" s="4">
        <v>78</v>
      </c>
      <c r="G497" s="4">
        <v>78</v>
      </c>
    </row>
    <row r="498" spans="1:7">
      <c r="A498" s="4" t="s">
        <v>1093</v>
      </c>
      <c r="B498" s="4" t="s">
        <v>1094</v>
      </c>
      <c r="C498" s="4" t="s">
        <v>156</v>
      </c>
      <c r="D498" s="4" t="s">
        <v>156</v>
      </c>
      <c r="E498" s="4">
        <v>273.8</v>
      </c>
      <c r="F498" s="4">
        <v>51</v>
      </c>
      <c r="G498" s="4">
        <v>51</v>
      </c>
    </row>
    <row r="499" spans="1:7">
      <c r="A499" s="4" t="s">
        <v>1095</v>
      </c>
      <c r="B499" s="4" t="s">
        <v>1096</v>
      </c>
      <c r="C499" s="4" t="s">
        <v>156</v>
      </c>
      <c r="D499" s="4" t="s">
        <v>156</v>
      </c>
      <c r="E499" s="4">
        <v>424.2</v>
      </c>
      <c r="F499" s="4">
        <v>18</v>
      </c>
      <c r="G499" s="4">
        <v>18</v>
      </c>
    </row>
    <row r="500" spans="1:7">
      <c r="A500" s="4" t="s">
        <v>1097</v>
      </c>
      <c r="B500" s="4" t="s">
        <v>1098</v>
      </c>
      <c r="C500" s="4" t="s">
        <v>97</v>
      </c>
      <c r="D500" s="4" t="s">
        <v>97</v>
      </c>
      <c r="E500" s="4">
        <v>468.88</v>
      </c>
      <c r="F500" s="4">
        <v>83</v>
      </c>
      <c r="G500" s="4">
        <v>83</v>
      </c>
    </row>
    <row r="501" spans="1:7">
      <c r="A501" s="4" t="s">
        <v>1099</v>
      </c>
      <c r="B501" s="4" t="s">
        <v>1100</v>
      </c>
      <c r="C501" s="4" t="s">
        <v>156</v>
      </c>
      <c r="D501" s="4" t="s">
        <v>156</v>
      </c>
      <c r="E501" s="4">
        <v>975.37</v>
      </c>
      <c r="F501" s="4">
        <v>38</v>
      </c>
      <c r="G501" s="4">
        <v>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26A10-07D8-421B-A084-FC904CD4C26D}">
  <dimension ref="A1:G6"/>
  <sheetViews>
    <sheetView workbookViewId="0">
      <selection activeCell="E2" sqref="E2"/>
    </sheetView>
  </sheetViews>
  <sheetFormatPr defaultRowHeight="14.4"/>
  <cols>
    <col min="1" max="1" width="14.44140625" bestFit="1" customWidth="1"/>
    <col min="3" max="3" width="14.6640625" bestFit="1" customWidth="1"/>
    <col min="5" max="5" width="18.77734375" bestFit="1" customWidth="1"/>
    <col min="7" max="7" width="23.5546875" bestFit="1" customWidth="1"/>
  </cols>
  <sheetData>
    <row r="1" spans="1:7">
      <c r="A1" s="1" t="s">
        <v>1131</v>
      </c>
      <c r="B1" s="35" t="s">
        <v>1138</v>
      </c>
      <c r="C1" s="35"/>
      <c r="E1" s="1" t="s">
        <v>1139</v>
      </c>
      <c r="G1" s="1" t="s">
        <v>1140</v>
      </c>
    </row>
    <row r="2" spans="1:7">
      <c r="A2" t="s">
        <v>1132</v>
      </c>
      <c r="B2" t="s">
        <v>1135</v>
      </c>
      <c r="C2">
        <v>400088</v>
      </c>
      <c r="E2" t="str">
        <f>LEFT(A2,FIND("-",A2,1)-1)</f>
        <v>Mumbai</v>
      </c>
      <c r="G2" t="str">
        <f>RIGHT(A2,LEN(A2)-FIND("-",A2,1))</f>
        <v>400088</v>
      </c>
    </row>
    <row r="3" spans="1:7">
      <c r="A3" t="s">
        <v>1133</v>
      </c>
      <c r="B3" t="s">
        <v>1136</v>
      </c>
      <c r="C3">
        <v>412354</v>
      </c>
      <c r="E3" t="str">
        <f t="shared" ref="E3:E4" si="0">LEFT(A3,FIND("-",A3,1)-1)</f>
        <v>Pune</v>
      </c>
      <c r="G3" t="str">
        <f t="shared" ref="G3:G4" si="1">RIGHT(A3,LEN(A3)-FIND("-",A3,1))</f>
        <v>412354</v>
      </c>
    </row>
    <row r="4" spans="1:7">
      <c r="A4" t="s">
        <v>1134</v>
      </c>
      <c r="B4" t="s">
        <v>1137</v>
      </c>
      <c r="C4">
        <v>235646</v>
      </c>
      <c r="E4" t="str">
        <f t="shared" si="0"/>
        <v>Surat</v>
      </c>
      <c r="G4" t="str">
        <f t="shared" si="1"/>
        <v>235646</v>
      </c>
    </row>
    <row r="6" spans="1:7" ht="23.4">
      <c r="C6" s="19" t="s">
        <v>49</v>
      </c>
    </row>
  </sheetData>
  <mergeCells count="1">
    <mergeCell ref="B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ECD5B-0202-4004-9566-49D37FA1E8FE}">
  <dimension ref="A1:E501"/>
  <sheetViews>
    <sheetView workbookViewId="0">
      <selection activeCell="D2" sqref="D2"/>
    </sheetView>
  </sheetViews>
  <sheetFormatPr defaultRowHeight="14.4"/>
  <cols>
    <col min="1" max="1" width="9.88671875" bestFit="1" customWidth="1"/>
    <col min="2" max="2" width="6.21875" bestFit="1" customWidth="1"/>
    <col min="3" max="3" width="8.33203125" bestFit="1" customWidth="1"/>
    <col min="4" max="4" width="11.5546875" bestFit="1" customWidth="1"/>
    <col min="5" max="5" width="10.21875" bestFit="1" customWidth="1"/>
  </cols>
  <sheetData>
    <row r="1" spans="1:5">
      <c r="A1" s="10" t="s">
        <v>1141</v>
      </c>
      <c r="B1" s="10" t="s">
        <v>1142</v>
      </c>
      <c r="C1" s="10" t="s">
        <v>1643</v>
      </c>
      <c r="D1" s="10" t="s">
        <v>1644</v>
      </c>
      <c r="E1" s="10" t="s">
        <v>1645</v>
      </c>
    </row>
    <row r="2" spans="1:5">
      <c r="A2" s="4" t="s">
        <v>1143</v>
      </c>
      <c r="B2" s="4">
        <v>84</v>
      </c>
      <c r="C2" t="str">
        <f>IF(B2&gt;80,"Pass","Fail")</f>
        <v>Pass</v>
      </c>
      <c r="D2" t="str">
        <f>IF(AND(B2&gt;80,C2="Pass"),"Ok","Not Ok")</f>
        <v>Ok</v>
      </c>
      <c r="E2" t="str">
        <f>IF(OR(B2&lt;50,C2="Fail"),"True","False")</f>
        <v>False</v>
      </c>
    </row>
    <row r="3" spans="1:5">
      <c r="A3" s="4" t="s">
        <v>1144</v>
      </c>
      <c r="B3" s="4">
        <v>94</v>
      </c>
      <c r="C3" t="str">
        <f t="shared" ref="C3:C66" si="0">IF(B3&gt;80,"Pass","Fail")</f>
        <v>Pass</v>
      </c>
      <c r="D3" t="str">
        <f t="shared" ref="D3:D66" si="1">IF(AND(B3&gt;80,C3="Pass"),"Ok","Not Ok")</f>
        <v>Ok</v>
      </c>
      <c r="E3" t="str">
        <f t="shared" ref="E3:E66" si="2">IF(OR(B3&lt;50,C3="Fail"),"True","False")</f>
        <v>False</v>
      </c>
    </row>
    <row r="4" spans="1:5">
      <c r="A4" s="4" t="s">
        <v>1145</v>
      </c>
      <c r="B4" s="4">
        <v>33</v>
      </c>
      <c r="C4" t="str">
        <f t="shared" si="0"/>
        <v>Fail</v>
      </c>
      <c r="D4" t="str">
        <f t="shared" si="1"/>
        <v>Not Ok</v>
      </c>
      <c r="E4" t="str">
        <f t="shared" si="2"/>
        <v>True</v>
      </c>
    </row>
    <row r="5" spans="1:5">
      <c r="A5" s="4" t="s">
        <v>1146</v>
      </c>
      <c r="B5" s="4">
        <v>30</v>
      </c>
      <c r="C5" t="str">
        <f t="shared" si="0"/>
        <v>Fail</v>
      </c>
      <c r="D5" t="str">
        <f t="shared" si="1"/>
        <v>Not Ok</v>
      </c>
      <c r="E5" t="str">
        <f t="shared" si="2"/>
        <v>True</v>
      </c>
    </row>
    <row r="6" spans="1:5">
      <c r="A6" s="4" t="s">
        <v>1147</v>
      </c>
      <c r="B6" s="4">
        <v>89</v>
      </c>
      <c r="C6" t="str">
        <f t="shared" si="0"/>
        <v>Pass</v>
      </c>
      <c r="D6" t="str">
        <f t="shared" si="1"/>
        <v>Ok</v>
      </c>
      <c r="E6" t="str">
        <f t="shared" si="2"/>
        <v>False</v>
      </c>
    </row>
    <row r="7" spans="1:5">
      <c r="A7" s="4" t="s">
        <v>1148</v>
      </c>
      <c r="B7" s="4">
        <v>83</v>
      </c>
      <c r="C7" t="str">
        <f t="shared" si="0"/>
        <v>Pass</v>
      </c>
      <c r="D7" t="str">
        <f t="shared" si="1"/>
        <v>Ok</v>
      </c>
      <c r="E7" t="str">
        <f t="shared" si="2"/>
        <v>False</v>
      </c>
    </row>
    <row r="8" spans="1:5">
      <c r="A8" s="4" t="s">
        <v>1149</v>
      </c>
      <c r="B8" s="4">
        <v>41</v>
      </c>
      <c r="C8" t="str">
        <f t="shared" si="0"/>
        <v>Fail</v>
      </c>
      <c r="D8" t="str">
        <f t="shared" si="1"/>
        <v>Not Ok</v>
      </c>
      <c r="E8" t="str">
        <f t="shared" si="2"/>
        <v>True</v>
      </c>
    </row>
    <row r="9" spans="1:5">
      <c r="A9" s="4" t="s">
        <v>1150</v>
      </c>
      <c r="B9" s="4">
        <v>23</v>
      </c>
      <c r="C9" t="str">
        <f t="shared" si="0"/>
        <v>Fail</v>
      </c>
      <c r="D9" t="str">
        <f t="shared" si="1"/>
        <v>Not Ok</v>
      </c>
      <c r="E9" t="str">
        <f t="shared" si="2"/>
        <v>True</v>
      </c>
    </row>
    <row r="10" spans="1:5">
      <c r="A10" s="4" t="s">
        <v>1151</v>
      </c>
      <c r="B10" s="4">
        <v>16</v>
      </c>
      <c r="C10" t="str">
        <f t="shared" si="0"/>
        <v>Fail</v>
      </c>
      <c r="D10" t="str">
        <f t="shared" si="1"/>
        <v>Not Ok</v>
      </c>
      <c r="E10" t="str">
        <f t="shared" si="2"/>
        <v>True</v>
      </c>
    </row>
    <row r="11" spans="1:5">
      <c r="A11" s="4" t="s">
        <v>1152</v>
      </c>
      <c r="B11" s="4">
        <v>36</v>
      </c>
      <c r="C11" t="str">
        <f t="shared" si="0"/>
        <v>Fail</v>
      </c>
      <c r="D11" t="str">
        <f t="shared" si="1"/>
        <v>Not Ok</v>
      </c>
      <c r="E11" t="str">
        <f t="shared" si="2"/>
        <v>True</v>
      </c>
    </row>
    <row r="12" spans="1:5">
      <c r="A12" s="4" t="s">
        <v>1153</v>
      </c>
      <c r="B12" s="4">
        <v>21</v>
      </c>
      <c r="C12" t="str">
        <f t="shared" si="0"/>
        <v>Fail</v>
      </c>
      <c r="D12" t="str">
        <f t="shared" si="1"/>
        <v>Not Ok</v>
      </c>
      <c r="E12" t="str">
        <f t="shared" si="2"/>
        <v>True</v>
      </c>
    </row>
    <row r="13" spans="1:5">
      <c r="A13" s="4" t="s">
        <v>1154</v>
      </c>
      <c r="B13" s="4">
        <v>91</v>
      </c>
      <c r="C13" t="str">
        <f t="shared" si="0"/>
        <v>Pass</v>
      </c>
      <c r="D13" t="str">
        <f t="shared" si="1"/>
        <v>Ok</v>
      </c>
      <c r="E13" t="str">
        <f t="shared" si="2"/>
        <v>False</v>
      </c>
    </row>
    <row r="14" spans="1:5">
      <c r="A14" s="4" t="s">
        <v>1155</v>
      </c>
      <c r="B14" s="4">
        <v>26</v>
      </c>
      <c r="C14" t="str">
        <f t="shared" si="0"/>
        <v>Fail</v>
      </c>
      <c r="D14" t="str">
        <f t="shared" si="1"/>
        <v>Not Ok</v>
      </c>
      <c r="E14" t="str">
        <f t="shared" si="2"/>
        <v>True</v>
      </c>
    </row>
    <row r="15" spans="1:5">
      <c r="A15" s="4" t="s">
        <v>1156</v>
      </c>
      <c r="B15" s="4">
        <v>0</v>
      </c>
      <c r="C15" t="str">
        <f t="shared" si="0"/>
        <v>Fail</v>
      </c>
      <c r="D15" t="str">
        <f t="shared" si="1"/>
        <v>Not Ok</v>
      </c>
      <c r="E15" t="str">
        <f t="shared" si="2"/>
        <v>True</v>
      </c>
    </row>
    <row r="16" spans="1:5">
      <c r="A16" s="4" t="s">
        <v>1157</v>
      </c>
      <c r="B16" s="4">
        <v>83</v>
      </c>
      <c r="C16" t="str">
        <f t="shared" si="0"/>
        <v>Pass</v>
      </c>
      <c r="D16" t="str">
        <f t="shared" si="1"/>
        <v>Ok</v>
      </c>
      <c r="E16" t="str">
        <f t="shared" si="2"/>
        <v>False</v>
      </c>
    </row>
    <row r="17" spans="1:5">
      <c r="A17" s="4" t="s">
        <v>1158</v>
      </c>
      <c r="B17" s="4">
        <v>98</v>
      </c>
      <c r="C17" t="str">
        <f t="shared" si="0"/>
        <v>Pass</v>
      </c>
      <c r="D17" t="str">
        <f t="shared" si="1"/>
        <v>Ok</v>
      </c>
      <c r="E17" t="str">
        <f t="shared" si="2"/>
        <v>False</v>
      </c>
    </row>
    <row r="18" spans="1:5">
      <c r="A18" s="4" t="s">
        <v>1159</v>
      </c>
      <c r="B18" s="4">
        <v>66</v>
      </c>
      <c r="C18" t="str">
        <f t="shared" si="0"/>
        <v>Fail</v>
      </c>
      <c r="D18" t="str">
        <f t="shared" si="1"/>
        <v>Not Ok</v>
      </c>
      <c r="E18" t="str">
        <f t="shared" si="2"/>
        <v>True</v>
      </c>
    </row>
    <row r="19" spans="1:5">
      <c r="A19" s="4" t="s">
        <v>1160</v>
      </c>
      <c r="B19" s="4">
        <v>65</v>
      </c>
      <c r="C19" t="str">
        <f t="shared" si="0"/>
        <v>Fail</v>
      </c>
      <c r="D19" t="str">
        <f t="shared" si="1"/>
        <v>Not Ok</v>
      </c>
      <c r="E19" t="str">
        <f t="shared" si="2"/>
        <v>True</v>
      </c>
    </row>
    <row r="20" spans="1:5">
      <c r="A20" s="4" t="s">
        <v>1161</v>
      </c>
      <c r="B20" s="4">
        <v>29</v>
      </c>
      <c r="C20" t="str">
        <f t="shared" si="0"/>
        <v>Fail</v>
      </c>
      <c r="D20" t="str">
        <f t="shared" si="1"/>
        <v>Not Ok</v>
      </c>
      <c r="E20" t="str">
        <f t="shared" si="2"/>
        <v>True</v>
      </c>
    </row>
    <row r="21" spans="1:5">
      <c r="A21" s="4" t="s">
        <v>1162</v>
      </c>
      <c r="B21" s="4">
        <v>56</v>
      </c>
      <c r="C21" t="str">
        <f t="shared" si="0"/>
        <v>Fail</v>
      </c>
      <c r="D21" t="str">
        <f t="shared" si="1"/>
        <v>Not Ok</v>
      </c>
      <c r="E21" t="str">
        <f t="shared" si="2"/>
        <v>True</v>
      </c>
    </row>
    <row r="22" spans="1:5">
      <c r="A22" s="4" t="s">
        <v>1163</v>
      </c>
      <c r="B22" s="4">
        <v>1</v>
      </c>
      <c r="C22" t="str">
        <f t="shared" si="0"/>
        <v>Fail</v>
      </c>
      <c r="D22" t="str">
        <f t="shared" si="1"/>
        <v>Not Ok</v>
      </c>
      <c r="E22" t="str">
        <f t="shared" si="2"/>
        <v>True</v>
      </c>
    </row>
    <row r="23" spans="1:5">
      <c r="A23" s="4" t="s">
        <v>1164</v>
      </c>
      <c r="B23" s="4">
        <v>68</v>
      </c>
      <c r="C23" t="str">
        <f t="shared" si="0"/>
        <v>Fail</v>
      </c>
      <c r="D23" t="str">
        <f t="shared" si="1"/>
        <v>Not Ok</v>
      </c>
      <c r="E23" t="str">
        <f t="shared" si="2"/>
        <v>True</v>
      </c>
    </row>
    <row r="24" spans="1:5">
      <c r="A24" s="4" t="s">
        <v>1165</v>
      </c>
      <c r="B24" s="4">
        <v>92</v>
      </c>
      <c r="C24" t="str">
        <f t="shared" si="0"/>
        <v>Pass</v>
      </c>
      <c r="D24" t="str">
        <f t="shared" si="1"/>
        <v>Ok</v>
      </c>
      <c r="E24" t="str">
        <f t="shared" si="2"/>
        <v>False</v>
      </c>
    </row>
    <row r="25" spans="1:5">
      <c r="A25" s="4" t="s">
        <v>1166</v>
      </c>
      <c r="B25" s="4">
        <v>46</v>
      </c>
      <c r="C25" t="str">
        <f t="shared" si="0"/>
        <v>Fail</v>
      </c>
      <c r="D25" t="str">
        <f t="shared" si="1"/>
        <v>Not Ok</v>
      </c>
      <c r="E25" t="str">
        <f t="shared" si="2"/>
        <v>True</v>
      </c>
    </row>
    <row r="26" spans="1:5">
      <c r="A26" s="4" t="s">
        <v>1167</v>
      </c>
      <c r="B26" s="4">
        <v>39</v>
      </c>
      <c r="C26" t="str">
        <f t="shared" si="0"/>
        <v>Fail</v>
      </c>
      <c r="D26" t="str">
        <f t="shared" si="1"/>
        <v>Not Ok</v>
      </c>
      <c r="E26" t="str">
        <f t="shared" si="2"/>
        <v>True</v>
      </c>
    </row>
    <row r="27" spans="1:5">
      <c r="A27" s="4" t="s">
        <v>1168</v>
      </c>
      <c r="B27" s="4">
        <v>85</v>
      </c>
      <c r="C27" t="str">
        <f t="shared" si="0"/>
        <v>Pass</v>
      </c>
      <c r="D27" t="str">
        <f t="shared" si="1"/>
        <v>Ok</v>
      </c>
      <c r="E27" t="str">
        <f t="shared" si="2"/>
        <v>False</v>
      </c>
    </row>
    <row r="28" spans="1:5">
      <c r="A28" s="4" t="s">
        <v>1169</v>
      </c>
      <c r="B28" s="4">
        <v>82</v>
      </c>
      <c r="C28" t="str">
        <f t="shared" si="0"/>
        <v>Pass</v>
      </c>
      <c r="D28" t="str">
        <f t="shared" si="1"/>
        <v>Ok</v>
      </c>
      <c r="E28" t="str">
        <f t="shared" si="2"/>
        <v>False</v>
      </c>
    </row>
    <row r="29" spans="1:5">
      <c r="A29" s="4" t="s">
        <v>1170</v>
      </c>
      <c r="B29" s="4">
        <v>44</v>
      </c>
      <c r="C29" t="str">
        <f t="shared" si="0"/>
        <v>Fail</v>
      </c>
      <c r="D29" t="str">
        <f t="shared" si="1"/>
        <v>Not Ok</v>
      </c>
      <c r="E29" t="str">
        <f t="shared" si="2"/>
        <v>True</v>
      </c>
    </row>
    <row r="30" spans="1:5">
      <c r="A30" s="4" t="s">
        <v>1171</v>
      </c>
      <c r="B30" s="4">
        <v>86</v>
      </c>
      <c r="C30" t="str">
        <f t="shared" si="0"/>
        <v>Pass</v>
      </c>
      <c r="D30" t="str">
        <f t="shared" si="1"/>
        <v>Ok</v>
      </c>
      <c r="E30" t="str">
        <f t="shared" si="2"/>
        <v>False</v>
      </c>
    </row>
    <row r="31" spans="1:5">
      <c r="A31" s="4" t="s">
        <v>1172</v>
      </c>
      <c r="B31" s="4">
        <v>3</v>
      </c>
      <c r="C31" t="str">
        <f t="shared" si="0"/>
        <v>Fail</v>
      </c>
      <c r="D31" t="str">
        <f t="shared" si="1"/>
        <v>Not Ok</v>
      </c>
      <c r="E31" t="str">
        <f t="shared" si="2"/>
        <v>True</v>
      </c>
    </row>
    <row r="32" spans="1:5">
      <c r="A32" s="4" t="s">
        <v>1173</v>
      </c>
      <c r="B32" s="4">
        <v>10</v>
      </c>
      <c r="C32" t="str">
        <f t="shared" si="0"/>
        <v>Fail</v>
      </c>
      <c r="D32" t="str">
        <f t="shared" si="1"/>
        <v>Not Ok</v>
      </c>
      <c r="E32" t="str">
        <f t="shared" si="2"/>
        <v>True</v>
      </c>
    </row>
    <row r="33" spans="1:5">
      <c r="A33" s="4" t="s">
        <v>1174</v>
      </c>
      <c r="B33" s="4">
        <v>5</v>
      </c>
      <c r="C33" t="str">
        <f t="shared" si="0"/>
        <v>Fail</v>
      </c>
      <c r="D33" t="str">
        <f t="shared" si="1"/>
        <v>Not Ok</v>
      </c>
      <c r="E33" t="str">
        <f t="shared" si="2"/>
        <v>True</v>
      </c>
    </row>
    <row r="34" spans="1:5">
      <c r="A34" s="4" t="s">
        <v>1175</v>
      </c>
      <c r="B34" s="4">
        <v>69</v>
      </c>
      <c r="C34" t="str">
        <f t="shared" si="0"/>
        <v>Fail</v>
      </c>
      <c r="D34" t="str">
        <f t="shared" si="1"/>
        <v>Not Ok</v>
      </c>
      <c r="E34" t="str">
        <f t="shared" si="2"/>
        <v>True</v>
      </c>
    </row>
    <row r="35" spans="1:5">
      <c r="A35" s="4" t="s">
        <v>1176</v>
      </c>
      <c r="B35" s="4">
        <v>56</v>
      </c>
      <c r="C35" t="str">
        <f t="shared" si="0"/>
        <v>Fail</v>
      </c>
      <c r="D35" t="str">
        <f t="shared" si="1"/>
        <v>Not Ok</v>
      </c>
      <c r="E35" t="str">
        <f t="shared" si="2"/>
        <v>True</v>
      </c>
    </row>
    <row r="36" spans="1:5">
      <c r="A36" s="4" t="s">
        <v>1177</v>
      </c>
      <c r="B36" s="4">
        <v>33</v>
      </c>
      <c r="C36" t="str">
        <f t="shared" si="0"/>
        <v>Fail</v>
      </c>
      <c r="D36" t="str">
        <f t="shared" si="1"/>
        <v>Not Ok</v>
      </c>
      <c r="E36" t="str">
        <f t="shared" si="2"/>
        <v>True</v>
      </c>
    </row>
    <row r="37" spans="1:5">
      <c r="A37" s="4" t="s">
        <v>1178</v>
      </c>
      <c r="B37" s="4">
        <v>67</v>
      </c>
      <c r="C37" t="str">
        <f t="shared" si="0"/>
        <v>Fail</v>
      </c>
      <c r="D37" t="str">
        <f t="shared" si="1"/>
        <v>Not Ok</v>
      </c>
      <c r="E37" t="str">
        <f t="shared" si="2"/>
        <v>True</v>
      </c>
    </row>
    <row r="38" spans="1:5">
      <c r="A38" s="4" t="s">
        <v>1179</v>
      </c>
      <c r="B38" s="4">
        <v>16</v>
      </c>
      <c r="C38" t="str">
        <f t="shared" si="0"/>
        <v>Fail</v>
      </c>
      <c r="D38" t="str">
        <f t="shared" si="1"/>
        <v>Not Ok</v>
      </c>
      <c r="E38" t="str">
        <f t="shared" si="2"/>
        <v>True</v>
      </c>
    </row>
    <row r="39" spans="1:5">
      <c r="A39" s="4" t="s">
        <v>1180</v>
      </c>
      <c r="B39" s="4">
        <v>52</v>
      </c>
      <c r="C39" t="str">
        <f t="shared" si="0"/>
        <v>Fail</v>
      </c>
      <c r="D39" t="str">
        <f t="shared" si="1"/>
        <v>Not Ok</v>
      </c>
      <c r="E39" t="str">
        <f t="shared" si="2"/>
        <v>True</v>
      </c>
    </row>
    <row r="40" spans="1:5">
      <c r="A40" s="4" t="s">
        <v>1181</v>
      </c>
      <c r="B40" s="4">
        <v>81</v>
      </c>
      <c r="C40" t="str">
        <f t="shared" si="0"/>
        <v>Pass</v>
      </c>
      <c r="D40" t="str">
        <f t="shared" si="1"/>
        <v>Ok</v>
      </c>
      <c r="E40" t="str">
        <f t="shared" si="2"/>
        <v>False</v>
      </c>
    </row>
    <row r="41" spans="1:5">
      <c r="A41" s="4" t="s">
        <v>1182</v>
      </c>
      <c r="B41" s="4">
        <v>48</v>
      </c>
      <c r="C41" t="str">
        <f t="shared" si="0"/>
        <v>Fail</v>
      </c>
      <c r="D41" t="str">
        <f t="shared" si="1"/>
        <v>Not Ok</v>
      </c>
      <c r="E41" t="str">
        <f t="shared" si="2"/>
        <v>True</v>
      </c>
    </row>
    <row r="42" spans="1:5">
      <c r="A42" s="4" t="s">
        <v>1183</v>
      </c>
      <c r="B42" s="4">
        <v>19</v>
      </c>
      <c r="C42" t="str">
        <f t="shared" si="0"/>
        <v>Fail</v>
      </c>
      <c r="D42" t="str">
        <f t="shared" si="1"/>
        <v>Not Ok</v>
      </c>
      <c r="E42" t="str">
        <f t="shared" si="2"/>
        <v>True</v>
      </c>
    </row>
    <row r="43" spans="1:5">
      <c r="A43" s="4" t="s">
        <v>1184</v>
      </c>
      <c r="B43" s="4">
        <v>89</v>
      </c>
      <c r="C43" t="str">
        <f t="shared" si="0"/>
        <v>Pass</v>
      </c>
      <c r="D43" t="str">
        <f t="shared" si="1"/>
        <v>Ok</v>
      </c>
      <c r="E43" t="str">
        <f t="shared" si="2"/>
        <v>False</v>
      </c>
    </row>
    <row r="44" spans="1:5">
      <c r="A44" s="4" t="s">
        <v>1185</v>
      </c>
      <c r="B44" s="4">
        <v>42</v>
      </c>
      <c r="C44" t="str">
        <f t="shared" si="0"/>
        <v>Fail</v>
      </c>
      <c r="D44" t="str">
        <f t="shared" si="1"/>
        <v>Not Ok</v>
      </c>
      <c r="E44" t="str">
        <f t="shared" si="2"/>
        <v>True</v>
      </c>
    </row>
    <row r="45" spans="1:5">
      <c r="A45" s="4" t="s">
        <v>1186</v>
      </c>
      <c r="B45" s="4">
        <v>86</v>
      </c>
      <c r="C45" t="str">
        <f t="shared" si="0"/>
        <v>Pass</v>
      </c>
      <c r="D45" t="str">
        <f t="shared" si="1"/>
        <v>Ok</v>
      </c>
      <c r="E45" t="str">
        <f t="shared" si="2"/>
        <v>False</v>
      </c>
    </row>
    <row r="46" spans="1:5">
      <c r="A46" s="4" t="s">
        <v>1187</v>
      </c>
      <c r="B46" s="4">
        <v>38</v>
      </c>
      <c r="C46" t="str">
        <f t="shared" si="0"/>
        <v>Fail</v>
      </c>
      <c r="D46" t="str">
        <f t="shared" si="1"/>
        <v>Not Ok</v>
      </c>
      <c r="E46" t="str">
        <f t="shared" si="2"/>
        <v>True</v>
      </c>
    </row>
    <row r="47" spans="1:5">
      <c r="A47" s="4" t="s">
        <v>1188</v>
      </c>
      <c r="B47" s="4">
        <v>65</v>
      </c>
      <c r="C47" t="str">
        <f t="shared" si="0"/>
        <v>Fail</v>
      </c>
      <c r="D47" t="str">
        <f t="shared" si="1"/>
        <v>Not Ok</v>
      </c>
      <c r="E47" t="str">
        <f t="shared" si="2"/>
        <v>True</v>
      </c>
    </row>
    <row r="48" spans="1:5">
      <c r="A48" s="4" t="s">
        <v>1189</v>
      </c>
      <c r="B48" s="4">
        <v>23</v>
      </c>
      <c r="C48" t="str">
        <f t="shared" si="0"/>
        <v>Fail</v>
      </c>
      <c r="D48" t="str">
        <f t="shared" si="1"/>
        <v>Not Ok</v>
      </c>
      <c r="E48" t="str">
        <f t="shared" si="2"/>
        <v>True</v>
      </c>
    </row>
    <row r="49" spans="1:5">
      <c r="A49" s="4" t="s">
        <v>1190</v>
      </c>
      <c r="B49" s="4">
        <v>57</v>
      </c>
      <c r="C49" t="str">
        <f t="shared" si="0"/>
        <v>Fail</v>
      </c>
      <c r="D49" t="str">
        <f t="shared" si="1"/>
        <v>Not Ok</v>
      </c>
      <c r="E49" t="str">
        <f t="shared" si="2"/>
        <v>True</v>
      </c>
    </row>
    <row r="50" spans="1:5">
      <c r="A50" s="4" t="s">
        <v>1191</v>
      </c>
      <c r="B50" s="4">
        <v>11</v>
      </c>
      <c r="C50" t="str">
        <f t="shared" si="0"/>
        <v>Fail</v>
      </c>
      <c r="D50" t="str">
        <f t="shared" si="1"/>
        <v>Not Ok</v>
      </c>
      <c r="E50" t="str">
        <f t="shared" si="2"/>
        <v>True</v>
      </c>
    </row>
    <row r="51" spans="1:5">
      <c r="A51" s="4" t="s">
        <v>1192</v>
      </c>
      <c r="B51" s="4">
        <v>28</v>
      </c>
      <c r="C51" t="str">
        <f t="shared" si="0"/>
        <v>Fail</v>
      </c>
      <c r="D51" t="str">
        <f t="shared" si="1"/>
        <v>Not Ok</v>
      </c>
      <c r="E51" t="str">
        <f t="shared" si="2"/>
        <v>True</v>
      </c>
    </row>
    <row r="52" spans="1:5">
      <c r="A52" s="4" t="s">
        <v>1193</v>
      </c>
      <c r="B52" s="4">
        <v>26</v>
      </c>
      <c r="C52" t="str">
        <f t="shared" si="0"/>
        <v>Fail</v>
      </c>
      <c r="D52" t="str">
        <f t="shared" si="1"/>
        <v>Not Ok</v>
      </c>
      <c r="E52" t="str">
        <f t="shared" si="2"/>
        <v>True</v>
      </c>
    </row>
    <row r="53" spans="1:5">
      <c r="A53" s="4" t="s">
        <v>1194</v>
      </c>
      <c r="B53" s="4">
        <v>21</v>
      </c>
      <c r="C53" t="str">
        <f t="shared" si="0"/>
        <v>Fail</v>
      </c>
      <c r="D53" t="str">
        <f t="shared" si="1"/>
        <v>Not Ok</v>
      </c>
      <c r="E53" t="str">
        <f t="shared" si="2"/>
        <v>True</v>
      </c>
    </row>
    <row r="54" spans="1:5">
      <c r="A54" s="4" t="s">
        <v>1195</v>
      </c>
      <c r="B54" s="4">
        <v>0</v>
      </c>
      <c r="C54" t="str">
        <f t="shared" si="0"/>
        <v>Fail</v>
      </c>
      <c r="D54" t="str">
        <f t="shared" si="1"/>
        <v>Not Ok</v>
      </c>
      <c r="E54" t="str">
        <f t="shared" si="2"/>
        <v>True</v>
      </c>
    </row>
    <row r="55" spans="1:5">
      <c r="A55" s="4" t="s">
        <v>1196</v>
      </c>
      <c r="B55" s="4">
        <v>86</v>
      </c>
      <c r="C55" t="str">
        <f t="shared" si="0"/>
        <v>Pass</v>
      </c>
      <c r="D55" t="str">
        <f t="shared" si="1"/>
        <v>Ok</v>
      </c>
      <c r="E55" t="str">
        <f t="shared" si="2"/>
        <v>False</v>
      </c>
    </row>
    <row r="56" spans="1:5">
      <c r="A56" s="4" t="s">
        <v>1197</v>
      </c>
      <c r="B56" s="4">
        <v>67</v>
      </c>
      <c r="C56" t="str">
        <f t="shared" si="0"/>
        <v>Fail</v>
      </c>
      <c r="D56" t="str">
        <f t="shared" si="1"/>
        <v>Not Ok</v>
      </c>
      <c r="E56" t="str">
        <f t="shared" si="2"/>
        <v>True</v>
      </c>
    </row>
    <row r="57" spans="1:5">
      <c r="A57" s="4" t="s">
        <v>1198</v>
      </c>
      <c r="B57" s="4">
        <v>36</v>
      </c>
      <c r="C57" t="str">
        <f t="shared" si="0"/>
        <v>Fail</v>
      </c>
      <c r="D57" t="str">
        <f t="shared" si="1"/>
        <v>Not Ok</v>
      </c>
      <c r="E57" t="str">
        <f t="shared" si="2"/>
        <v>True</v>
      </c>
    </row>
    <row r="58" spans="1:5">
      <c r="A58" s="4" t="s">
        <v>1199</v>
      </c>
      <c r="B58" s="4">
        <v>47</v>
      </c>
      <c r="C58" t="str">
        <f t="shared" si="0"/>
        <v>Fail</v>
      </c>
      <c r="D58" t="str">
        <f t="shared" si="1"/>
        <v>Not Ok</v>
      </c>
      <c r="E58" t="str">
        <f t="shared" si="2"/>
        <v>True</v>
      </c>
    </row>
    <row r="59" spans="1:5">
      <c r="A59" s="4" t="s">
        <v>1200</v>
      </c>
      <c r="B59" s="4">
        <v>12</v>
      </c>
      <c r="C59" t="str">
        <f t="shared" si="0"/>
        <v>Fail</v>
      </c>
      <c r="D59" t="str">
        <f t="shared" si="1"/>
        <v>Not Ok</v>
      </c>
      <c r="E59" t="str">
        <f t="shared" si="2"/>
        <v>True</v>
      </c>
    </row>
    <row r="60" spans="1:5">
      <c r="A60" s="4" t="s">
        <v>1201</v>
      </c>
      <c r="B60" s="4">
        <v>49</v>
      </c>
      <c r="C60" t="str">
        <f t="shared" si="0"/>
        <v>Fail</v>
      </c>
      <c r="D60" t="str">
        <f t="shared" si="1"/>
        <v>Not Ok</v>
      </c>
      <c r="E60" t="str">
        <f t="shared" si="2"/>
        <v>True</v>
      </c>
    </row>
    <row r="61" spans="1:5">
      <c r="A61" s="4" t="s">
        <v>1202</v>
      </c>
      <c r="B61" s="4">
        <v>9</v>
      </c>
      <c r="C61" t="str">
        <f t="shared" si="0"/>
        <v>Fail</v>
      </c>
      <c r="D61" t="str">
        <f t="shared" si="1"/>
        <v>Not Ok</v>
      </c>
      <c r="E61" t="str">
        <f t="shared" si="2"/>
        <v>True</v>
      </c>
    </row>
    <row r="62" spans="1:5">
      <c r="A62" s="4" t="s">
        <v>1203</v>
      </c>
      <c r="B62" s="4">
        <v>46</v>
      </c>
      <c r="C62" t="str">
        <f t="shared" si="0"/>
        <v>Fail</v>
      </c>
      <c r="D62" t="str">
        <f t="shared" si="1"/>
        <v>Not Ok</v>
      </c>
      <c r="E62" t="str">
        <f t="shared" si="2"/>
        <v>True</v>
      </c>
    </row>
    <row r="63" spans="1:5">
      <c r="A63" s="4" t="s">
        <v>1204</v>
      </c>
      <c r="B63" s="4">
        <v>94</v>
      </c>
      <c r="C63" t="str">
        <f t="shared" si="0"/>
        <v>Pass</v>
      </c>
      <c r="D63" t="str">
        <f t="shared" si="1"/>
        <v>Ok</v>
      </c>
      <c r="E63" t="str">
        <f t="shared" si="2"/>
        <v>False</v>
      </c>
    </row>
    <row r="64" spans="1:5">
      <c r="A64" s="4" t="s">
        <v>1205</v>
      </c>
      <c r="B64" s="4">
        <v>97</v>
      </c>
      <c r="C64" t="str">
        <f t="shared" si="0"/>
        <v>Pass</v>
      </c>
      <c r="D64" t="str">
        <f t="shared" si="1"/>
        <v>Ok</v>
      </c>
      <c r="E64" t="str">
        <f t="shared" si="2"/>
        <v>False</v>
      </c>
    </row>
    <row r="65" spans="1:5">
      <c r="A65" s="4" t="s">
        <v>1206</v>
      </c>
      <c r="B65" s="4">
        <v>97</v>
      </c>
      <c r="C65" t="str">
        <f t="shared" si="0"/>
        <v>Pass</v>
      </c>
      <c r="D65" t="str">
        <f t="shared" si="1"/>
        <v>Ok</v>
      </c>
      <c r="E65" t="str">
        <f t="shared" si="2"/>
        <v>False</v>
      </c>
    </row>
    <row r="66" spans="1:5">
      <c r="A66" s="4" t="s">
        <v>1207</v>
      </c>
      <c r="B66" s="4">
        <v>73</v>
      </c>
      <c r="C66" t="str">
        <f t="shared" si="0"/>
        <v>Fail</v>
      </c>
      <c r="D66" t="str">
        <f t="shared" si="1"/>
        <v>Not Ok</v>
      </c>
      <c r="E66" t="str">
        <f t="shared" si="2"/>
        <v>True</v>
      </c>
    </row>
    <row r="67" spans="1:5">
      <c r="A67" s="4" t="s">
        <v>1208</v>
      </c>
      <c r="B67" s="4">
        <v>89</v>
      </c>
      <c r="C67" t="str">
        <f t="shared" ref="C67:C130" si="3">IF(B67&gt;80,"Pass","Fail")</f>
        <v>Pass</v>
      </c>
      <c r="D67" t="str">
        <f t="shared" ref="D67:D130" si="4">IF(AND(B67&gt;80,C67="Pass"),"Ok","Not Ok")</f>
        <v>Ok</v>
      </c>
      <c r="E67" t="str">
        <f t="shared" ref="E67:E130" si="5">IF(OR(B67&lt;50,C67="Fail"),"True","False")</f>
        <v>False</v>
      </c>
    </row>
    <row r="68" spans="1:5">
      <c r="A68" s="4" t="s">
        <v>1209</v>
      </c>
      <c r="B68" s="4">
        <v>16</v>
      </c>
      <c r="C68" t="str">
        <f t="shared" si="3"/>
        <v>Fail</v>
      </c>
      <c r="D68" t="str">
        <f t="shared" si="4"/>
        <v>Not Ok</v>
      </c>
      <c r="E68" t="str">
        <f t="shared" si="5"/>
        <v>True</v>
      </c>
    </row>
    <row r="69" spans="1:5">
      <c r="A69" s="4" t="s">
        <v>1210</v>
      </c>
      <c r="B69" s="4">
        <v>10</v>
      </c>
      <c r="C69" t="str">
        <f t="shared" si="3"/>
        <v>Fail</v>
      </c>
      <c r="D69" t="str">
        <f t="shared" si="4"/>
        <v>Not Ok</v>
      </c>
      <c r="E69" t="str">
        <f t="shared" si="5"/>
        <v>True</v>
      </c>
    </row>
    <row r="70" spans="1:5">
      <c r="A70" s="4" t="s">
        <v>1211</v>
      </c>
      <c r="B70" s="4">
        <v>85</v>
      </c>
      <c r="C70" t="str">
        <f t="shared" si="3"/>
        <v>Pass</v>
      </c>
      <c r="D70" t="str">
        <f t="shared" si="4"/>
        <v>Ok</v>
      </c>
      <c r="E70" t="str">
        <f t="shared" si="5"/>
        <v>False</v>
      </c>
    </row>
    <row r="71" spans="1:5">
      <c r="A71" s="4" t="s">
        <v>1212</v>
      </c>
      <c r="B71" s="4">
        <v>56</v>
      </c>
      <c r="C71" t="str">
        <f t="shared" si="3"/>
        <v>Fail</v>
      </c>
      <c r="D71" t="str">
        <f t="shared" si="4"/>
        <v>Not Ok</v>
      </c>
      <c r="E71" t="str">
        <f t="shared" si="5"/>
        <v>True</v>
      </c>
    </row>
    <row r="72" spans="1:5">
      <c r="A72" s="4" t="s">
        <v>1213</v>
      </c>
      <c r="B72" s="4">
        <v>21</v>
      </c>
      <c r="C72" t="str">
        <f t="shared" si="3"/>
        <v>Fail</v>
      </c>
      <c r="D72" t="str">
        <f t="shared" si="4"/>
        <v>Not Ok</v>
      </c>
      <c r="E72" t="str">
        <f t="shared" si="5"/>
        <v>True</v>
      </c>
    </row>
    <row r="73" spans="1:5">
      <c r="A73" s="4" t="s">
        <v>1214</v>
      </c>
      <c r="B73" s="4">
        <v>93</v>
      </c>
      <c r="C73" t="str">
        <f t="shared" si="3"/>
        <v>Pass</v>
      </c>
      <c r="D73" t="str">
        <f t="shared" si="4"/>
        <v>Ok</v>
      </c>
      <c r="E73" t="str">
        <f t="shared" si="5"/>
        <v>False</v>
      </c>
    </row>
    <row r="74" spans="1:5">
      <c r="A74" s="4" t="s">
        <v>1215</v>
      </c>
      <c r="B74" s="4">
        <v>33</v>
      </c>
      <c r="C74" t="str">
        <f t="shared" si="3"/>
        <v>Fail</v>
      </c>
      <c r="D74" t="str">
        <f t="shared" si="4"/>
        <v>Not Ok</v>
      </c>
      <c r="E74" t="str">
        <f t="shared" si="5"/>
        <v>True</v>
      </c>
    </row>
    <row r="75" spans="1:5">
      <c r="A75" s="4" t="s">
        <v>1216</v>
      </c>
      <c r="B75" s="4">
        <v>82</v>
      </c>
      <c r="C75" t="str">
        <f t="shared" si="3"/>
        <v>Pass</v>
      </c>
      <c r="D75" t="str">
        <f t="shared" si="4"/>
        <v>Ok</v>
      </c>
      <c r="E75" t="str">
        <f t="shared" si="5"/>
        <v>False</v>
      </c>
    </row>
    <row r="76" spans="1:5">
      <c r="A76" s="4" t="s">
        <v>1217</v>
      </c>
      <c r="B76" s="4">
        <v>30</v>
      </c>
      <c r="C76" t="str">
        <f t="shared" si="3"/>
        <v>Fail</v>
      </c>
      <c r="D76" t="str">
        <f t="shared" si="4"/>
        <v>Not Ok</v>
      </c>
      <c r="E76" t="str">
        <f t="shared" si="5"/>
        <v>True</v>
      </c>
    </row>
    <row r="77" spans="1:5">
      <c r="A77" s="4" t="s">
        <v>1218</v>
      </c>
      <c r="B77" s="4">
        <v>51</v>
      </c>
      <c r="C77" t="str">
        <f t="shared" si="3"/>
        <v>Fail</v>
      </c>
      <c r="D77" t="str">
        <f t="shared" si="4"/>
        <v>Not Ok</v>
      </c>
      <c r="E77" t="str">
        <f t="shared" si="5"/>
        <v>True</v>
      </c>
    </row>
    <row r="78" spans="1:5">
      <c r="A78" s="4" t="s">
        <v>1219</v>
      </c>
      <c r="B78" s="4">
        <v>85</v>
      </c>
      <c r="C78" t="str">
        <f t="shared" si="3"/>
        <v>Pass</v>
      </c>
      <c r="D78" t="str">
        <f t="shared" si="4"/>
        <v>Ok</v>
      </c>
      <c r="E78" t="str">
        <f t="shared" si="5"/>
        <v>False</v>
      </c>
    </row>
    <row r="79" spans="1:5">
      <c r="A79" s="4" t="s">
        <v>1220</v>
      </c>
      <c r="B79" s="4">
        <v>1</v>
      </c>
      <c r="C79" t="str">
        <f t="shared" si="3"/>
        <v>Fail</v>
      </c>
      <c r="D79" t="str">
        <f t="shared" si="4"/>
        <v>Not Ok</v>
      </c>
      <c r="E79" t="str">
        <f t="shared" si="5"/>
        <v>True</v>
      </c>
    </row>
    <row r="80" spans="1:5">
      <c r="A80" s="4" t="s">
        <v>1221</v>
      </c>
      <c r="B80" s="4">
        <v>40</v>
      </c>
      <c r="C80" t="str">
        <f t="shared" si="3"/>
        <v>Fail</v>
      </c>
      <c r="D80" t="str">
        <f t="shared" si="4"/>
        <v>Not Ok</v>
      </c>
      <c r="E80" t="str">
        <f t="shared" si="5"/>
        <v>True</v>
      </c>
    </row>
    <row r="81" spans="1:5">
      <c r="A81" s="4" t="s">
        <v>1222</v>
      </c>
      <c r="B81" s="4">
        <v>27</v>
      </c>
      <c r="C81" t="str">
        <f t="shared" si="3"/>
        <v>Fail</v>
      </c>
      <c r="D81" t="str">
        <f t="shared" si="4"/>
        <v>Not Ok</v>
      </c>
      <c r="E81" t="str">
        <f t="shared" si="5"/>
        <v>True</v>
      </c>
    </row>
    <row r="82" spans="1:5">
      <c r="A82" s="4" t="s">
        <v>1223</v>
      </c>
      <c r="B82" s="4">
        <v>87</v>
      </c>
      <c r="C82" t="str">
        <f t="shared" si="3"/>
        <v>Pass</v>
      </c>
      <c r="D82" t="str">
        <f t="shared" si="4"/>
        <v>Ok</v>
      </c>
      <c r="E82" t="str">
        <f t="shared" si="5"/>
        <v>False</v>
      </c>
    </row>
    <row r="83" spans="1:5">
      <c r="A83" s="4" t="s">
        <v>1224</v>
      </c>
      <c r="B83" s="4">
        <v>98</v>
      </c>
      <c r="C83" t="str">
        <f t="shared" si="3"/>
        <v>Pass</v>
      </c>
      <c r="D83" t="str">
        <f t="shared" si="4"/>
        <v>Ok</v>
      </c>
      <c r="E83" t="str">
        <f t="shared" si="5"/>
        <v>False</v>
      </c>
    </row>
    <row r="84" spans="1:5">
      <c r="A84" s="4" t="s">
        <v>1225</v>
      </c>
      <c r="B84" s="4">
        <v>37</v>
      </c>
      <c r="C84" t="str">
        <f t="shared" si="3"/>
        <v>Fail</v>
      </c>
      <c r="D84" t="str">
        <f t="shared" si="4"/>
        <v>Not Ok</v>
      </c>
      <c r="E84" t="str">
        <f t="shared" si="5"/>
        <v>True</v>
      </c>
    </row>
    <row r="85" spans="1:5">
      <c r="A85" s="4" t="s">
        <v>1226</v>
      </c>
      <c r="B85" s="4">
        <v>82</v>
      </c>
      <c r="C85" t="str">
        <f t="shared" si="3"/>
        <v>Pass</v>
      </c>
      <c r="D85" t="str">
        <f t="shared" si="4"/>
        <v>Ok</v>
      </c>
      <c r="E85" t="str">
        <f t="shared" si="5"/>
        <v>False</v>
      </c>
    </row>
    <row r="86" spans="1:5">
      <c r="A86" s="4" t="s">
        <v>1227</v>
      </c>
      <c r="B86" s="4">
        <v>74</v>
      </c>
      <c r="C86" t="str">
        <f t="shared" si="3"/>
        <v>Fail</v>
      </c>
      <c r="D86" t="str">
        <f t="shared" si="4"/>
        <v>Not Ok</v>
      </c>
      <c r="E86" t="str">
        <f t="shared" si="5"/>
        <v>True</v>
      </c>
    </row>
    <row r="87" spans="1:5">
      <c r="A87" s="4" t="s">
        <v>1228</v>
      </c>
      <c r="B87" s="4">
        <v>51</v>
      </c>
      <c r="C87" t="str">
        <f t="shared" si="3"/>
        <v>Fail</v>
      </c>
      <c r="D87" t="str">
        <f t="shared" si="4"/>
        <v>Not Ok</v>
      </c>
      <c r="E87" t="str">
        <f t="shared" si="5"/>
        <v>True</v>
      </c>
    </row>
    <row r="88" spans="1:5">
      <c r="A88" s="4" t="s">
        <v>1229</v>
      </c>
      <c r="B88" s="4">
        <v>94</v>
      </c>
      <c r="C88" t="str">
        <f t="shared" si="3"/>
        <v>Pass</v>
      </c>
      <c r="D88" t="str">
        <f t="shared" si="4"/>
        <v>Ok</v>
      </c>
      <c r="E88" t="str">
        <f t="shared" si="5"/>
        <v>False</v>
      </c>
    </row>
    <row r="89" spans="1:5">
      <c r="A89" s="4" t="s">
        <v>1230</v>
      </c>
      <c r="B89" s="4">
        <v>95</v>
      </c>
      <c r="C89" t="str">
        <f t="shared" si="3"/>
        <v>Pass</v>
      </c>
      <c r="D89" t="str">
        <f t="shared" si="4"/>
        <v>Ok</v>
      </c>
      <c r="E89" t="str">
        <f t="shared" si="5"/>
        <v>False</v>
      </c>
    </row>
    <row r="90" spans="1:5">
      <c r="A90" s="4" t="s">
        <v>1231</v>
      </c>
      <c r="B90" s="4">
        <v>8</v>
      </c>
      <c r="C90" t="str">
        <f t="shared" si="3"/>
        <v>Fail</v>
      </c>
      <c r="D90" t="str">
        <f t="shared" si="4"/>
        <v>Not Ok</v>
      </c>
      <c r="E90" t="str">
        <f t="shared" si="5"/>
        <v>True</v>
      </c>
    </row>
    <row r="91" spans="1:5">
      <c r="A91" s="4" t="s">
        <v>1232</v>
      </c>
      <c r="B91" s="4">
        <v>82</v>
      </c>
      <c r="C91" t="str">
        <f t="shared" si="3"/>
        <v>Pass</v>
      </c>
      <c r="D91" t="str">
        <f t="shared" si="4"/>
        <v>Ok</v>
      </c>
      <c r="E91" t="str">
        <f t="shared" si="5"/>
        <v>False</v>
      </c>
    </row>
    <row r="92" spans="1:5">
      <c r="A92" s="4" t="s">
        <v>1233</v>
      </c>
      <c r="B92" s="4">
        <v>52</v>
      </c>
      <c r="C92" t="str">
        <f t="shared" si="3"/>
        <v>Fail</v>
      </c>
      <c r="D92" t="str">
        <f t="shared" si="4"/>
        <v>Not Ok</v>
      </c>
      <c r="E92" t="str">
        <f t="shared" si="5"/>
        <v>True</v>
      </c>
    </row>
    <row r="93" spans="1:5">
      <c r="A93" s="4" t="s">
        <v>1234</v>
      </c>
      <c r="B93" s="4">
        <v>23</v>
      </c>
      <c r="C93" t="str">
        <f t="shared" si="3"/>
        <v>Fail</v>
      </c>
      <c r="D93" t="str">
        <f t="shared" si="4"/>
        <v>Not Ok</v>
      </c>
      <c r="E93" t="str">
        <f t="shared" si="5"/>
        <v>True</v>
      </c>
    </row>
    <row r="94" spans="1:5">
      <c r="A94" s="4" t="s">
        <v>1235</v>
      </c>
      <c r="B94" s="4">
        <v>30</v>
      </c>
      <c r="C94" t="str">
        <f t="shared" si="3"/>
        <v>Fail</v>
      </c>
      <c r="D94" t="str">
        <f t="shared" si="4"/>
        <v>Not Ok</v>
      </c>
      <c r="E94" t="str">
        <f t="shared" si="5"/>
        <v>True</v>
      </c>
    </row>
    <row r="95" spans="1:5">
      <c r="A95" s="4" t="s">
        <v>1236</v>
      </c>
      <c r="B95" s="4">
        <v>7</v>
      </c>
      <c r="C95" t="str">
        <f t="shared" si="3"/>
        <v>Fail</v>
      </c>
      <c r="D95" t="str">
        <f t="shared" si="4"/>
        <v>Not Ok</v>
      </c>
      <c r="E95" t="str">
        <f t="shared" si="5"/>
        <v>True</v>
      </c>
    </row>
    <row r="96" spans="1:5">
      <c r="A96" s="4" t="s">
        <v>1237</v>
      </c>
      <c r="B96" s="4">
        <v>11</v>
      </c>
      <c r="C96" t="str">
        <f t="shared" si="3"/>
        <v>Fail</v>
      </c>
      <c r="D96" t="str">
        <f t="shared" si="4"/>
        <v>Not Ok</v>
      </c>
      <c r="E96" t="str">
        <f t="shared" si="5"/>
        <v>True</v>
      </c>
    </row>
    <row r="97" spans="1:5">
      <c r="A97" s="4" t="s">
        <v>1238</v>
      </c>
      <c r="B97" s="4">
        <v>8</v>
      </c>
      <c r="C97" t="str">
        <f t="shared" si="3"/>
        <v>Fail</v>
      </c>
      <c r="D97" t="str">
        <f t="shared" si="4"/>
        <v>Not Ok</v>
      </c>
      <c r="E97" t="str">
        <f t="shared" si="5"/>
        <v>True</v>
      </c>
    </row>
    <row r="98" spans="1:5">
      <c r="A98" s="4" t="s">
        <v>1239</v>
      </c>
      <c r="B98" s="4">
        <v>73</v>
      </c>
      <c r="C98" t="str">
        <f t="shared" si="3"/>
        <v>Fail</v>
      </c>
      <c r="D98" t="str">
        <f t="shared" si="4"/>
        <v>Not Ok</v>
      </c>
      <c r="E98" t="str">
        <f t="shared" si="5"/>
        <v>True</v>
      </c>
    </row>
    <row r="99" spans="1:5">
      <c r="A99" s="4" t="s">
        <v>1240</v>
      </c>
      <c r="B99" s="4">
        <v>10</v>
      </c>
      <c r="C99" t="str">
        <f t="shared" si="3"/>
        <v>Fail</v>
      </c>
      <c r="D99" t="str">
        <f t="shared" si="4"/>
        <v>Not Ok</v>
      </c>
      <c r="E99" t="str">
        <f t="shared" si="5"/>
        <v>True</v>
      </c>
    </row>
    <row r="100" spans="1:5">
      <c r="A100" s="4" t="s">
        <v>1241</v>
      </c>
      <c r="B100" s="4">
        <v>92</v>
      </c>
      <c r="C100" t="str">
        <f t="shared" si="3"/>
        <v>Pass</v>
      </c>
      <c r="D100" t="str">
        <f t="shared" si="4"/>
        <v>Ok</v>
      </c>
      <c r="E100" t="str">
        <f t="shared" si="5"/>
        <v>False</v>
      </c>
    </row>
    <row r="101" spans="1:5">
      <c r="A101" s="4" t="s">
        <v>1242</v>
      </c>
      <c r="B101" s="4">
        <v>49</v>
      </c>
      <c r="C101" t="str">
        <f t="shared" si="3"/>
        <v>Fail</v>
      </c>
      <c r="D101" t="str">
        <f t="shared" si="4"/>
        <v>Not Ok</v>
      </c>
      <c r="E101" t="str">
        <f t="shared" si="5"/>
        <v>True</v>
      </c>
    </row>
    <row r="102" spans="1:5">
      <c r="A102" s="4" t="s">
        <v>1243</v>
      </c>
      <c r="B102" s="4">
        <v>76</v>
      </c>
      <c r="C102" t="str">
        <f t="shared" si="3"/>
        <v>Fail</v>
      </c>
      <c r="D102" t="str">
        <f t="shared" si="4"/>
        <v>Not Ok</v>
      </c>
      <c r="E102" t="str">
        <f t="shared" si="5"/>
        <v>True</v>
      </c>
    </row>
    <row r="103" spans="1:5">
      <c r="A103" s="4" t="s">
        <v>1244</v>
      </c>
      <c r="B103" s="4">
        <v>4</v>
      </c>
      <c r="C103" t="str">
        <f t="shared" si="3"/>
        <v>Fail</v>
      </c>
      <c r="D103" t="str">
        <f t="shared" si="4"/>
        <v>Not Ok</v>
      </c>
      <c r="E103" t="str">
        <f t="shared" si="5"/>
        <v>True</v>
      </c>
    </row>
    <row r="104" spans="1:5">
      <c r="A104" s="4" t="s">
        <v>1245</v>
      </c>
      <c r="B104" s="4">
        <v>11</v>
      </c>
      <c r="C104" t="str">
        <f t="shared" si="3"/>
        <v>Fail</v>
      </c>
      <c r="D104" t="str">
        <f t="shared" si="4"/>
        <v>Not Ok</v>
      </c>
      <c r="E104" t="str">
        <f t="shared" si="5"/>
        <v>True</v>
      </c>
    </row>
    <row r="105" spans="1:5">
      <c r="A105" s="4" t="s">
        <v>1246</v>
      </c>
      <c r="B105" s="4">
        <v>60</v>
      </c>
      <c r="C105" t="str">
        <f t="shared" si="3"/>
        <v>Fail</v>
      </c>
      <c r="D105" t="str">
        <f t="shared" si="4"/>
        <v>Not Ok</v>
      </c>
      <c r="E105" t="str">
        <f t="shared" si="5"/>
        <v>True</v>
      </c>
    </row>
    <row r="106" spans="1:5">
      <c r="A106" s="4" t="s">
        <v>1247</v>
      </c>
      <c r="B106" s="4">
        <v>2</v>
      </c>
      <c r="C106" t="str">
        <f t="shared" si="3"/>
        <v>Fail</v>
      </c>
      <c r="D106" t="str">
        <f t="shared" si="4"/>
        <v>Not Ok</v>
      </c>
      <c r="E106" t="str">
        <f t="shared" si="5"/>
        <v>True</v>
      </c>
    </row>
    <row r="107" spans="1:5">
      <c r="A107" s="4" t="s">
        <v>1248</v>
      </c>
      <c r="B107" s="4">
        <v>86</v>
      </c>
      <c r="C107" t="str">
        <f t="shared" si="3"/>
        <v>Pass</v>
      </c>
      <c r="D107" t="str">
        <f t="shared" si="4"/>
        <v>Ok</v>
      </c>
      <c r="E107" t="str">
        <f t="shared" si="5"/>
        <v>False</v>
      </c>
    </row>
    <row r="108" spans="1:5">
      <c r="A108" s="4" t="s">
        <v>1249</v>
      </c>
      <c r="B108" s="4">
        <v>97</v>
      </c>
      <c r="C108" t="str">
        <f t="shared" si="3"/>
        <v>Pass</v>
      </c>
      <c r="D108" t="str">
        <f t="shared" si="4"/>
        <v>Ok</v>
      </c>
      <c r="E108" t="str">
        <f t="shared" si="5"/>
        <v>False</v>
      </c>
    </row>
    <row r="109" spans="1:5">
      <c r="A109" s="4" t="s">
        <v>1250</v>
      </c>
      <c r="B109" s="4">
        <v>56</v>
      </c>
      <c r="C109" t="str">
        <f t="shared" si="3"/>
        <v>Fail</v>
      </c>
      <c r="D109" t="str">
        <f t="shared" si="4"/>
        <v>Not Ok</v>
      </c>
      <c r="E109" t="str">
        <f t="shared" si="5"/>
        <v>True</v>
      </c>
    </row>
    <row r="110" spans="1:5">
      <c r="A110" s="4" t="s">
        <v>1251</v>
      </c>
      <c r="B110" s="4">
        <v>33</v>
      </c>
      <c r="C110" t="str">
        <f t="shared" si="3"/>
        <v>Fail</v>
      </c>
      <c r="D110" t="str">
        <f t="shared" si="4"/>
        <v>Not Ok</v>
      </c>
      <c r="E110" t="str">
        <f t="shared" si="5"/>
        <v>True</v>
      </c>
    </row>
    <row r="111" spans="1:5">
      <c r="A111" s="4" t="s">
        <v>1252</v>
      </c>
      <c r="B111" s="4">
        <v>96</v>
      </c>
      <c r="C111" t="str">
        <f t="shared" si="3"/>
        <v>Pass</v>
      </c>
      <c r="D111" t="str">
        <f t="shared" si="4"/>
        <v>Ok</v>
      </c>
      <c r="E111" t="str">
        <f t="shared" si="5"/>
        <v>False</v>
      </c>
    </row>
    <row r="112" spans="1:5">
      <c r="A112" s="4" t="s">
        <v>1253</v>
      </c>
      <c r="B112" s="4">
        <v>40</v>
      </c>
      <c r="C112" t="str">
        <f t="shared" si="3"/>
        <v>Fail</v>
      </c>
      <c r="D112" t="str">
        <f t="shared" si="4"/>
        <v>Not Ok</v>
      </c>
      <c r="E112" t="str">
        <f t="shared" si="5"/>
        <v>True</v>
      </c>
    </row>
    <row r="113" spans="1:5">
      <c r="A113" s="4" t="s">
        <v>1254</v>
      </c>
      <c r="B113" s="4">
        <v>7</v>
      </c>
      <c r="C113" t="str">
        <f t="shared" si="3"/>
        <v>Fail</v>
      </c>
      <c r="D113" t="str">
        <f t="shared" si="4"/>
        <v>Not Ok</v>
      </c>
      <c r="E113" t="str">
        <f t="shared" si="5"/>
        <v>True</v>
      </c>
    </row>
    <row r="114" spans="1:5">
      <c r="A114" s="4" t="s">
        <v>1255</v>
      </c>
      <c r="B114" s="4">
        <v>22</v>
      </c>
      <c r="C114" t="str">
        <f t="shared" si="3"/>
        <v>Fail</v>
      </c>
      <c r="D114" t="str">
        <f t="shared" si="4"/>
        <v>Not Ok</v>
      </c>
      <c r="E114" t="str">
        <f t="shared" si="5"/>
        <v>True</v>
      </c>
    </row>
    <row r="115" spans="1:5">
      <c r="A115" s="4" t="s">
        <v>1256</v>
      </c>
      <c r="B115" s="4">
        <v>67</v>
      </c>
      <c r="C115" t="str">
        <f t="shared" si="3"/>
        <v>Fail</v>
      </c>
      <c r="D115" t="str">
        <f t="shared" si="4"/>
        <v>Not Ok</v>
      </c>
      <c r="E115" t="str">
        <f t="shared" si="5"/>
        <v>True</v>
      </c>
    </row>
    <row r="116" spans="1:5">
      <c r="A116" s="4" t="s">
        <v>1257</v>
      </c>
      <c r="B116" s="4">
        <v>17</v>
      </c>
      <c r="C116" t="str">
        <f t="shared" si="3"/>
        <v>Fail</v>
      </c>
      <c r="D116" t="str">
        <f t="shared" si="4"/>
        <v>Not Ok</v>
      </c>
      <c r="E116" t="str">
        <f t="shared" si="5"/>
        <v>True</v>
      </c>
    </row>
    <row r="117" spans="1:5">
      <c r="A117" s="4" t="s">
        <v>1258</v>
      </c>
      <c r="B117" s="4">
        <v>73</v>
      </c>
      <c r="C117" t="str">
        <f t="shared" si="3"/>
        <v>Fail</v>
      </c>
      <c r="D117" t="str">
        <f t="shared" si="4"/>
        <v>Not Ok</v>
      </c>
      <c r="E117" t="str">
        <f t="shared" si="5"/>
        <v>True</v>
      </c>
    </row>
    <row r="118" spans="1:5">
      <c r="A118" s="4" t="s">
        <v>1259</v>
      </c>
      <c r="B118" s="4">
        <v>7</v>
      </c>
      <c r="C118" t="str">
        <f t="shared" si="3"/>
        <v>Fail</v>
      </c>
      <c r="D118" t="str">
        <f t="shared" si="4"/>
        <v>Not Ok</v>
      </c>
      <c r="E118" t="str">
        <f t="shared" si="5"/>
        <v>True</v>
      </c>
    </row>
    <row r="119" spans="1:5">
      <c r="A119" s="4" t="s">
        <v>1260</v>
      </c>
      <c r="B119" s="4">
        <v>20</v>
      </c>
      <c r="C119" t="str">
        <f t="shared" si="3"/>
        <v>Fail</v>
      </c>
      <c r="D119" t="str">
        <f t="shared" si="4"/>
        <v>Not Ok</v>
      </c>
      <c r="E119" t="str">
        <f t="shared" si="5"/>
        <v>True</v>
      </c>
    </row>
    <row r="120" spans="1:5">
      <c r="A120" s="4" t="s">
        <v>1261</v>
      </c>
      <c r="B120" s="4">
        <v>39</v>
      </c>
      <c r="C120" t="str">
        <f t="shared" si="3"/>
        <v>Fail</v>
      </c>
      <c r="D120" t="str">
        <f t="shared" si="4"/>
        <v>Not Ok</v>
      </c>
      <c r="E120" t="str">
        <f t="shared" si="5"/>
        <v>True</v>
      </c>
    </row>
    <row r="121" spans="1:5">
      <c r="A121" s="4" t="s">
        <v>1262</v>
      </c>
      <c r="B121" s="4">
        <v>93</v>
      </c>
      <c r="C121" t="str">
        <f t="shared" si="3"/>
        <v>Pass</v>
      </c>
      <c r="D121" t="str">
        <f t="shared" si="4"/>
        <v>Ok</v>
      </c>
      <c r="E121" t="str">
        <f t="shared" si="5"/>
        <v>False</v>
      </c>
    </row>
    <row r="122" spans="1:5">
      <c r="A122" s="4" t="s">
        <v>1263</v>
      </c>
      <c r="B122" s="4">
        <v>17</v>
      </c>
      <c r="C122" t="str">
        <f t="shared" si="3"/>
        <v>Fail</v>
      </c>
      <c r="D122" t="str">
        <f t="shared" si="4"/>
        <v>Not Ok</v>
      </c>
      <c r="E122" t="str">
        <f t="shared" si="5"/>
        <v>True</v>
      </c>
    </row>
    <row r="123" spans="1:5">
      <c r="A123" s="4" t="s">
        <v>1264</v>
      </c>
      <c r="B123" s="4">
        <v>58</v>
      </c>
      <c r="C123" t="str">
        <f t="shared" si="3"/>
        <v>Fail</v>
      </c>
      <c r="D123" t="str">
        <f t="shared" si="4"/>
        <v>Not Ok</v>
      </c>
      <c r="E123" t="str">
        <f t="shared" si="5"/>
        <v>True</v>
      </c>
    </row>
    <row r="124" spans="1:5">
      <c r="A124" s="4" t="s">
        <v>1265</v>
      </c>
      <c r="B124" s="4">
        <v>35</v>
      </c>
      <c r="C124" t="str">
        <f t="shared" si="3"/>
        <v>Fail</v>
      </c>
      <c r="D124" t="str">
        <f t="shared" si="4"/>
        <v>Not Ok</v>
      </c>
      <c r="E124" t="str">
        <f t="shared" si="5"/>
        <v>True</v>
      </c>
    </row>
    <row r="125" spans="1:5">
      <c r="A125" s="4" t="s">
        <v>1266</v>
      </c>
      <c r="B125" s="4">
        <v>14</v>
      </c>
      <c r="C125" t="str">
        <f t="shared" si="3"/>
        <v>Fail</v>
      </c>
      <c r="D125" t="str">
        <f t="shared" si="4"/>
        <v>Not Ok</v>
      </c>
      <c r="E125" t="str">
        <f t="shared" si="5"/>
        <v>True</v>
      </c>
    </row>
    <row r="126" spans="1:5">
      <c r="A126" s="4" t="s">
        <v>1267</v>
      </c>
      <c r="B126" s="4">
        <v>42</v>
      </c>
      <c r="C126" t="str">
        <f t="shared" si="3"/>
        <v>Fail</v>
      </c>
      <c r="D126" t="str">
        <f t="shared" si="4"/>
        <v>Not Ok</v>
      </c>
      <c r="E126" t="str">
        <f t="shared" si="5"/>
        <v>True</v>
      </c>
    </row>
    <row r="127" spans="1:5">
      <c r="A127" s="4" t="s">
        <v>1268</v>
      </c>
      <c r="B127" s="4">
        <v>34</v>
      </c>
      <c r="C127" t="str">
        <f t="shared" si="3"/>
        <v>Fail</v>
      </c>
      <c r="D127" t="str">
        <f t="shared" si="4"/>
        <v>Not Ok</v>
      </c>
      <c r="E127" t="str">
        <f t="shared" si="5"/>
        <v>True</v>
      </c>
    </row>
    <row r="128" spans="1:5">
      <c r="A128" s="4" t="s">
        <v>1269</v>
      </c>
      <c r="B128" s="4">
        <v>7</v>
      </c>
      <c r="C128" t="str">
        <f t="shared" si="3"/>
        <v>Fail</v>
      </c>
      <c r="D128" t="str">
        <f t="shared" si="4"/>
        <v>Not Ok</v>
      </c>
      <c r="E128" t="str">
        <f t="shared" si="5"/>
        <v>True</v>
      </c>
    </row>
    <row r="129" spans="1:5">
      <c r="A129" s="4" t="s">
        <v>1270</v>
      </c>
      <c r="B129" s="4">
        <v>70</v>
      </c>
      <c r="C129" t="str">
        <f t="shared" si="3"/>
        <v>Fail</v>
      </c>
      <c r="D129" t="str">
        <f t="shared" si="4"/>
        <v>Not Ok</v>
      </c>
      <c r="E129" t="str">
        <f t="shared" si="5"/>
        <v>True</v>
      </c>
    </row>
    <row r="130" spans="1:5">
      <c r="A130" s="4" t="s">
        <v>1271</v>
      </c>
      <c r="B130" s="4">
        <v>79</v>
      </c>
      <c r="C130" t="str">
        <f t="shared" si="3"/>
        <v>Fail</v>
      </c>
      <c r="D130" t="str">
        <f t="shared" si="4"/>
        <v>Not Ok</v>
      </c>
      <c r="E130" t="str">
        <f t="shared" si="5"/>
        <v>True</v>
      </c>
    </row>
    <row r="131" spans="1:5">
      <c r="A131" s="4" t="s">
        <v>1272</v>
      </c>
      <c r="B131" s="4">
        <v>5</v>
      </c>
      <c r="C131" t="str">
        <f t="shared" ref="C131:C194" si="6">IF(B131&gt;80,"Pass","Fail")</f>
        <v>Fail</v>
      </c>
      <c r="D131" t="str">
        <f t="shared" ref="D131:D194" si="7">IF(AND(B131&gt;80,C131="Pass"),"Ok","Not Ok")</f>
        <v>Not Ok</v>
      </c>
      <c r="E131" t="str">
        <f t="shared" ref="E131:E194" si="8">IF(OR(B131&lt;50,C131="Fail"),"True","False")</f>
        <v>True</v>
      </c>
    </row>
    <row r="132" spans="1:5">
      <c r="A132" s="4" t="s">
        <v>1273</v>
      </c>
      <c r="B132" s="4">
        <v>59</v>
      </c>
      <c r="C132" t="str">
        <f t="shared" si="6"/>
        <v>Fail</v>
      </c>
      <c r="D132" t="str">
        <f t="shared" si="7"/>
        <v>Not Ok</v>
      </c>
      <c r="E132" t="str">
        <f t="shared" si="8"/>
        <v>True</v>
      </c>
    </row>
    <row r="133" spans="1:5">
      <c r="A133" s="4" t="s">
        <v>1274</v>
      </c>
      <c r="B133" s="4">
        <v>62</v>
      </c>
      <c r="C133" t="str">
        <f t="shared" si="6"/>
        <v>Fail</v>
      </c>
      <c r="D133" t="str">
        <f t="shared" si="7"/>
        <v>Not Ok</v>
      </c>
      <c r="E133" t="str">
        <f t="shared" si="8"/>
        <v>True</v>
      </c>
    </row>
    <row r="134" spans="1:5">
      <c r="A134" s="4" t="s">
        <v>1275</v>
      </c>
      <c r="B134" s="4">
        <v>63</v>
      </c>
      <c r="C134" t="str">
        <f t="shared" si="6"/>
        <v>Fail</v>
      </c>
      <c r="D134" t="str">
        <f t="shared" si="7"/>
        <v>Not Ok</v>
      </c>
      <c r="E134" t="str">
        <f t="shared" si="8"/>
        <v>True</v>
      </c>
    </row>
    <row r="135" spans="1:5">
      <c r="A135" s="4" t="s">
        <v>1276</v>
      </c>
      <c r="B135" s="4">
        <v>19</v>
      </c>
      <c r="C135" t="str">
        <f t="shared" si="6"/>
        <v>Fail</v>
      </c>
      <c r="D135" t="str">
        <f t="shared" si="7"/>
        <v>Not Ok</v>
      </c>
      <c r="E135" t="str">
        <f t="shared" si="8"/>
        <v>True</v>
      </c>
    </row>
    <row r="136" spans="1:5">
      <c r="A136" s="4" t="s">
        <v>1277</v>
      </c>
      <c r="B136" s="4">
        <v>56</v>
      </c>
      <c r="C136" t="str">
        <f t="shared" si="6"/>
        <v>Fail</v>
      </c>
      <c r="D136" t="str">
        <f t="shared" si="7"/>
        <v>Not Ok</v>
      </c>
      <c r="E136" t="str">
        <f t="shared" si="8"/>
        <v>True</v>
      </c>
    </row>
    <row r="137" spans="1:5">
      <c r="A137" s="4" t="s">
        <v>1278</v>
      </c>
      <c r="B137" s="4">
        <v>36</v>
      </c>
      <c r="C137" t="str">
        <f t="shared" si="6"/>
        <v>Fail</v>
      </c>
      <c r="D137" t="str">
        <f t="shared" si="7"/>
        <v>Not Ok</v>
      </c>
      <c r="E137" t="str">
        <f t="shared" si="8"/>
        <v>True</v>
      </c>
    </row>
    <row r="138" spans="1:5">
      <c r="A138" s="4" t="s">
        <v>1279</v>
      </c>
      <c r="B138" s="4">
        <v>84</v>
      </c>
      <c r="C138" t="str">
        <f t="shared" si="6"/>
        <v>Pass</v>
      </c>
      <c r="D138" t="str">
        <f t="shared" si="7"/>
        <v>Ok</v>
      </c>
      <c r="E138" t="str">
        <f t="shared" si="8"/>
        <v>False</v>
      </c>
    </row>
    <row r="139" spans="1:5">
      <c r="A139" s="4" t="s">
        <v>1280</v>
      </c>
      <c r="B139" s="4">
        <v>67</v>
      </c>
      <c r="C139" t="str">
        <f t="shared" si="6"/>
        <v>Fail</v>
      </c>
      <c r="D139" t="str">
        <f t="shared" si="7"/>
        <v>Not Ok</v>
      </c>
      <c r="E139" t="str">
        <f t="shared" si="8"/>
        <v>True</v>
      </c>
    </row>
    <row r="140" spans="1:5">
      <c r="A140" s="4" t="s">
        <v>1281</v>
      </c>
      <c r="B140" s="4">
        <v>78</v>
      </c>
      <c r="C140" t="str">
        <f t="shared" si="6"/>
        <v>Fail</v>
      </c>
      <c r="D140" t="str">
        <f t="shared" si="7"/>
        <v>Not Ok</v>
      </c>
      <c r="E140" t="str">
        <f t="shared" si="8"/>
        <v>True</v>
      </c>
    </row>
    <row r="141" spans="1:5">
      <c r="A141" s="4" t="s">
        <v>1282</v>
      </c>
      <c r="B141" s="4">
        <v>55</v>
      </c>
      <c r="C141" t="str">
        <f t="shared" si="6"/>
        <v>Fail</v>
      </c>
      <c r="D141" t="str">
        <f t="shared" si="7"/>
        <v>Not Ok</v>
      </c>
      <c r="E141" t="str">
        <f t="shared" si="8"/>
        <v>True</v>
      </c>
    </row>
    <row r="142" spans="1:5">
      <c r="A142" s="4" t="s">
        <v>1283</v>
      </c>
      <c r="B142" s="4">
        <v>41</v>
      </c>
      <c r="C142" t="str">
        <f t="shared" si="6"/>
        <v>Fail</v>
      </c>
      <c r="D142" t="str">
        <f t="shared" si="7"/>
        <v>Not Ok</v>
      </c>
      <c r="E142" t="str">
        <f t="shared" si="8"/>
        <v>True</v>
      </c>
    </row>
    <row r="143" spans="1:5">
      <c r="A143" s="4" t="s">
        <v>1284</v>
      </c>
      <c r="B143" s="4">
        <v>85</v>
      </c>
      <c r="C143" t="str">
        <f t="shared" si="6"/>
        <v>Pass</v>
      </c>
      <c r="D143" t="str">
        <f t="shared" si="7"/>
        <v>Ok</v>
      </c>
      <c r="E143" t="str">
        <f t="shared" si="8"/>
        <v>False</v>
      </c>
    </row>
    <row r="144" spans="1:5">
      <c r="A144" s="4" t="s">
        <v>1285</v>
      </c>
      <c r="B144" s="4">
        <v>71</v>
      </c>
      <c r="C144" t="str">
        <f t="shared" si="6"/>
        <v>Fail</v>
      </c>
      <c r="D144" t="str">
        <f t="shared" si="7"/>
        <v>Not Ok</v>
      </c>
      <c r="E144" t="str">
        <f t="shared" si="8"/>
        <v>True</v>
      </c>
    </row>
    <row r="145" spans="1:5">
      <c r="A145" s="4" t="s">
        <v>1286</v>
      </c>
      <c r="B145" s="4">
        <v>63</v>
      </c>
      <c r="C145" t="str">
        <f t="shared" si="6"/>
        <v>Fail</v>
      </c>
      <c r="D145" t="str">
        <f t="shared" si="7"/>
        <v>Not Ok</v>
      </c>
      <c r="E145" t="str">
        <f t="shared" si="8"/>
        <v>True</v>
      </c>
    </row>
    <row r="146" spans="1:5">
      <c r="A146" s="4" t="s">
        <v>1287</v>
      </c>
      <c r="B146" s="4">
        <v>92</v>
      </c>
      <c r="C146" t="str">
        <f t="shared" si="6"/>
        <v>Pass</v>
      </c>
      <c r="D146" t="str">
        <f t="shared" si="7"/>
        <v>Ok</v>
      </c>
      <c r="E146" t="str">
        <f t="shared" si="8"/>
        <v>False</v>
      </c>
    </row>
    <row r="147" spans="1:5">
      <c r="A147" s="4" t="s">
        <v>1288</v>
      </c>
      <c r="B147" s="4">
        <v>96</v>
      </c>
      <c r="C147" t="str">
        <f t="shared" si="6"/>
        <v>Pass</v>
      </c>
      <c r="D147" t="str">
        <f t="shared" si="7"/>
        <v>Ok</v>
      </c>
      <c r="E147" t="str">
        <f t="shared" si="8"/>
        <v>False</v>
      </c>
    </row>
    <row r="148" spans="1:5">
      <c r="A148" s="4" t="s">
        <v>1289</v>
      </c>
      <c r="B148" s="4">
        <v>64</v>
      </c>
      <c r="C148" t="str">
        <f t="shared" si="6"/>
        <v>Fail</v>
      </c>
      <c r="D148" t="str">
        <f t="shared" si="7"/>
        <v>Not Ok</v>
      </c>
      <c r="E148" t="str">
        <f t="shared" si="8"/>
        <v>True</v>
      </c>
    </row>
    <row r="149" spans="1:5">
      <c r="A149" s="4" t="s">
        <v>1290</v>
      </c>
      <c r="B149" s="4">
        <v>19</v>
      </c>
      <c r="C149" t="str">
        <f t="shared" si="6"/>
        <v>Fail</v>
      </c>
      <c r="D149" t="str">
        <f t="shared" si="7"/>
        <v>Not Ok</v>
      </c>
      <c r="E149" t="str">
        <f t="shared" si="8"/>
        <v>True</v>
      </c>
    </row>
    <row r="150" spans="1:5">
      <c r="A150" s="4" t="s">
        <v>1291</v>
      </c>
      <c r="B150" s="4">
        <v>21</v>
      </c>
      <c r="C150" t="str">
        <f t="shared" si="6"/>
        <v>Fail</v>
      </c>
      <c r="D150" t="str">
        <f t="shared" si="7"/>
        <v>Not Ok</v>
      </c>
      <c r="E150" t="str">
        <f t="shared" si="8"/>
        <v>True</v>
      </c>
    </row>
    <row r="151" spans="1:5">
      <c r="A151" s="4" t="s">
        <v>1292</v>
      </c>
      <c r="B151" s="4">
        <v>21</v>
      </c>
      <c r="C151" t="str">
        <f t="shared" si="6"/>
        <v>Fail</v>
      </c>
      <c r="D151" t="str">
        <f t="shared" si="7"/>
        <v>Not Ok</v>
      </c>
      <c r="E151" t="str">
        <f t="shared" si="8"/>
        <v>True</v>
      </c>
    </row>
    <row r="152" spans="1:5">
      <c r="A152" s="4" t="s">
        <v>1293</v>
      </c>
      <c r="B152" s="4">
        <v>84</v>
      </c>
      <c r="C152" t="str">
        <f t="shared" si="6"/>
        <v>Pass</v>
      </c>
      <c r="D152" t="str">
        <f t="shared" si="7"/>
        <v>Ok</v>
      </c>
      <c r="E152" t="str">
        <f t="shared" si="8"/>
        <v>False</v>
      </c>
    </row>
    <row r="153" spans="1:5">
      <c r="A153" s="4" t="s">
        <v>1294</v>
      </c>
      <c r="B153" s="4">
        <v>30</v>
      </c>
      <c r="C153" t="str">
        <f t="shared" si="6"/>
        <v>Fail</v>
      </c>
      <c r="D153" t="str">
        <f t="shared" si="7"/>
        <v>Not Ok</v>
      </c>
      <c r="E153" t="str">
        <f t="shared" si="8"/>
        <v>True</v>
      </c>
    </row>
    <row r="154" spans="1:5">
      <c r="A154" s="4" t="s">
        <v>1295</v>
      </c>
      <c r="B154" s="4">
        <v>21</v>
      </c>
      <c r="C154" t="str">
        <f t="shared" si="6"/>
        <v>Fail</v>
      </c>
      <c r="D154" t="str">
        <f t="shared" si="7"/>
        <v>Not Ok</v>
      </c>
      <c r="E154" t="str">
        <f t="shared" si="8"/>
        <v>True</v>
      </c>
    </row>
    <row r="155" spans="1:5">
      <c r="A155" s="4" t="s">
        <v>1296</v>
      </c>
      <c r="B155" s="4">
        <v>93</v>
      </c>
      <c r="C155" t="str">
        <f t="shared" si="6"/>
        <v>Pass</v>
      </c>
      <c r="D155" t="str">
        <f t="shared" si="7"/>
        <v>Ok</v>
      </c>
      <c r="E155" t="str">
        <f t="shared" si="8"/>
        <v>False</v>
      </c>
    </row>
    <row r="156" spans="1:5">
      <c r="A156" s="4" t="s">
        <v>1297</v>
      </c>
      <c r="B156" s="4">
        <v>86</v>
      </c>
      <c r="C156" t="str">
        <f t="shared" si="6"/>
        <v>Pass</v>
      </c>
      <c r="D156" t="str">
        <f t="shared" si="7"/>
        <v>Ok</v>
      </c>
      <c r="E156" t="str">
        <f t="shared" si="8"/>
        <v>False</v>
      </c>
    </row>
    <row r="157" spans="1:5">
      <c r="A157" s="4" t="s">
        <v>1298</v>
      </c>
      <c r="B157" s="4">
        <v>72</v>
      </c>
      <c r="C157" t="str">
        <f t="shared" si="6"/>
        <v>Fail</v>
      </c>
      <c r="D157" t="str">
        <f t="shared" si="7"/>
        <v>Not Ok</v>
      </c>
      <c r="E157" t="str">
        <f t="shared" si="8"/>
        <v>True</v>
      </c>
    </row>
    <row r="158" spans="1:5">
      <c r="A158" s="4" t="s">
        <v>1299</v>
      </c>
      <c r="B158" s="4">
        <v>30</v>
      </c>
      <c r="C158" t="str">
        <f t="shared" si="6"/>
        <v>Fail</v>
      </c>
      <c r="D158" t="str">
        <f t="shared" si="7"/>
        <v>Not Ok</v>
      </c>
      <c r="E158" t="str">
        <f t="shared" si="8"/>
        <v>True</v>
      </c>
    </row>
    <row r="159" spans="1:5">
      <c r="A159" s="4" t="s">
        <v>1300</v>
      </c>
      <c r="B159" s="4">
        <v>5</v>
      </c>
      <c r="C159" t="str">
        <f t="shared" si="6"/>
        <v>Fail</v>
      </c>
      <c r="D159" t="str">
        <f t="shared" si="7"/>
        <v>Not Ok</v>
      </c>
      <c r="E159" t="str">
        <f t="shared" si="8"/>
        <v>True</v>
      </c>
    </row>
    <row r="160" spans="1:5">
      <c r="A160" s="4" t="s">
        <v>1301</v>
      </c>
      <c r="B160" s="4">
        <v>82</v>
      </c>
      <c r="C160" t="str">
        <f t="shared" si="6"/>
        <v>Pass</v>
      </c>
      <c r="D160" t="str">
        <f t="shared" si="7"/>
        <v>Ok</v>
      </c>
      <c r="E160" t="str">
        <f t="shared" si="8"/>
        <v>False</v>
      </c>
    </row>
    <row r="161" spans="1:5">
      <c r="A161" s="4" t="s">
        <v>1302</v>
      </c>
      <c r="B161" s="4">
        <v>90</v>
      </c>
      <c r="C161" t="str">
        <f t="shared" si="6"/>
        <v>Pass</v>
      </c>
      <c r="D161" t="str">
        <f t="shared" si="7"/>
        <v>Ok</v>
      </c>
      <c r="E161" t="str">
        <f t="shared" si="8"/>
        <v>False</v>
      </c>
    </row>
    <row r="162" spans="1:5">
      <c r="A162" s="4" t="s">
        <v>1303</v>
      </c>
      <c r="B162" s="4">
        <v>59</v>
      </c>
      <c r="C162" t="str">
        <f t="shared" si="6"/>
        <v>Fail</v>
      </c>
      <c r="D162" t="str">
        <f t="shared" si="7"/>
        <v>Not Ok</v>
      </c>
      <c r="E162" t="str">
        <f t="shared" si="8"/>
        <v>True</v>
      </c>
    </row>
    <row r="163" spans="1:5">
      <c r="A163" s="4" t="s">
        <v>1304</v>
      </c>
      <c r="B163" s="4">
        <v>18</v>
      </c>
      <c r="C163" t="str">
        <f t="shared" si="6"/>
        <v>Fail</v>
      </c>
      <c r="D163" t="str">
        <f t="shared" si="7"/>
        <v>Not Ok</v>
      </c>
      <c r="E163" t="str">
        <f t="shared" si="8"/>
        <v>True</v>
      </c>
    </row>
    <row r="164" spans="1:5">
      <c r="A164" s="4" t="s">
        <v>1305</v>
      </c>
      <c r="B164" s="4">
        <v>4</v>
      </c>
      <c r="C164" t="str">
        <f t="shared" si="6"/>
        <v>Fail</v>
      </c>
      <c r="D164" t="str">
        <f t="shared" si="7"/>
        <v>Not Ok</v>
      </c>
      <c r="E164" t="str">
        <f t="shared" si="8"/>
        <v>True</v>
      </c>
    </row>
    <row r="165" spans="1:5">
      <c r="A165" s="4" t="s">
        <v>1306</v>
      </c>
      <c r="B165" s="4">
        <v>35</v>
      </c>
      <c r="C165" t="str">
        <f t="shared" si="6"/>
        <v>Fail</v>
      </c>
      <c r="D165" t="str">
        <f t="shared" si="7"/>
        <v>Not Ok</v>
      </c>
      <c r="E165" t="str">
        <f t="shared" si="8"/>
        <v>True</v>
      </c>
    </row>
    <row r="166" spans="1:5">
      <c r="A166" s="4" t="s">
        <v>1307</v>
      </c>
      <c r="B166" s="4">
        <v>90</v>
      </c>
      <c r="C166" t="str">
        <f t="shared" si="6"/>
        <v>Pass</v>
      </c>
      <c r="D166" t="str">
        <f t="shared" si="7"/>
        <v>Ok</v>
      </c>
      <c r="E166" t="str">
        <f t="shared" si="8"/>
        <v>False</v>
      </c>
    </row>
    <row r="167" spans="1:5">
      <c r="A167" s="4" t="s">
        <v>1308</v>
      </c>
      <c r="B167" s="4">
        <v>29</v>
      </c>
      <c r="C167" t="str">
        <f t="shared" si="6"/>
        <v>Fail</v>
      </c>
      <c r="D167" t="str">
        <f t="shared" si="7"/>
        <v>Not Ok</v>
      </c>
      <c r="E167" t="str">
        <f t="shared" si="8"/>
        <v>True</v>
      </c>
    </row>
    <row r="168" spans="1:5">
      <c r="A168" s="4" t="s">
        <v>1309</v>
      </c>
      <c r="B168" s="4">
        <v>39</v>
      </c>
      <c r="C168" t="str">
        <f t="shared" si="6"/>
        <v>Fail</v>
      </c>
      <c r="D168" t="str">
        <f t="shared" si="7"/>
        <v>Not Ok</v>
      </c>
      <c r="E168" t="str">
        <f t="shared" si="8"/>
        <v>True</v>
      </c>
    </row>
    <row r="169" spans="1:5">
      <c r="A169" s="4" t="s">
        <v>1310</v>
      </c>
      <c r="B169" s="4">
        <v>15</v>
      </c>
      <c r="C169" t="str">
        <f t="shared" si="6"/>
        <v>Fail</v>
      </c>
      <c r="D169" t="str">
        <f t="shared" si="7"/>
        <v>Not Ok</v>
      </c>
      <c r="E169" t="str">
        <f t="shared" si="8"/>
        <v>True</v>
      </c>
    </row>
    <row r="170" spans="1:5">
      <c r="A170" s="4" t="s">
        <v>1311</v>
      </c>
      <c r="B170" s="4">
        <v>79</v>
      </c>
      <c r="C170" t="str">
        <f t="shared" si="6"/>
        <v>Fail</v>
      </c>
      <c r="D170" t="str">
        <f t="shared" si="7"/>
        <v>Not Ok</v>
      </c>
      <c r="E170" t="str">
        <f t="shared" si="8"/>
        <v>True</v>
      </c>
    </row>
    <row r="171" spans="1:5">
      <c r="A171" s="4" t="s">
        <v>1312</v>
      </c>
      <c r="B171" s="4">
        <v>78</v>
      </c>
      <c r="C171" t="str">
        <f t="shared" si="6"/>
        <v>Fail</v>
      </c>
      <c r="D171" t="str">
        <f t="shared" si="7"/>
        <v>Not Ok</v>
      </c>
      <c r="E171" t="str">
        <f t="shared" si="8"/>
        <v>True</v>
      </c>
    </row>
    <row r="172" spans="1:5">
      <c r="A172" s="4" t="s">
        <v>1313</v>
      </c>
      <c r="B172" s="4">
        <v>11</v>
      </c>
      <c r="C172" t="str">
        <f t="shared" si="6"/>
        <v>Fail</v>
      </c>
      <c r="D172" t="str">
        <f t="shared" si="7"/>
        <v>Not Ok</v>
      </c>
      <c r="E172" t="str">
        <f t="shared" si="8"/>
        <v>True</v>
      </c>
    </row>
    <row r="173" spans="1:5">
      <c r="A173" s="4" t="s">
        <v>1314</v>
      </c>
      <c r="B173" s="4">
        <v>79</v>
      </c>
      <c r="C173" t="str">
        <f t="shared" si="6"/>
        <v>Fail</v>
      </c>
      <c r="D173" t="str">
        <f t="shared" si="7"/>
        <v>Not Ok</v>
      </c>
      <c r="E173" t="str">
        <f t="shared" si="8"/>
        <v>True</v>
      </c>
    </row>
    <row r="174" spans="1:5">
      <c r="A174" s="4" t="s">
        <v>1315</v>
      </c>
      <c r="B174" s="4">
        <v>93</v>
      </c>
      <c r="C174" t="str">
        <f t="shared" si="6"/>
        <v>Pass</v>
      </c>
      <c r="D174" t="str">
        <f t="shared" si="7"/>
        <v>Ok</v>
      </c>
      <c r="E174" t="str">
        <f t="shared" si="8"/>
        <v>False</v>
      </c>
    </row>
    <row r="175" spans="1:5">
      <c r="A175" s="4" t="s">
        <v>1316</v>
      </c>
      <c r="B175" s="4">
        <v>42</v>
      </c>
      <c r="C175" t="str">
        <f t="shared" si="6"/>
        <v>Fail</v>
      </c>
      <c r="D175" t="str">
        <f t="shared" si="7"/>
        <v>Not Ok</v>
      </c>
      <c r="E175" t="str">
        <f t="shared" si="8"/>
        <v>True</v>
      </c>
    </row>
    <row r="176" spans="1:5">
      <c r="A176" s="4" t="s">
        <v>1317</v>
      </c>
      <c r="B176" s="4">
        <v>69</v>
      </c>
      <c r="C176" t="str">
        <f t="shared" si="6"/>
        <v>Fail</v>
      </c>
      <c r="D176" t="str">
        <f t="shared" si="7"/>
        <v>Not Ok</v>
      </c>
      <c r="E176" t="str">
        <f t="shared" si="8"/>
        <v>True</v>
      </c>
    </row>
    <row r="177" spans="1:5">
      <c r="A177" s="4" t="s">
        <v>1318</v>
      </c>
      <c r="B177" s="4">
        <v>72</v>
      </c>
      <c r="C177" t="str">
        <f t="shared" si="6"/>
        <v>Fail</v>
      </c>
      <c r="D177" t="str">
        <f t="shared" si="7"/>
        <v>Not Ok</v>
      </c>
      <c r="E177" t="str">
        <f t="shared" si="8"/>
        <v>True</v>
      </c>
    </row>
    <row r="178" spans="1:5">
      <c r="A178" s="4" t="s">
        <v>1319</v>
      </c>
      <c r="B178" s="4">
        <v>46</v>
      </c>
      <c r="C178" t="str">
        <f t="shared" si="6"/>
        <v>Fail</v>
      </c>
      <c r="D178" t="str">
        <f t="shared" si="7"/>
        <v>Not Ok</v>
      </c>
      <c r="E178" t="str">
        <f t="shared" si="8"/>
        <v>True</v>
      </c>
    </row>
    <row r="179" spans="1:5">
      <c r="A179" s="4" t="s">
        <v>1320</v>
      </c>
      <c r="B179" s="4">
        <v>67</v>
      </c>
      <c r="C179" t="str">
        <f t="shared" si="6"/>
        <v>Fail</v>
      </c>
      <c r="D179" t="str">
        <f t="shared" si="7"/>
        <v>Not Ok</v>
      </c>
      <c r="E179" t="str">
        <f t="shared" si="8"/>
        <v>True</v>
      </c>
    </row>
    <row r="180" spans="1:5">
      <c r="A180" s="4" t="s">
        <v>1321</v>
      </c>
      <c r="B180" s="4">
        <v>79</v>
      </c>
      <c r="C180" t="str">
        <f t="shared" si="6"/>
        <v>Fail</v>
      </c>
      <c r="D180" t="str">
        <f t="shared" si="7"/>
        <v>Not Ok</v>
      </c>
      <c r="E180" t="str">
        <f t="shared" si="8"/>
        <v>True</v>
      </c>
    </row>
    <row r="181" spans="1:5">
      <c r="A181" s="4" t="s">
        <v>1322</v>
      </c>
      <c r="B181" s="4">
        <v>49</v>
      </c>
      <c r="C181" t="str">
        <f t="shared" si="6"/>
        <v>Fail</v>
      </c>
      <c r="D181" t="str">
        <f t="shared" si="7"/>
        <v>Not Ok</v>
      </c>
      <c r="E181" t="str">
        <f t="shared" si="8"/>
        <v>True</v>
      </c>
    </row>
    <row r="182" spans="1:5">
      <c r="A182" s="4" t="s">
        <v>1323</v>
      </c>
      <c r="B182" s="4">
        <v>22</v>
      </c>
      <c r="C182" t="str">
        <f t="shared" si="6"/>
        <v>Fail</v>
      </c>
      <c r="D182" t="str">
        <f t="shared" si="7"/>
        <v>Not Ok</v>
      </c>
      <c r="E182" t="str">
        <f t="shared" si="8"/>
        <v>True</v>
      </c>
    </row>
    <row r="183" spans="1:5">
      <c r="A183" s="4" t="s">
        <v>1324</v>
      </c>
      <c r="B183" s="4">
        <v>60</v>
      </c>
      <c r="C183" t="str">
        <f t="shared" si="6"/>
        <v>Fail</v>
      </c>
      <c r="D183" t="str">
        <f t="shared" si="7"/>
        <v>Not Ok</v>
      </c>
      <c r="E183" t="str">
        <f t="shared" si="8"/>
        <v>True</v>
      </c>
    </row>
    <row r="184" spans="1:5">
      <c r="A184" s="4" t="s">
        <v>1325</v>
      </c>
      <c r="B184" s="4">
        <v>51</v>
      </c>
      <c r="C184" t="str">
        <f t="shared" si="6"/>
        <v>Fail</v>
      </c>
      <c r="D184" t="str">
        <f t="shared" si="7"/>
        <v>Not Ok</v>
      </c>
      <c r="E184" t="str">
        <f t="shared" si="8"/>
        <v>True</v>
      </c>
    </row>
    <row r="185" spans="1:5">
      <c r="A185" s="4" t="s">
        <v>1326</v>
      </c>
      <c r="B185" s="4">
        <v>62</v>
      </c>
      <c r="C185" t="str">
        <f t="shared" si="6"/>
        <v>Fail</v>
      </c>
      <c r="D185" t="str">
        <f t="shared" si="7"/>
        <v>Not Ok</v>
      </c>
      <c r="E185" t="str">
        <f t="shared" si="8"/>
        <v>True</v>
      </c>
    </row>
    <row r="186" spans="1:5">
      <c r="A186" s="4" t="s">
        <v>1327</v>
      </c>
      <c r="B186" s="4">
        <v>33</v>
      </c>
      <c r="C186" t="str">
        <f t="shared" si="6"/>
        <v>Fail</v>
      </c>
      <c r="D186" t="str">
        <f t="shared" si="7"/>
        <v>Not Ok</v>
      </c>
      <c r="E186" t="str">
        <f t="shared" si="8"/>
        <v>True</v>
      </c>
    </row>
    <row r="187" spans="1:5">
      <c r="A187" s="4" t="s">
        <v>1328</v>
      </c>
      <c r="B187" s="4">
        <v>24</v>
      </c>
      <c r="C187" t="str">
        <f t="shared" si="6"/>
        <v>Fail</v>
      </c>
      <c r="D187" t="str">
        <f t="shared" si="7"/>
        <v>Not Ok</v>
      </c>
      <c r="E187" t="str">
        <f t="shared" si="8"/>
        <v>True</v>
      </c>
    </row>
    <row r="188" spans="1:5">
      <c r="A188" s="4" t="s">
        <v>1329</v>
      </c>
      <c r="B188" s="4">
        <v>73</v>
      </c>
      <c r="C188" t="str">
        <f t="shared" si="6"/>
        <v>Fail</v>
      </c>
      <c r="D188" t="str">
        <f t="shared" si="7"/>
        <v>Not Ok</v>
      </c>
      <c r="E188" t="str">
        <f t="shared" si="8"/>
        <v>True</v>
      </c>
    </row>
    <row r="189" spans="1:5">
      <c r="A189" s="4" t="s">
        <v>1330</v>
      </c>
      <c r="B189" s="4">
        <v>74</v>
      </c>
      <c r="C189" t="str">
        <f t="shared" si="6"/>
        <v>Fail</v>
      </c>
      <c r="D189" t="str">
        <f t="shared" si="7"/>
        <v>Not Ok</v>
      </c>
      <c r="E189" t="str">
        <f t="shared" si="8"/>
        <v>True</v>
      </c>
    </row>
    <row r="190" spans="1:5">
      <c r="A190" s="4" t="s">
        <v>1331</v>
      </c>
      <c r="B190" s="4">
        <v>39</v>
      </c>
      <c r="C190" t="str">
        <f t="shared" si="6"/>
        <v>Fail</v>
      </c>
      <c r="D190" t="str">
        <f t="shared" si="7"/>
        <v>Not Ok</v>
      </c>
      <c r="E190" t="str">
        <f t="shared" si="8"/>
        <v>True</v>
      </c>
    </row>
    <row r="191" spans="1:5">
      <c r="A191" s="4" t="s">
        <v>1332</v>
      </c>
      <c r="B191" s="4">
        <v>9</v>
      </c>
      <c r="C191" t="str">
        <f t="shared" si="6"/>
        <v>Fail</v>
      </c>
      <c r="D191" t="str">
        <f t="shared" si="7"/>
        <v>Not Ok</v>
      </c>
      <c r="E191" t="str">
        <f t="shared" si="8"/>
        <v>True</v>
      </c>
    </row>
    <row r="192" spans="1:5">
      <c r="A192" s="4" t="s">
        <v>1333</v>
      </c>
      <c r="B192" s="4">
        <v>67</v>
      </c>
      <c r="C192" t="str">
        <f t="shared" si="6"/>
        <v>Fail</v>
      </c>
      <c r="D192" t="str">
        <f t="shared" si="7"/>
        <v>Not Ok</v>
      </c>
      <c r="E192" t="str">
        <f t="shared" si="8"/>
        <v>True</v>
      </c>
    </row>
    <row r="193" spans="1:5">
      <c r="A193" s="4" t="s">
        <v>1334</v>
      </c>
      <c r="B193" s="4">
        <v>35</v>
      </c>
      <c r="C193" t="str">
        <f t="shared" si="6"/>
        <v>Fail</v>
      </c>
      <c r="D193" t="str">
        <f t="shared" si="7"/>
        <v>Not Ok</v>
      </c>
      <c r="E193" t="str">
        <f t="shared" si="8"/>
        <v>True</v>
      </c>
    </row>
    <row r="194" spans="1:5">
      <c r="A194" s="4" t="s">
        <v>1335</v>
      </c>
      <c r="B194" s="4">
        <v>96</v>
      </c>
      <c r="C194" t="str">
        <f t="shared" si="6"/>
        <v>Pass</v>
      </c>
      <c r="D194" t="str">
        <f t="shared" si="7"/>
        <v>Ok</v>
      </c>
      <c r="E194" t="str">
        <f t="shared" si="8"/>
        <v>False</v>
      </c>
    </row>
    <row r="195" spans="1:5">
      <c r="A195" s="4" t="s">
        <v>1336</v>
      </c>
      <c r="B195" s="4">
        <v>66</v>
      </c>
      <c r="C195" t="str">
        <f t="shared" ref="C195:C258" si="9">IF(B195&gt;80,"Pass","Fail")</f>
        <v>Fail</v>
      </c>
      <c r="D195" t="str">
        <f t="shared" ref="D195:D258" si="10">IF(AND(B195&gt;80,C195="Pass"),"Ok","Not Ok")</f>
        <v>Not Ok</v>
      </c>
      <c r="E195" t="str">
        <f t="shared" ref="E195:E258" si="11">IF(OR(B195&lt;50,C195="Fail"),"True","False")</f>
        <v>True</v>
      </c>
    </row>
    <row r="196" spans="1:5">
      <c r="A196" s="4" t="s">
        <v>1337</v>
      </c>
      <c r="B196" s="4">
        <v>24</v>
      </c>
      <c r="C196" t="str">
        <f t="shared" si="9"/>
        <v>Fail</v>
      </c>
      <c r="D196" t="str">
        <f t="shared" si="10"/>
        <v>Not Ok</v>
      </c>
      <c r="E196" t="str">
        <f t="shared" si="11"/>
        <v>True</v>
      </c>
    </row>
    <row r="197" spans="1:5">
      <c r="A197" s="4" t="s">
        <v>1338</v>
      </c>
      <c r="B197" s="4">
        <v>13</v>
      </c>
      <c r="C197" t="str">
        <f t="shared" si="9"/>
        <v>Fail</v>
      </c>
      <c r="D197" t="str">
        <f t="shared" si="10"/>
        <v>Not Ok</v>
      </c>
      <c r="E197" t="str">
        <f t="shared" si="11"/>
        <v>True</v>
      </c>
    </row>
    <row r="198" spans="1:5">
      <c r="A198" s="4" t="s">
        <v>1339</v>
      </c>
      <c r="B198" s="4">
        <v>16</v>
      </c>
      <c r="C198" t="str">
        <f t="shared" si="9"/>
        <v>Fail</v>
      </c>
      <c r="D198" t="str">
        <f t="shared" si="10"/>
        <v>Not Ok</v>
      </c>
      <c r="E198" t="str">
        <f t="shared" si="11"/>
        <v>True</v>
      </c>
    </row>
    <row r="199" spans="1:5">
      <c r="A199" s="4" t="s">
        <v>1340</v>
      </c>
      <c r="B199" s="4">
        <v>13</v>
      </c>
      <c r="C199" t="str">
        <f t="shared" si="9"/>
        <v>Fail</v>
      </c>
      <c r="D199" t="str">
        <f t="shared" si="10"/>
        <v>Not Ok</v>
      </c>
      <c r="E199" t="str">
        <f t="shared" si="11"/>
        <v>True</v>
      </c>
    </row>
    <row r="200" spans="1:5">
      <c r="A200" s="4" t="s">
        <v>1341</v>
      </c>
      <c r="B200" s="4">
        <v>97</v>
      </c>
      <c r="C200" t="str">
        <f t="shared" si="9"/>
        <v>Pass</v>
      </c>
      <c r="D200" t="str">
        <f t="shared" si="10"/>
        <v>Ok</v>
      </c>
      <c r="E200" t="str">
        <f t="shared" si="11"/>
        <v>False</v>
      </c>
    </row>
    <row r="201" spans="1:5">
      <c r="A201" s="4" t="s">
        <v>1342</v>
      </c>
      <c r="B201" s="4">
        <v>56</v>
      </c>
      <c r="C201" t="str">
        <f t="shared" si="9"/>
        <v>Fail</v>
      </c>
      <c r="D201" t="str">
        <f t="shared" si="10"/>
        <v>Not Ok</v>
      </c>
      <c r="E201" t="str">
        <f t="shared" si="11"/>
        <v>True</v>
      </c>
    </row>
    <row r="202" spans="1:5">
      <c r="A202" s="4" t="s">
        <v>1343</v>
      </c>
      <c r="B202" s="4">
        <v>65</v>
      </c>
      <c r="C202" t="str">
        <f t="shared" si="9"/>
        <v>Fail</v>
      </c>
      <c r="D202" t="str">
        <f t="shared" si="10"/>
        <v>Not Ok</v>
      </c>
      <c r="E202" t="str">
        <f t="shared" si="11"/>
        <v>True</v>
      </c>
    </row>
    <row r="203" spans="1:5">
      <c r="A203" s="4" t="s">
        <v>1344</v>
      </c>
      <c r="B203" s="4">
        <v>14</v>
      </c>
      <c r="C203" t="str">
        <f t="shared" si="9"/>
        <v>Fail</v>
      </c>
      <c r="D203" t="str">
        <f t="shared" si="10"/>
        <v>Not Ok</v>
      </c>
      <c r="E203" t="str">
        <f t="shared" si="11"/>
        <v>True</v>
      </c>
    </row>
    <row r="204" spans="1:5">
      <c r="A204" s="4" t="s">
        <v>1345</v>
      </c>
      <c r="B204" s="4">
        <v>82</v>
      </c>
      <c r="C204" t="str">
        <f t="shared" si="9"/>
        <v>Pass</v>
      </c>
      <c r="D204" t="str">
        <f t="shared" si="10"/>
        <v>Ok</v>
      </c>
      <c r="E204" t="str">
        <f t="shared" si="11"/>
        <v>False</v>
      </c>
    </row>
    <row r="205" spans="1:5">
      <c r="A205" s="4" t="s">
        <v>1346</v>
      </c>
      <c r="B205" s="4">
        <v>88</v>
      </c>
      <c r="C205" t="str">
        <f t="shared" si="9"/>
        <v>Pass</v>
      </c>
      <c r="D205" t="str">
        <f t="shared" si="10"/>
        <v>Ok</v>
      </c>
      <c r="E205" t="str">
        <f t="shared" si="11"/>
        <v>False</v>
      </c>
    </row>
    <row r="206" spans="1:5">
      <c r="A206" s="4" t="s">
        <v>1347</v>
      </c>
      <c r="B206" s="4">
        <v>82</v>
      </c>
      <c r="C206" t="str">
        <f t="shared" si="9"/>
        <v>Pass</v>
      </c>
      <c r="D206" t="str">
        <f t="shared" si="10"/>
        <v>Ok</v>
      </c>
      <c r="E206" t="str">
        <f t="shared" si="11"/>
        <v>False</v>
      </c>
    </row>
    <row r="207" spans="1:5">
      <c r="A207" s="4" t="s">
        <v>1348</v>
      </c>
      <c r="B207" s="4">
        <v>21</v>
      </c>
      <c r="C207" t="str">
        <f t="shared" si="9"/>
        <v>Fail</v>
      </c>
      <c r="D207" t="str">
        <f t="shared" si="10"/>
        <v>Not Ok</v>
      </c>
      <c r="E207" t="str">
        <f t="shared" si="11"/>
        <v>True</v>
      </c>
    </row>
    <row r="208" spans="1:5">
      <c r="A208" s="4" t="s">
        <v>1349</v>
      </c>
      <c r="B208" s="4">
        <v>42</v>
      </c>
      <c r="C208" t="str">
        <f t="shared" si="9"/>
        <v>Fail</v>
      </c>
      <c r="D208" t="str">
        <f t="shared" si="10"/>
        <v>Not Ok</v>
      </c>
      <c r="E208" t="str">
        <f t="shared" si="11"/>
        <v>True</v>
      </c>
    </row>
    <row r="209" spans="1:5">
      <c r="A209" s="4" t="s">
        <v>1350</v>
      </c>
      <c r="B209" s="4">
        <v>56</v>
      </c>
      <c r="C209" t="str">
        <f t="shared" si="9"/>
        <v>Fail</v>
      </c>
      <c r="D209" t="str">
        <f t="shared" si="10"/>
        <v>Not Ok</v>
      </c>
      <c r="E209" t="str">
        <f t="shared" si="11"/>
        <v>True</v>
      </c>
    </row>
    <row r="210" spans="1:5">
      <c r="A210" s="4" t="s">
        <v>1351</v>
      </c>
      <c r="B210" s="4">
        <v>48</v>
      </c>
      <c r="C210" t="str">
        <f t="shared" si="9"/>
        <v>Fail</v>
      </c>
      <c r="D210" t="str">
        <f t="shared" si="10"/>
        <v>Not Ok</v>
      </c>
      <c r="E210" t="str">
        <f t="shared" si="11"/>
        <v>True</v>
      </c>
    </row>
    <row r="211" spans="1:5">
      <c r="A211" s="4" t="s">
        <v>1352</v>
      </c>
      <c r="B211" s="4">
        <v>46</v>
      </c>
      <c r="C211" t="str">
        <f t="shared" si="9"/>
        <v>Fail</v>
      </c>
      <c r="D211" t="str">
        <f t="shared" si="10"/>
        <v>Not Ok</v>
      </c>
      <c r="E211" t="str">
        <f t="shared" si="11"/>
        <v>True</v>
      </c>
    </row>
    <row r="212" spans="1:5">
      <c r="A212" s="4" t="s">
        <v>1353</v>
      </c>
      <c r="B212" s="4">
        <v>18</v>
      </c>
      <c r="C212" t="str">
        <f t="shared" si="9"/>
        <v>Fail</v>
      </c>
      <c r="D212" t="str">
        <f t="shared" si="10"/>
        <v>Not Ok</v>
      </c>
      <c r="E212" t="str">
        <f t="shared" si="11"/>
        <v>True</v>
      </c>
    </row>
    <row r="213" spans="1:5">
      <c r="A213" s="4" t="s">
        <v>1354</v>
      </c>
      <c r="B213" s="4">
        <v>51</v>
      </c>
      <c r="C213" t="str">
        <f t="shared" si="9"/>
        <v>Fail</v>
      </c>
      <c r="D213" t="str">
        <f t="shared" si="10"/>
        <v>Not Ok</v>
      </c>
      <c r="E213" t="str">
        <f t="shared" si="11"/>
        <v>True</v>
      </c>
    </row>
    <row r="214" spans="1:5">
      <c r="A214" s="4" t="s">
        <v>1355</v>
      </c>
      <c r="B214" s="4">
        <v>42</v>
      </c>
      <c r="C214" t="str">
        <f t="shared" si="9"/>
        <v>Fail</v>
      </c>
      <c r="D214" t="str">
        <f t="shared" si="10"/>
        <v>Not Ok</v>
      </c>
      <c r="E214" t="str">
        <f t="shared" si="11"/>
        <v>True</v>
      </c>
    </row>
    <row r="215" spans="1:5">
      <c r="A215" s="4" t="s">
        <v>1356</v>
      </c>
      <c r="B215" s="4">
        <v>30</v>
      </c>
      <c r="C215" t="str">
        <f t="shared" si="9"/>
        <v>Fail</v>
      </c>
      <c r="D215" t="str">
        <f t="shared" si="10"/>
        <v>Not Ok</v>
      </c>
      <c r="E215" t="str">
        <f t="shared" si="11"/>
        <v>True</v>
      </c>
    </row>
    <row r="216" spans="1:5">
      <c r="A216" s="4" t="s">
        <v>1357</v>
      </c>
      <c r="B216" s="4">
        <v>74</v>
      </c>
      <c r="C216" t="str">
        <f t="shared" si="9"/>
        <v>Fail</v>
      </c>
      <c r="D216" t="str">
        <f t="shared" si="10"/>
        <v>Not Ok</v>
      </c>
      <c r="E216" t="str">
        <f t="shared" si="11"/>
        <v>True</v>
      </c>
    </row>
    <row r="217" spans="1:5">
      <c r="A217" s="4" t="s">
        <v>1358</v>
      </c>
      <c r="B217" s="4">
        <v>37</v>
      </c>
      <c r="C217" t="str">
        <f t="shared" si="9"/>
        <v>Fail</v>
      </c>
      <c r="D217" t="str">
        <f t="shared" si="10"/>
        <v>Not Ok</v>
      </c>
      <c r="E217" t="str">
        <f t="shared" si="11"/>
        <v>True</v>
      </c>
    </row>
    <row r="218" spans="1:5">
      <c r="A218" s="4" t="s">
        <v>1359</v>
      </c>
      <c r="B218" s="4">
        <v>45</v>
      </c>
      <c r="C218" t="str">
        <f t="shared" si="9"/>
        <v>Fail</v>
      </c>
      <c r="D218" t="str">
        <f t="shared" si="10"/>
        <v>Not Ok</v>
      </c>
      <c r="E218" t="str">
        <f t="shared" si="11"/>
        <v>True</v>
      </c>
    </row>
    <row r="219" spans="1:5">
      <c r="A219" s="4" t="s">
        <v>1360</v>
      </c>
      <c r="B219" s="4">
        <v>35</v>
      </c>
      <c r="C219" t="str">
        <f t="shared" si="9"/>
        <v>Fail</v>
      </c>
      <c r="D219" t="str">
        <f t="shared" si="10"/>
        <v>Not Ok</v>
      </c>
      <c r="E219" t="str">
        <f t="shared" si="11"/>
        <v>True</v>
      </c>
    </row>
    <row r="220" spans="1:5">
      <c r="A220" s="4" t="s">
        <v>1361</v>
      </c>
      <c r="B220" s="4">
        <v>67</v>
      </c>
      <c r="C220" t="str">
        <f t="shared" si="9"/>
        <v>Fail</v>
      </c>
      <c r="D220" t="str">
        <f t="shared" si="10"/>
        <v>Not Ok</v>
      </c>
      <c r="E220" t="str">
        <f t="shared" si="11"/>
        <v>True</v>
      </c>
    </row>
    <row r="221" spans="1:5">
      <c r="A221" s="4" t="s">
        <v>1362</v>
      </c>
      <c r="B221" s="4">
        <v>37</v>
      </c>
      <c r="C221" t="str">
        <f t="shared" si="9"/>
        <v>Fail</v>
      </c>
      <c r="D221" t="str">
        <f t="shared" si="10"/>
        <v>Not Ok</v>
      </c>
      <c r="E221" t="str">
        <f t="shared" si="11"/>
        <v>True</v>
      </c>
    </row>
    <row r="222" spans="1:5">
      <c r="A222" s="4" t="s">
        <v>1363</v>
      </c>
      <c r="B222" s="4">
        <v>33</v>
      </c>
      <c r="C222" t="str">
        <f t="shared" si="9"/>
        <v>Fail</v>
      </c>
      <c r="D222" t="str">
        <f t="shared" si="10"/>
        <v>Not Ok</v>
      </c>
      <c r="E222" t="str">
        <f t="shared" si="11"/>
        <v>True</v>
      </c>
    </row>
    <row r="223" spans="1:5">
      <c r="A223" s="4" t="s">
        <v>1364</v>
      </c>
      <c r="B223" s="4">
        <v>13</v>
      </c>
      <c r="C223" t="str">
        <f t="shared" si="9"/>
        <v>Fail</v>
      </c>
      <c r="D223" t="str">
        <f t="shared" si="10"/>
        <v>Not Ok</v>
      </c>
      <c r="E223" t="str">
        <f t="shared" si="11"/>
        <v>True</v>
      </c>
    </row>
    <row r="224" spans="1:5">
      <c r="A224" s="4" t="s">
        <v>1365</v>
      </c>
      <c r="B224" s="4">
        <v>51</v>
      </c>
      <c r="C224" t="str">
        <f t="shared" si="9"/>
        <v>Fail</v>
      </c>
      <c r="D224" t="str">
        <f t="shared" si="10"/>
        <v>Not Ok</v>
      </c>
      <c r="E224" t="str">
        <f t="shared" si="11"/>
        <v>True</v>
      </c>
    </row>
    <row r="225" spans="1:5">
      <c r="A225" s="4" t="s">
        <v>1366</v>
      </c>
      <c r="B225" s="4">
        <v>40</v>
      </c>
      <c r="C225" t="str">
        <f t="shared" si="9"/>
        <v>Fail</v>
      </c>
      <c r="D225" t="str">
        <f t="shared" si="10"/>
        <v>Not Ok</v>
      </c>
      <c r="E225" t="str">
        <f t="shared" si="11"/>
        <v>True</v>
      </c>
    </row>
    <row r="226" spans="1:5">
      <c r="A226" s="4" t="s">
        <v>1367</v>
      </c>
      <c r="B226" s="4">
        <v>24</v>
      </c>
      <c r="C226" t="str">
        <f t="shared" si="9"/>
        <v>Fail</v>
      </c>
      <c r="D226" t="str">
        <f t="shared" si="10"/>
        <v>Not Ok</v>
      </c>
      <c r="E226" t="str">
        <f t="shared" si="11"/>
        <v>True</v>
      </c>
    </row>
    <row r="227" spans="1:5">
      <c r="A227" s="4" t="s">
        <v>1368</v>
      </c>
      <c r="B227" s="4">
        <v>14</v>
      </c>
      <c r="C227" t="str">
        <f t="shared" si="9"/>
        <v>Fail</v>
      </c>
      <c r="D227" t="str">
        <f t="shared" si="10"/>
        <v>Not Ok</v>
      </c>
      <c r="E227" t="str">
        <f t="shared" si="11"/>
        <v>True</v>
      </c>
    </row>
    <row r="228" spans="1:5">
      <c r="A228" s="4" t="s">
        <v>1369</v>
      </c>
      <c r="B228" s="4">
        <v>33</v>
      </c>
      <c r="C228" t="str">
        <f t="shared" si="9"/>
        <v>Fail</v>
      </c>
      <c r="D228" t="str">
        <f t="shared" si="10"/>
        <v>Not Ok</v>
      </c>
      <c r="E228" t="str">
        <f t="shared" si="11"/>
        <v>True</v>
      </c>
    </row>
    <row r="229" spans="1:5">
      <c r="A229" s="4" t="s">
        <v>1370</v>
      </c>
      <c r="B229" s="4">
        <v>91</v>
      </c>
      <c r="C229" t="str">
        <f t="shared" si="9"/>
        <v>Pass</v>
      </c>
      <c r="D229" t="str">
        <f t="shared" si="10"/>
        <v>Ok</v>
      </c>
      <c r="E229" t="str">
        <f t="shared" si="11"/>
        <v>False</v>
      </c>
    </row>
    <row r="230" spans="1:5">
      <c r="A230" s="4" t="s">
        <v>1371</v>
      </c>
      <c r="B230" s="4">
        <v>53</v>
      </c>
      <c r="C230" t="str">
        <f t="shared" si="9"/>
        <v>Fail</v>
      </c>
      <c r="D230" t="str">
        <f t="shared" si="10"/>
        <v>Not Ok</v>
      </c>
      <c r="E230" t="str">
        <f t="shared" si="11"/>
        <v>True</v>
      </c>
    </row>
    <row r="231" spans="1:5">
      <c r="A231" s="4" t="s">
        <v>1372</v>
      </c>
      <c r="B231" s="4">
        <v>31</v>
      </c>
      <c r="C231" t="str">
        <f t="shared" si="9"/>
        <v>Fail</v>
      </c>
      <c r="D231" t="str">
        <f t="shared" si="10"/>
        <v>Not Ok</v>
      </c>
      <c r="E231" t="str">
        <f t="shared" si="11"/>
        <v>True</v>
      </c>
    </row>
    <row r="232" spans="1:5">
      <c r="A232" s="4" t="s">
        <v>1373</v>
      </c>
      <c r="B232" s="4">
        <v>65</v>
      </c>
      <c r="C232" t="str">
        <f t="shared" si="9"/>
        <v>Fail</v>
      </c>
      <c r="D232" t="str">
        <f t="shared" si="10"/>
        <v>Not Ok</v>
      </c>
      <c r="E232" t="str">
        <f t="shared" si="11"/>
        <v>True</v>
      </c>
    </row>
    <row r="233" spans="1:5">
      <c r="A233" s="4" t="s">
        <v>1374</v>
      </c>
      <c r="B233" s="4">
        <v>10</v>
      </c>
      <c r="C233" t="str">
        <f t="shared" si="9"/>
        <v>Fail</v>
      </c>
      <c r="D233" t="str">
        <f t="shared" si="10"/>
        <v>Not Ok</v>
      </c>
      <c r="E233" t="str">
        <f t="shared" si="11"/>
        <v>True</v>
      </c>
    </row>
    <row r="234" spans="1:5">
      <c r="A234" s="4" t="s">
        <v>1375</v>
      </c>
      <c r="B234" s="4">
        <v>63</v>
      </c>
      <c r="C234" t="str">
        <f t="shared" si="9"/>
        <v>Fail</v>
      </c>
      <c r="D234" t="str">
        <f t="shared" si="10"/>
        <v>Not Ok</v>
      </c>
      <c r="E234" t="str">
        <f t="shared" si="11"/>
        <v>True</v>
      </c>
    </row>
    <row r="235" spans="1:5">
      <c r="A235" s="4" t="s">
        <v>1376</v>
      </c>
      <c r="B235" s="4">
        <v>40</v>
      </c>
      <c r="C235" t="str">
        <f t="shared" si="9"/>
        <v>Fail</v>
      </c>
      <c r="D235" t="str">
        <f t="shared" si="10"/>
        <v>Not Ok</v>
      </c>
      <c r="E235" t="str">
        <f t="shared" si="11"/>
        <v>True</v>
      </c>
    </row>
    <row r="236" spans="1:5">
      <c r="A236" s="4" t="s">
        <v>1377</v>
      </c>
      <c r="B236" s="4">
        <v>29</v>
      </c>
      <c r="C236" t="str">
        <f t="shared" si="9"/>
        <v>Fail</v>
      </c>
      <c r="D236" t="str">
        <f t="shared" si="10"/>
        <v>Not Ok</v>
      </c>
      <c r="E236" t="str">
        <f t="shared" si="11"/>
        <v>True</v>
      </c>
    </row>
    <row r="237" spans="1:5">
      <c r="A237" s="4" t="s">
        <v>1378</v>
      </c>
      <c r="B237" s="4">
        <v>51</v>
      </c>
      <c r="C237" t="str">
        <f t="shared" si="9"/>
        <v>Fail</v>
      </c>
      <c r="D237" t="str">
        <f t="shared" si="10"/>
        <v>Not Ok</v>
      </c>
      <c r="E237" t="str">
        <f t="shared" si="11"/>
        <v>True</v>
      </c>
    </row>
    <row r="238" spans="1:5">
      <c r="A238" s="4" t="s">
        <v>1379</v>
      </c>
      <c r="B238" s="4">
        <v>64</v>
      </c>
      <c r="C238" t="str">
        <f t="shared" si="9"/>
        <v>Fail</v>
      </c>
      <c r="D238" t="str">
        <f t="shared" si="10"/>
        <v>Not Ok</v>
      </c>
      <c r="E238" t="str">
        <f t="shared" si="11"/>
        <v>True</v>
      </c>
    </row>
    <row r="239" spans="1:5">
      <c r="A239" s="4" t="s">
        <v>1380</v>
      </c>
      <c r="B239" s="4">
        <v>15</v>
      </c>
      <c r="C239" t="str">
        <f t="shared" si="9"/>
        <v>Fail</v>
      </c>
      <c r="D239" t="str">
        <f t="shared" si="10"/>
        <v>Not Ok</v>
      </c>
      <c r="E239" t="str">
        <f t="shared" si="11"/>
        <v>True</v>
      </c>
    </row>
    <row r="240" spans="1:5">
      <c r="A240" s="4" t="s">
        <v>1381</v>
      </c>
      <c r="B240" s="4">
        <v>44</v>
      </c>
      <c r="C240" t="str">
        <f t="shared" si="9"/>
        <v>Fail</v>
      </c>
      <c r="D240" t="str">
        <f t="shared" si="10"/>
        <v>Not Ok</v>
      </c>
      <c r="E240" t="str">
        <f t="shared" si="11"/>
        <v>True</v>
      </c>
    </row>
    <row r="241" spans="1:5">
      <c r="A241" s="4" t="s">
        <v>1382</v>
      </c>
      <c r="B241" s="4">
        <v>98</v>
      </c>
      <c r="C241" t="str">
        <f t="shared" si="9"/>
        <v>Pass</v>
      </c>
      <c r="D241" t="str">
        <f t="shared" si="10"/>
        <v>Ok</v>
      </c>
      <c r="E241" t="str">
        <f t="shared" si="11"/>
        <v>False</v>
      </c>
    </row>
    <row r="242" spans="1:5">
      <c r="A242" s="4" t="s">
        <v>1383</v>
      </c>
      <c r="B242" s="4">
        <v>9</v>
      </c>
      <c r="C242" t="str">
        <f t="shared" si="9"/>
        <v>Fail</v>
      </c>
      <c r="D242" t="str">
        <f t="shared" si="10"/>
        <v>Not Ok</v>
      </c>
      <c r="E242" t="str">
        <f t="shared" si="11"/>
        <v>True</v>
      </c>
    </row>
    <row r="243" spans="1:5">
      <c r="A243" s="4" t="s">
        <v>1384</v>
      </c>
      <c r="B243" s="4">
        <v>40</v>
      </c>
      <c r="C243" t="str">
        <f t="shared" si="9"/>
        <v>Fail</v>
      </c>
      <c r="D243" t="str">
        <f t="shared" si="10"/>
        <v>Not Ok</v>
      </c>
      <c r="E243" t="str">
        <f t="shared" si="11"/>
        <v>True</v>
      </c>
    </row>
    <row r="244" spans="1:5">
      <c r="A244" s="4" t="s">
        <v>1385</v>
      </c>
      <c r="B244" s="4">
        <v>17</v>
      </c>
      <c r="C244" t="str">
        <f t="shared" si="9"/>
        <v>Fail</v>
      </c>
      <c r="D244" t="str">
        <f t="shared" si="10"/>
        <v>Not Ok</v>
      </c>
      <c r="E244" t="str">
        <f t="shared" si="11"/>
        <v>True</v>
      </c>
    </row>
    <row r="245" spans="1:5">
      <c r="A245" s="4" t="s">
        <v>1386</v>
      </c>
      <c r="B245" s="4">
        <v>56</v>
      </c>
      <c r="C245" t="str">
        <f t="shared" si="9"/>
        <v>Fail</v>
      </c>
      <c r="D245" t="str">
        <f t="shared" si="10"/>
        <v>Not Ok</v>
      </c>
      <c r="E245" t="str">
        <f t="shared" si="11"/>
        <v>True</v>
      </c>
    </row>
    <row r="246" spans="1:5">
      <c r="A246" s="4" t="s">
        <v>1387</v>
      </c>
      <c r="B246" s="4">
        <v>12</v>
      </c>
      <c r="C246" t="str">
        <f t="shared" si="9"/>
        <v>Fail</v>
      </c>
      <c r="D246" t="str">
        <f t="shared" si="10"/>
        <v>Not Ok</v>
      </c>
      <c r="E246" t="str">
        <f t="shared" si="11"/>
        <v>True</v>
      </c>
    </row>
    <row r="247" spans="1:5">
      <c r="A247" s="4" t="s">
        <v>1388</v>
      </c>
      <c r="B247" s="4">
        <v>66</v>
      </c>
      <c r="C247" t="str">
        <f t="shared" si="9"/>
        <v>Fail</v>
      </c>
      <c r="D247" t="str">
        <f t="shared" si="10"/>
        <v>Not Ok</v>
      </c>
      <c r="E247" t="str">
        <f t="shared" si="11"/>
        <v>True</v>
      </c>
    </row>
    <row r="248" spans="1:5">
      <c r="A248" s="4" t="s">
        <v>1389</v>
      </c>
      <c r="B248" s="4">
        <v>63</v>
      </c>
      <c r="C248" t="str">
        <f t="shared" si="9"/>
        <v>Fail</v>
      </c>
      <c r="D248" t="str">
        <f t="shared" si="10"/>
        <v>Not Ok</v>
      </c>
      <c r="E248" t="str">
        <f t="shared" si="11"/>
        <v>True</v>
      </c>
    </row>
    <row r="249" spans="1:5">
      <c r="A249" s="4" t="s">
        <v>1390</v>
      </c>
      <c r="B249" s="4">
        <v>41</v>
      </c>
      <c r="C249" t="str">
        <f t="shared" si="9"/>
        <v>Fail</v>
      </c>
      <c r="D249" t="str">
        <f t="shared" si="10"/>
        <v>Not Ok</v>
      </c>
      <c r="E249" t="str">
        <f t="shared" si="11"/>
        <v>True</v>
      </c>
    </row>
    <row r="250" spans="1:5">
      <c r="A250" s="4" t="s">
        <v>1391</v>
      </c>
      <c r="B250" s="4">
        <v>81</v>
      </c>
      <c r="C250" t="str">
        <f t="shared" si="9"/>
        <v>Pass</v>
      </c>
      <c r="D250" t="str">
        <f t="shared" si="10"/>
        <v>Ok</v>
      </c>
      <c r="E250" t="str">
        <f t="shared" si="11"/>
        <v>False</v>
      </c>
    </row>
    <row r="251" spans="1:5">
      <c r="A251" s="4" t="s">
        <v>1392</v>
      </c>
      <c r="B251" s="4">
        <v>20</v>
      </c>
      <c r="C251" t="str">
        <f t="shared" si="9"/>
        <v>Fail</v>
      </c>
      <c r="D251" t="str">
        <f t="shared" si="10"/>
        <v>Not Ok</v>
      </c>
      <c r="E251" t="str">
        <f t="shared" si="11"/>
        <v>True</v>
      </c>
    </row>
    <row r="252" spans="1:5">
      <c r="A252" s="4" t="s">
        <v>1393</v>
      </c>
      <c r="B252" s="4">
        <v>66</v>
      </c>
      <c r="C252" t="str">
        <f t="shared" si="9"/>
        <v>Fail</v>
      </c>
      <c r="D252" t="str">
        <f t="shared" si="10"/>
        <v>Not Ok</v>
      </c>
      <c r="E252" t="str">
        <f t="shared" si="11"/>
        <v>True</v>
      </c>
    </row>
    <row r="253" spans="1:5">
      <c r="A253" s="4" t="s">
        <v>1394</v>
      </c>
      <c r="B253" s="4">
        <v>72</v>
      </c>
      <c r="C253" t="str">
        <f t="shared" si="9"/>
        <v>Fail</v>
      </c>
      <c r="D253" t="str">
        <f t="shared" si="10"/>
        <v>Not Ok</v>
      </c>
      <c r="E253" t="str">
        <f t="shared" si="11"/>
        <v>True</v>
      </c>
    </row>
    <row r="254" spans="1:5">
      <c r="A254" s="4" t="s">
        <v>1395</v>
      </c>
      <c r="B254" s="4">
        <v>40</v>
      </c>
      <c r="C254" t="str">
        <f t="shared" si="9"/>
        <v>Fail</v>
      </c>
      <c r="D254" t="str">
        <f t="shared" si="10"/>
        <v>Not Ok</v>
      </c>
      <c r="E254" t="str">
        <f t="shared" si="11"/>
        <v>True</v>
      </c>
    </row>
    <row r="255" spans="1:5">
      <c r="A255" s="4" t="s">
        <v>1396</v>
      </c>
      <c r="B255" s="4">
        <v>37</v>
      </c>
      <c r="C255" t="str">
        <f t="shared" si="9"/>
        <v>Fail</v>
      </c>
      <c r="D255" t="str">
        <f t="shared" si="10"/>
        <v>Not Ok</v>
      </c>
      <c r="E255" t="str">
        <f t="shared" si="11"/>
        <v>True</v>
      </c>
    </row>
    <row r="256" spans="1:5">
      <c r="A256" s="4" t="s">
        <v>1397</v>
      </c>
      <c r="B256" s="4">
        <v>75</v>
      </c>
      <c r="C256" t="str">
        <f t="shared" si="9"/>
        <v>Fail</v>
      </c>
      <c r="D256" t="str">
        <f t="shared" si="10"/>
        <v>Not Ok</v>
      </c>
      <c r="E256" t="str">
        <f t="shared" si="11"/>
        <v>True</v>
      </c>
    </row>
    <row r="257" spans="1:5">
      <c r="A257" s="4" t="s">
        <v>1398</v>
      </c>
      <c r="B257" s="4">
        <v>81</v>
      </c>
      <c r="C257" t="str">
        <f t="shared" si="9"/>
        <v>Pass</v>
      </c>
      <c r="D257" t="str">
        <f t="shared" si="10"/>
        <v>Ok</v>
      </c>
      <c r="E257" t="str">
        <f t="shared" si="11"/>
        <v>False</v>
      </c>
    </row>
    <row r="258" spans="1:5">
      <c r="A258" s="4" t="s">
        <v>1399</v>
      </c>
      <c r="B258" s="4">
        <v>49</v>
      </c>
      <c r="C258" t="str">
        <f t="shared" si="9"/>
        <v>Fail</v>
      </c>
      <c r="D258" t="str">
        <f t="shared" si="10"/>
        <v>Not Ok</v>
      </c>
      <c r="E258" t="str">
        <f t="shared" si="11"/>
        <v>True</v>
      </c>
    </row>
    <row r="259" spans="1:5">
      <c r="A259" s="4" t="s">
        <v>1400</v>
      </c>
      <c r="B259" s="4">
        <v>90</v>
      </c>
      <c r="C259" t="str">
        <f t="shared" ref="C259:C322" si="12">IF(B259&gt;80,"Pass","Fail")</f>
        <v>Pass</v>
      </c>
      <c r="D259" t="str">
        <f t="shared" ref="D259:D322" si="13">IF(AND(B259&gt;80,C259="Pass"),"Ok","Not Ok")</f>
        <v>Ok</v>
      </c>
      <c r="E259" t="str">
        <f t="shared" ref="E259:E322" si="14">IF(OR(B259&lt;50,C259="Fail"),"True","False")</f>
        <v>False</v>
      </c>
    </row>
    <row r="260" spans="1:5">
      <c r="A260" s="4" t="s">
        <v>1401</v>
      </c>
      <c r="B260" s="4">
        <v>52</v>
      </c>
      <c r="C260" t="str">
        <f t="shared" si="12"/>
        <v>Fail</v>
      </c>
      <c r="D260" t="str">
        <f t="shared" si="13"/>
        <v>Not Ok</v>
      </c>
      <c r="E260" t="str">
        <f t="shared" si="14"/>
        <v>True</v>
      </c>
    </row>
    <row r="261" spans="1:5">
      <c r="A261" s="4" t="s">
        <v>1402</v>
      </c>
      <c r="B261" s="4">
        <v>86</v>
      </c>
      <c r="C261" t="str">
        <f t="shared" si="12"/>
        <v>Pass</v>
      </c>
      <c r="D261" t="str">
        <f t="shared" si="13"/>
        <v>Ok</v>
      </c>
      <c r="E261" t="str">
        <f t="shared" si="14"/>
        <v>False</v>
      </c>
    </row>
    <row r="262" spans="1:5">
      <c r="A262" s="4" t="s">
        <v>1403</v>
      </c>
      <c r="B262" s="4">
        <v>12</v>
      </c>
      <c r="C262" t="str">
        <f t="shared" si="12"/>
        <v>Fail</v>
      </c>
      <c r="D262" t="str">
        <f t="shared" si="13"/>
        <v>Not Ok</v>
      </c>
      <c r="E262" t="str">
        <f t="shared" si="14"/>
        <v>True</v>
      </c>
    </row>
    <row r="263" spans="1:5">
      <c r="A263" s="4" t="s">
        <v>1404</v>
      </c>
      <c r="B263" s="4">
        <v>16</v>
      </c>
      <c r="C263" t="str">
        <f t="shared" si="12"/>
        <v>Fail</v>
      </c>
      <c r="D263" t="str">
        <f t="shared" si="13"/>
        <v>Not Ok</v>
      </c>
      <c r="E263" t="str">
        <f t="shared" si="14"/>
        <v>True</v>
      </c>
    </row>
    <row r="264" spans="1:5">
      <c r="A264" s="4" t="s">
        <v>1405</v>
      </c>
      <c r="B264" s="4">
        <v>36</v>
      </c>
      <c r="C264" t="str">
        <f t="shared" si="12"/>
        <v>Fail</v>
      </c>
      <c r="D264" t="str">
        <f t="shared" si="13"/>
        <v>Not Ok</v>
      </c>
      <c r="E264" t="str">
        <f t="shared" si="14"/>
        <v>True</v>
      </c>
    </row>
    <row r="265" spans="1:5">
      <c r="A265" s="4" t="s">
        <v>1406</v>
      </c>
      <c r="B265" s="4">
        <v>0</v>
      </c>
      <c r="C265" t="str">
        <f t="shared" si="12"/>
        <v>Fail</v>
      </c>
      <c r="D265" t="str">
        <f t="shared" si="13"/>
        <v>Not Ok</v>
      </c>
      <c r="E265" t="str">
        <f t="shared" si="14"/>
        <v>True</v>
      </c>
    </row>
    <row r="266" spans="1:5">
      <c r="A266" s="4" t="s">
        <v>1407</v>
      </c>
      <c r="B266" s="4">
        <v>67</v>
      </c>
      <c r="C266" t="str">
        <f t="shared" si="12"/>
        <v>Fail</v>
      </c>
      <c r="D266" t="str">
        <f t="shared" si="13"/>
        <v>Not Ok</v>
      </c>
      <c r="E266" t="str">
        <f t="shared" si="14"/>
        <v>True</v>
      </c>
    </row>
    <row r="267" spans="1:5">
      <c r="A267" s="4" t="s">
        <v>1408</v>
      </c>
      <c r="B267" s="4">
        <v>86</v>
      </c>
      <c r="C267" t="str">
        <f t="shared" si="12"/>
        <v>Pass</v>
      </c>
      <c r="D267" t="str">
        <f t="shared" si="13"/>
        <v>Ok</v>
      </c>
      <c r="E267" t="str">
        <f t="shared" si="14"/>
        <v>False</v>
      </c>
    </row>
    <row r="268" spans="1:5">
      <c r="A268" s="4" t="s">
        <v>1409</v>
      </c>
      <c r="B268" s="4">
        <v>83</v>
      </c>
      <c r="C268" t="str">
        <f t="shared" si="12"/>
        <v>Pass</v>
      </c>
      <c r="D268" t="str">
        <f t="shared" si="13"/>
        <v>Ok</v>
      </c>
      <c r="E268" t="str">
        <f t="shared" si="14"/>
        <v>False</v>
      </c>
    </row>
    <row r="269" spans="1:5">
      <c r="A269" s="4" t="s">
        <v>1410</v>
      </c>
      <c r="B269" s="4">
        <v>7</v>
      </c>
      <c r="C269" t="str">
        <f t="shared" si="12"/>
        <v>Fail</v>
      </c>
      <c r="D269" t="str">
        <f t="shared" si="13"/>
        <v>Not Ok</v>
      </c>
      <c r="E269" t="str">
        <f t="shared" si="14"/>
        <v>True</v>
      </c>
    </row>
    <row r="270" spans="1:5">
      <c r="A270" s="4" t="s">
        <v>1411</v>
      </c>
      <c r="B270" s="4">
        <v>72</v>
      </c>
      <c r="C270" t="str">
        <f t="shared" si="12"/>
        <v>Fail</v>
      </c>
      <c r="D270" t="str">
        <f t="shared" si="13"/>
        <v>Not Ok</v>
      </c>
      <c r="E270" t="str">
        <f t="shared" si="14"/>
        <v>True</v>
      </c>
    </row>
    <row r="271" spans="1:5">
      <c r="A271" s="4" t="s">
        <v>1412</v>
      </c>
      <c r="B271" s="4">
        <v>99</v>
      </c>
      <c r="C271" t="str">
        <f t="shared" si="12"/>
        <v>Pass</v>
      </c>
      <c r="D271" t="str">
        <f t="shared" si="13"/>
        <v>Ok</v>
      </c>
      <c r="E271" t="str">
        <f t="shared" si="14"/>
        <v>False</v>
      </c>
    </row>
    <row r="272" spans="1:5">
      <c r="A272" s="4" t="s">
        <v>1413</v>
      </c>
      <c r="B272" s="4">
        <v>86</v>
      </c>
      <c r="C272" t="str">
        <f t="shared" si="12"/>
        <v>Pass</v>
      </c>
      <c r="D272" t="str">
        <f t="shared" si="13"/>
        <v>Ok</v>
      </c>
      <c r="E272" t="str">
        <f t="shared" si="14"/>
        <v>False</v>
      </c>
    </row>
    <row r="273" spans="1:5">
      <c r="A273" s="4" t="s">
        <v>1414</v>
      </c>
      <c r="B273" s="4">
        <v>9</v>
      </c>
      <c r="C273" t="str">
        <f t="shared" si="12"/>
        <v>Fail</v>
      </c>
      <c r="D273" t="str">
        <f t="shared" si="13"/>
        <v>Not Ok</v>
      </c>
      <c r="E273" t="str">
        <f t="shared" si="14"/>
        <v>True</v>
      </c>
    </row>
    <row r="274" spans="1:5">
      <c r="A274" s="4" t="s">
        <v>1415</v>
      </c>
      <c r="B274" s="4">
        <v>95</v>
      </c>
      <c r="C274" t="str">
        <f t="shared" si="12"/>
        <v>Pass</v>
      </c>
      <c r="D274" t="str">
        <f t="shared" si="13"/>
        <v>Ok</v>
      </c>
      <c r="E274" t="str">
        <f t="shared" si="14"/>
        <v>False</v>
      </c>
    </row>
    <row r="275" spans="1:5">
      <c r="A275" s="4" t="s">
        <v>1416</v>
      </c>
      <c r="B275" s="4">
        <v>42</v>
      </c>
      <c r="C275" t="str">
        <f t="shared" si="12"/>
        <v>Fail</v>
      </c>
      <c r="D275" t="str">
        <f t="shared" si="13"/>
        <v>Not Ok</v>
      </c>
      <c r="E275" t="str">
        <f t="shared" si="14"/>
        <v>True</v>
      </c>
    </row>
    <row r="276" spans="1:5">
      <c r="A276" s="4" t="s">
        <v>1417</v>
      </c>
      <c r="B276" s="4">
        <v>56</v>
      </c>
      <c r="C276" t="str">
        <f t="shared" si="12"/>
        <v>Fail</v>
      </c>
      <c r="D276" t="str">
        <f t="shared" si="13"/>
        <v>Not Ok</v>
      </c>
      <c r="E276" t="str">
        <f t="shared" si="14"/>
        <v>True</v>
      </c>
    </row>
    <row r="277" spans="1:5">
      <c r="A277" s="4" t="s">
        <v>1418</v>
      </c>
      <c r="B277" s="4">
        <v>72</v>
      </c>
      <c r="C277" t="str">
        <f t="shared" si="12"/>
        <v>Fail</v>
      </c>
      <c r="D277" t="str">
        <f t="shared" si="13"/>
        <v>Not Ok</v>
      </c>
      <c r="E277" t="str">
        <f t="shared" si="14"/>
        <v>True</v>
      </c>
    </row>
    <row r="278" spans="1:5">
      <c r="A278" s="4" t="s">
        <v>1419</v>
      </c>
      <c r="B278" s="4">
        <v>31</v>
      </c>
      <c r="C278" t="str">
        <f t="shared" si="12"/>
        <v>Fail</v>
      </c>
      <c r="D278" t="str">
        <f t="shared" si="13"/>
        <v>Not Ok</v>
      </c>
      <c r="E278" t="str">
        <f t="shared" si="14"/>
        <v>True</v>
      </c>
    </row>
    <row r="279" spans="1:5">
      <c r="A279" s="4" t="s">
        <v>1420</v>
      </c>
      <c r="B279" s="4">
        <v>86</v>
      </c>
      <c r="C279" t="str">
        <f t="shared" si="12"/>
        <v>Pass</v>
      </c>
      <c r="D279" t="str">
        <f t="shared" si="13"/>
        <v>Ok</v>
      </c>
      <c r="E279" t="str">
        <f t="shared" si="14"/>
        <v>False</v>
      </c>
    </row>
    <row r="280" spans="1:5">
      <c r="A280" s="4" t="s">
        <v>1421</v>
      </c>
      <c r="B280" s="4">
        <v>44</v>
      </c>
      <c r="C280" t="str">
        <f t="shared" si="12"/>
        <v>Fail</v>
      </c>
      <c r="D280" t="str">
        <f t="shared" si="13"/>
        <v>Not Ok</v>
      </c>
      <c r="E280" t="str">
        <f t="shared" si="14"/>
        <v>True</v>
      </c>
    </row>
    <row r="281" spans="1:5">
      <c r="A281" s="4" t="s">
        <v>1422</v>
      </c>
      <c r="B281" s="4">
        <v>53</v>
      </c>
      <c r="C281" t="str">
        <f t="shared" si="12"/>
        <v>Fail</v>
      </c>
      <c r="D281" t="str">
        <f t="shared" si="13"/>
        <v>Not Ok</v>
      </c>
      <c r="E281" t="str">
        <f t="shared" si="14"/>
        <v>True</v>
      </c>
    </row>
    <row r="282" spans="1:5">
      <c r="A282" s="4" t="s">
        <v>1423</v>
      </c>
      <c r="B282" s="4">
        <v>42</v>
      </c>
      <c r="C282" t="str">
        <f t="shared" si="12"/>
        <v>Fail</v>
      </c>
      <c r="D282" t="str">
        <f t="shared" si="13"/>
        <v>Not Ok</v>
      </c>
      <c r="E282" t="str">
        <f t="shared" si="14"/>
        <v>True</v>
      </c>
    </row>
    <row r="283" spans="1:5">
      <c r="A283" s="4" t="s">
        <v>1424</v>
      </c>
      <c r="B283" s="4">
        <v>9</v>
      </c>
      <c r="C283" t="str">
        <f t="shared" si="12"/>
        <v>Fail</v>
      </c>
      <c r="D283" t="str">
        <f t="shared" si="13"/>
        <v>Not Ok</v>
      </c>
      <c r="E283" t="str">
        <f t="shared" si="14"/>
        <v>True</v>
      </c>
    </row>
    <row r="284" spans="1:5">
      <c r="A284" s="4" t="s">
        <v>1425</v>
      </c>
      <c r="B284" s="4">
        <v>49</v>
      </c>
      <c r="C284" t="str">
        <f t="shared" si="12"/>
        <v>Fail</v>
      </c>
      <c r="D284" t="str">
        <f t="shared" si="13"/>
        <v>Not Ok</v>
      </c>
      <c r="E284" t="str">
        <f t="shared" si="14"/>
        <v>True</v>
      </c>
    </row>
    <row r="285" spans="1:5">
      <c r="A285" s="4" t="s">
        <v>1426</v>
      </c>
      <c r="B285" s="4">
        <v>70</v>
      </c>
      <c r="C285" t="str">
        <f t="shared" si="12"/>
        <v>Fail</v>
      </c>
      <c r="D285" t="str">
        <f t="shared" si="13"/>
        <v>Not Ok</v>
      </c>
      <c r="E285" t="str">
        <f t="shared" si="14"/>
        <v>True</v>
      </c>
    </row>
    <row r="286" spans="1:5">
      <c r="A286" s="4" t="s">
        <v>1427</v>
      </c>
      <c r="B286" s="4">
        <v>85</v>
      </c>
      <c r="C286" t="str">
        <f t="shared" si="12"/>
        <v>Pass</v>
      </c>
      <c r="D286" t="str">
        <f t="shared" si="13"/>
        <v>Ok</v>
      </c>
      <c r="E286" t="str">
        <f t="shared" si="14"/>
        <v>False</v>
      </c>
    </row>
    <row r="287" spans="1:5">
      <c r="A287" s="4" t="s">
        <v>1428</v>
      </c>
      <c r="B287" s="4">
        <v>25</v>
      </c>
      <c r="C287" t="str">
        <f t="shared" si="12"/>
        <v>Fail</v>
      </c>
      <c r="D287" t="str">
        <f t="shared" si="13"/>
        <v>Not Ok</v>
      </c>
      <c r="E287" t="str">
        <f t="shared" si="14"/>
        <v>True</v>
      </c>
    </row>
    <row r="288" spans="1:5">
      <c r="A288" s="4" t="s">
        <v>1429</v>
      </c>
      <c r="B288" s="4">
        <v>31</v>
      </c>
      <c r="C288" t="str">
        <f t="shared" si="12"/>
        <v>Fail</v>
      </c>
      <c r="D288" t="str">
        <f t="shared" si="13"/>
        <v>Not Ok</v>
      </c>
      <c r="E288" t="str">
        <f t="shared" si="14"/>
        <v>True</v>
      </c>
    </row>
    <row r="289" spans="1:5">
      <c r="A289" s="4" t="s">
        <v>1430</v>
      </c>
      <c r="B289" s="4">
        <v>19</v>
      </c>
      <c r="C289" t="str">
        <f t="shared" si="12"/>
        <v>Fail</v>
      </c>
      <c r="D289" t="str">
        <f t="shared" si="13"/>
        <v>Not Ok</v>
      </c>
      <c r="E289" t="str">
        <f t="shared" si="14"/>
        <v>True</v>
      </c>
    </row>
    <row r="290" spans="1:5">
      <c r="A290" s="4" t="s">
        <v>1431</v>
      </c>
      <c r="B290" s="4">
        <v>71</v>
      </c>
      <c r="C290" t="str">
        <f t="shared" si="12"/>
        <v>Fail</v>
      </c>
      <c r="D290" t="str">
        <f t="shared" si="13"/>
        <v>Not Ok</v>
      </c>
      <c r="E290" t="str">
        <f t="shared" si="14"/>
        <v>True</v>
      </c>
    </row>
    <row r="291" spans="1:5">
      <c r="A291" s="4" t="s">
        <v>1432</v>
      </c>
      <c r="B291" s="4">
        <v>61</v>
      </c>
      <c r="C291" t="str">
        <f t="shared" si="12"/>
        <v>Fail</v>
      </c>
      <c r="D291" t="str">
        <f t="shared" si="13"/>
        <v>Not Ok</v>
      </c>
      <c r="E291" t="str">
        <f t="shared" si="14"/>
        <v>True</v>
      </c>
    </row>
    <row r="292" spans="1:5">
      <c r="A292" s="4" t="s">
        <v>1433</v>
      </c>
      <c r="B292" s="4">
        <v>11</v>
      </c>
      <c r="C292" t="str">
        <f t="shared" si="12"/>
        <v>Fail</v>
      </c>
      <c r="D292" t="str">
        <f t="shared" si="13"/>
        <v>Not Ok</v>
      </c>
      <c r="E292" t="str">
        <f t="shared" si="14"/>
        <v>True</v>
      </c>
    </row>
    <row r="293" spans="1:5">
      <c r="A293" s="4" t="s">
        <v>1434</v>
      </c>
      <c r="B293" s="4">
        <v>41</v>
      </c>
      <c r="C293" t="str">
        <f t="shared" si="12"/>
        <v>Fail</v>
      </c>
      <c r="D293" t="str">
        <f t="shared" si="13"/>
        <v>Not Ok</v>
      </c>
      <c r="E293" t="str">
        <f t="shared" si="14"/>
        <v>True</v>
      </c>
    </row>
    <row r="294" spans="1:5">
      <c r="A294" s="4" t="s">
        <v>1435</v>
      </c>
      <c r="B294" s="4">
        <v>5</v>
      </c>
      <c r="C294" t="str">
        <f t="shared" si="12"/>
        <v>Fail</v>
      </c>
      <c r="D294" t="str">
        <f t="shared" si="13"/>
        <v>Not Ok</v>
      </c>
      <c r="E294" t="str">
        <f t="shared" si="14"/>
        <v>True</v>
      </c>
    </row>
    <row r="295" spans="1:5">
      <c r="A295" s="4" t="s">
        <v>1436</v>
      </c>
      <c r="B295" s="4">
        <v>28</v>
      </c>
      <c r="C295" t="str">
        <f t="shared" si="12"/>
        <v>Fail</v>
      </c>
      <c r="D295" t="str">
        <f t="shared" si="13"/>
        <v>Not Ok</v>
      </c>
      <c r="E295" t="str">
        <f t="shared" si="14"/>
        <v>True</v>
      </c>
    </row>
    <row r="296" spans="1:5">
      <c r="A296" s="4" t="s">
        <v>1437</v>
      </c>
      <c r="B296" s="4">
        <v>100</v>
      </c>
      <c r="C296" t="str">
        <f t="shared" si="12"/>
        <v>Pass</v>
      </c>
      <c r="D296" t="str">
        <f t="shared" si="13"/>
        <v>Ok</v>
      </c>
      <c r="E296" t="str">
        <f t="shared" si="14"/>
        <v>False</v>
      </c>
    </row>
    <row r="297" spans="1:5">
      <c r="A297" s="4" t="s">
        <v>1438</v>
      </c>
      <c r="B297" s="4">
        <v>50</v>
      </c>
      <c r="C297" t="str">
        <f t="shared" si="12"/>
        <v>Fail</v>
      </c>
      <c r="D297" t="str">
        <f t="shared" si="13"/>
        <v>Not Ok</v>
      </c>
      <c r="E297" t="str">
        <f t="shared" si="14"/>
        <v>True</v>
      </c>
    </row>
    <row r="298" spans="1:5">
      <c r="A298" s="4" t="s">
        <v>1439</v>
      </c>
      <c r="B298" s="4">
        <v>67</v>
      </c>
      <c r="C298" t="str">
        <f t="shared" si="12"/>
        <v>Fail</v>
      </c>
      <c r="D298" t="str">
        <f t="shared" si="13"/>
        <v>Not Ok</v>
      </c>
      <c r="E298" t="str">
        <f t="shared" si="14"/>
        <v>True</v>
      </c>
    </row>
    <row r="299" spans="1:5">
      <c r="A299" s="4" t="s">
        <v>1440</v>
      </c>
      <c r="B299" s="4">
        <v>96</v>
      </c>
      <c r="C299" t="str">
        <f t="shared" si="12"/>
        <v>Pass</v>
      </c>
      <c r="D299" t="str">
        <f t="shared" si="13"/>
        <v>Ok</v>
      </c>
      <c r="E299" t="str">
        <f t="shared" si="14"/>
        <v>False</v>
      </c>
    </row>
    <row r="300" spans="1:5">
      <c r="A300" s="4" t="s">
        <v>1441</v>
      </c>
      <c r="B300" s="4">
        <v>52</v>
      </c>
      <c r="C300" t="str">
        <f t="shared" si="12"/>
        <v>Fail</v>
      </c>
      <c r="D300" t="str">
        <f t="shared" si="13"/>
        <v>Not Ok</v>
      </c>
      <c r="E300" t="str">
        <f t="shared" si="14"/>
        <v>True</v>
      </c>
    </row>
    <row r="301" spans="1:5">
      <c r="A301" s="4" t="s">
        <v>1442</v>
      </c>
      <c r="B301" s="4">
        <v>9</v>
      </c>
      <c r="C301" t="str">
        <f t="shared" si="12"/>
        <v>Fail</v>
      </c>
      <c r="D301" t="str">
        <f t="shared" si="13"/>
        <v>Not Ok</v>
      </c>
      <c r="E301" t="str">
        <f t="shared" si="14"/>
        <v>True</v>
      </c>
    </row>
    <row r="302" spans="1:5">
      <c r="A302" s="4" t="s">
        <v>1443</v>
      </c>
      <c r="B302" s="4">
        <v>60</v>
      </c>
      <c r="C302" t="str">
        <f t="shared" si="12"/>
        <v>Fail</v>
      </c>
      <c r="D302" t="str">
        <f t="shared" si="13"/>
        <v>Not Ok</v>
      </c>
      <c r="E302" t="str">
        <f t="shared" si="14"/>
        <v>True</v>
      </c>
    </row>
    <row r="303" spans="1:5">
      <c r="A303" s="4" t="s">
        <v>1444</v>
      </c>
      <c r="B303" s="4">
        <v>60</v>
      </c>
      <c r="C303" t="str">
        <f t="shared" si="12"/>
        <v>Fail</v>
      </c>
      <c r="D303" t="str">
        <f t="shared" si="13"/>
        <v>Not Ok</v>
      </c>
      <c r="E303" t="str">
        <f t="shared" si="14"/>
        <v>True</v>
      </c>
    </row>
    <row r="304" spans="1:5">
      <c r="A304" s="4" t="s">
        <v>1445</v>
      </c>
      <c r="B304" s="4">
        <v>58</v>
      </c>
      <c r="C304" t="str">
        <f t="shared" si="12"/>
        <v>Fail</v>
      </c>
      <c r="D304" t="str">
        <f t="shared" si="13"/>
        <v>Not Ok</v>
      </c>
      <c r="E304" t="str">
        <f t="shared" si="14"/>
        <v>True</v>
      </c>
    </row>
    <row r="305" spans="1:5">
      <c r="A305" s="4" t="s">
        <v>1446</v>
      </c>
      <c r="B305" s="4">
        <v>69</v>
      </c>
      <c r="C305" t="str">
        <f t="shared" si="12"/>
        <v>Fail</v>
      </c>
      <c r="D305" t="str">
        <f t="shared" si="13"/>
        <v>Not Ok</v>
      </c>
      <c r="E305" t="str">
        <f t="shared" si="14"/>
        <v>True</v>
      </c>
    </row>
    <row r="306" spans="1:5">
      <c r="A306" s="4" t="s">
        <v>1447</v>
      </c>
      <c r="B306" s="4">
        <v>51</v>
      </c>
      <c r="C306" t="str">
        <f t="shared" si="12"/>
        <v>Fail</v>
      </c>
      <c r="D306" t="str">
        <f t="shared" si="13"/>
        <v>Not Ok</v>
      </c>
      <c r="E306" t="str">
        <f t="shared" si="14"/>
        <v>True</v>
      </c>
    </row>
    <row r="307" spans="1:5">
      <c r="A307" s="4" t="s">
        <v>1448</v>
      </c>
      <c r="B307" s="4">
        <v>46</v>
      </c>
      <c r="C307" t="str">
        <f t="shared" si="12"/>
        <v>Fail</v>
      </c>
      <c r="D307" t="str">
        <f t="shared" si="13"/>
        <v>Not Ok</v>
      </c>
      <c r="E307" t="str">
        <f t="shared" si="14"/>
        <v>True</v>
      </c>
    </row>
    <row r="308" spans="1:5">
      <c r="A308" s="4" t="s">
        <v>1449</v>
      </c>
      <c r="B308" s="4">
        <v>32</v>
      </c>
      <c r="C308" t="str">
        <f t="shared" si="12"/>
        <v>Fail</v>
      </c>
      <c r="D308" t="str">
        <f t="shared" si="13"/>
        <v>Not Ok</v>
      </c>
      <c r="E308" t="str">
        <f t="shared" si="14"/>
        <v>True</v>
      </c>
    </row>
    <row r="309" spans="1:5">
      <c r="A309" s="4" t="s">
        <v>1450</v>
      </c>
      <c r="B309" s="4">
        <v>32</v>
      </c>
      <c r="C309" t="str">
        <f t="shared" si="12"/>
        <v>Fail</v>
      </c>
      <c r="D309" t="str">
        <f t="shared" si="13"/>
        <v>Not Ok</v>
      </c>
      <c r="E309" t="str">
        <f t="shared" si="14"/>
        <v>True</v>
      </c>
    </row>
    <row r="310" spans="1:5">
      <c r="A310" s="4" t="s">
        <v>1451</v>
      </c>
      <c r="B310" s="4">
        <v>97</v>
      </c>
      <c r="C310" t="str">
        <f t="shared" si="12"/>
        <v>Pass</v>
      </c>
      <c r="D310" t="str">
        <f t="shared" si="13"/>
        <v>Ok</v>
      </c>
      <c r="E310" t="str">
        <f t="shared" si="14"/>
        <v>False</v>
      </c>
    </row>
    <row r="311" spans="1:5">
      <c r="A311" s="4" t="s">
        <v>1452</v>
      </c>
      <c r="B311" s="4">
        <v>41</v>
      </c>
      <c r="C311" t="str">
        <f t="shared" si="12"/>
        <v>Fail</v>
      </c>
      <c r="D311" t="str">
        <f t="shared" si="13"/>
        <v>Not Ok</v>
      </c>
      <c r="E311" t="str">
        <f t="shared" si="14"/>
        <v>True</v>
      </c>
    </row>
    <row r="312" spans="1:5">
      <c r="A312" s="4" t="s">
        <v>1453</v>
      </c>
      <c r="B312" s="4">
        <v>64</v>
      </c>
      <c r="C312" t="str">
        <f t="shared" si="12"/>
        <v>Fail</v>
      </c>
      <c r="D312" t="str">
        <f t="shared" si="13"/>
        <v>Not Ok</v>
      </c>
      <c r="E312" t="str">
        <f t="shared" si="14"/>
        <v>True</v>
      </c>
    </row>
    <row r="313" spans="1:5">
      <c r="A313" s="4" t="s">
        <v>1454</v>
      </c>
      <c r="B313" s="4">
        <v>71</v>
      </c>
      <c r="C313" t="str">
        <f t="shared" si="12"/>
        <v>Fail</v>
      </c>
      <c r="D313" t="str">
        <f t="shared" si="13"/>
        <v>Not Ok</v>
      </c>
      <c r="E313" t="str">
        <f t="shared" si="14"/>
        <v>True</v>
      </c>
    </row>
    <row r="314" spans="1:5">
      <c r="A314" s="4" t="s">
        <v>1455</v>
      </c>
      <c r="B314" s="4">
        <v>61</v>
      </c>
      <c r="C314" t="str">
        <f t="shared" si="12"/>
        <v>Fail</v>
      </c>
      <c r="D314" t="str">
        <f t="shared" si="13"/>
        <v>Not Ok</v>
      </c>
      <c r="E314" t="str">
        <f t="shared" si="14"/>
        <v>True</v>
      </c>
    </row>
    <row r="315" spans="1:5">
      <c r="A315" s="4" t="s">
        <v>1456</v>
      </c>
      <c r="B315" s="4">
        <v>92</v>
      </c>
      <c r="C315" t="str">
        <f t="shared" si="12"/>
        <v>Pass</v>
      </c>
      <c r="D315" t="str">
        <f t="shared" si="13"/>
        <v>Ok</v>
      </c>
      <c r="E315" t="str">
        <f t="shared" si="14"/>
        <v>False</v>
      </c>
    </row>
    <row r="316" spans="1:5">
      <c r="A316" s="4" t="s">
        <v>1457</v>
      </c>
      <c r="B316" s="4">
        <v>37</v>
      </c>
      <c r="C316" t="str">
        <f t="shared" si="12"/>
        <v>Fail</v>
      </c>
      <c r="D316" t="str">
        <f t="shared" si="13"/>
        <v>Not Ok</v>
      </c>
      <c r="E316" t="str">
        <f t="shared" si="14"/>
        <v>True</v>
      </c>
    </row>
    <row r="317" spans="1:5">
      <c r="A317" s="4" t="s">
        <v>1458</v>
      </c>
      <c r="B317" s="4">
        <v>96</v>
      </c>
      <c r="C317" t="str">
        <f t="shared" si="12"/>
        <v>Pass</v>
      </c>
      <c r="D317" t="str">
        <f t="shared" si="13"/>
        <v>Ok</v>
      </c>
      <c r="E317" t="str">
        <f t="shared" si="14"/>
        <v>False</v>
      </c>
    </row>
    <row r="318" spans="1:5">
      <c r="A318" s="4" t="s">
        <v>1459</v>
      </c>
      <c r="B318" s="4">
        <v>10</v>
      </c>
      <c r="C318" t="str">
        <f t="shared" si="12"/>
        <v>Fail</v>
      </c>
      <c r="D318" t="str">
        <f t="shared" si="13"/>
        <v>Not Ok</v>
      </c>
      <c r="E318" t="str">
        <f t="shared" si="14"/>
        <v>True</v>
      </c>
    </row>
    <row r="319" spans="1:5">
      <c r="A319" s="4" t="s">
        <v>1460</v>
      </c>
      <c r="B319" s="4">
        <v>44</v>
      </c>
      <c r="C319" t="str">
        <f t="shared" si="12"/>
        <v>Fail</v>
      </c>
      <c r="D319" t="str">
        <f t="shared" si="13"/>
        <v>Not Ok</v>
      </c>
      <c r="E319" t="str">
        <f t="shared" si="14"/>
        <v>True</v>
      </c>
    </row>
    <row r="320" spans="1:5">
      <c r="A320" s="4" t="s">
        <v>1461</v>
      </c>
      <c r="B320" s="4">
        <v>9</v>
      </c>
      <c r="C320" t="str">
        <f t="shared" si="12"/>
        <v>Fail</v>
      </c>
      <c r="D320" t="str">
        <f t="shared" si="13"/>
        <v>Not Ok</v>
      </c>
      <c r="E320" t="str">
        <f t="shared" si="14"/>
        <v>True</v>
      </c>
    </row>
    <row r="321" spans="1:5">
      <c r="A321" s="4" t="s">
        <v>1462</v>
      </c>
      <c r="B321" s="4">
        <v>41</v>
      </c>
      <c r="C321" t="str">
        <f t="shared" si="12"/>
        <v>Fail</v>
      </c>
      <c r="D321" t="str">
        <f t="shared" si="13"/>
        <v>Not Ok</v>
      </c>
      <c r="E321" t="str">
        <f t="shared" si="14"/>
        <v>True</v>
      </c>
    </row>
    <row r="322" spans="1:5">
      <c r="A322" s="4" t="s">
        <v>1463</v>
      </c>
      <c r="B322" s="4">
        <v>39</v>
      </c>
      <c r="C322" t="str">
        <f t="shared" si="12"/>
        <v>Fail</v>
      </c>
      <c r="D322" t="str">
        <f t="shared" si="13"/>
        <v>Not Ok</v>
      </c>
      <c r="E322" t="str">
        <f t="shared" si="14"/>
        <v>True</v>
      </c>
    </row>
    <row r="323" spans="1:5">
      <c r="A323" s="4" t="s">
        <v>1464</v>
      </c>
      <c r="B323" s="4">
        <v>9</v>
      </c>
      <c r="C323" t="str">
        <f t="shared" ref="C323:C386" si="15">IF(B323&gt;80,"Pass","Fail")</f>
        <v>Fail</v>
      </c>
      <c r="D323" t="str">
        <f t="shared" ref="D323:D386" si="16">IF(AND(B323&gt;80,C323="Pass"),"Ok","Not Ok")</f>
        <v>Not Ok</v>
      </c>
      <c r="E323" t="str">
        <f t="shared" ref="E323:E386" si="17">IF(OR(B323&lt;50,C323="Fail"),"True","False")</f>
        <v>True</v>
      </c>
    </row>
    <row r="324" spans="1:5">
      <c r="A324" s="4" t="s">
        <v>1465</v>
      </c>
      <c r="B324" s="4">
        <v>58</v>
      </c>
      <c r="C324" t="str">
        <f t="shared" si="15"/>
        <v>Fail</v>
      </c>
      <c r="D324" t="str">
        <f t="shared" si="16"/>
        <v>Not Ok</v>
      </c>
      <c r="E324" t="str">
        <f t="shared" si="17"/>
        <v>True</v>
      </c>
    </row>
    <row r="325" spans="1:5">
      <c r="A325" s="4" t="s">
        <v>1466</v>
      </c>
      <c r="B325" s="4">
        <v>29</v>
      </c>
      <c r="C325" t="str">
        <f t="shared" si="15"/>
        <v>Fail</v>
      </c>
      <c r="D325" t="str">
        <f t="shared" si="16"/>
        <v>Not Ok</v>
      </c>
      <c r="E325" t="str">
        <f t="shared" si="17"/>
        <v>True</v>
      </c>
    </row>
    <row r="326" spans="1:5">
      <c r="A326" s="4" t="s">
        <v>1467</v>
      </c>
      <c r="B326" s="4">
        <v>23</v>
      </c>
      <c r="C326" t="str">
        <f t="shared" si="15"/>
        <v>Fail</v>
      </c>
      <c r="D326" t="str">
        <f t="shared" si="16"/>
        <v>Not Ok</v>
      </c>
      <c r="E326" t="str">
        <f t="shared" si="17"/>
        <v>True</v>
      </c>
    </row>
    <row r="327" spans="1:5">
      <c r="A327" s="4" t="s">
        <v>1468</v>
      </c>
      <c r="B327" s="4">
        <v>4</v>
      </c>
      <c r="C327" t="str">
        <f t="shared" si="15"/>
        <v>Fail</v>
      </c>
      <c r="D327" t="str">
        <f t="shared" si="16"/>
        <v>Not Ok</v>
      </c>
      <c r="E327" t="str">
        <f t="shared" si="17"/>
        <v>True</v>
      </c>
    </row>
    <row r="328" spans="1:5">
      <c r="A328" s="4" t="s">
        <v>1469</v>
      </c>
      <c r="B328" s="4">
        <v>97</v>
      </c>
      <c r="C328" t="str">
        <f t="shared" si="15"/>
        <v>Pass</v>
      </c>
      <c r="D328" t="str">
        <f t="shared" si="16"/>
        <v>Ok</v>
      </c>
      <c r="E328" t="str">
        <f t="shared" si="17"/>
        <v>False</v>
      </c>
    </row>
    <row r="329" spans="1:5">
      <c r="A329" s="4" t="s">
        <v>1470</v>
      </c>
      <c r="B329" s="4">
        <v>88</v>
      </c>
      <c r="C329" t="str">
        <f t="shared" si="15"/>
        <v>Pass</v>
      </c>
      <c r="D329" t="str">
        <f t="shared" si="16"/>
        <v>Ok</v>
      </c>
      <c r="E329" t="str">
        <f t="shared" si="17"/>
        <v>False</v>
      </c>
    </row>
    <row r="330" spans="1:5">
      <c r="A330" s="4" t="s">
        <v>1471</v>
      </c>
      <c r="B330" s="4">
        <v>67</v>
      </c>
      <c r="C330" t="str">
        <f t="shared" si="15"/>
        <v>Fail</v>
      </c>
      <c r="D330" t="str">
        <f t="shared" si="16"/>
        <v>Not Ok</v>
      </c>
      <c r="E330" t="str">
        <f t="shared" si="17"/>
        <v>True</v>
      </c>
    </row>
    <row r="331" spans="1:5">
      <c r="A331" s="4" t="s">
        <v>1472</v>
      </c>
      <c r="B331" s="4">
        <v>76</v>
      </c>
      <c r="C331" t="str">
        <f t="shared" si="15"/>
        <v>Fail</v>
      </c>
      <c r="D331" t="str">
        <f t="shared" si="16"/>
        <v>Not Ok</v>
      </c>
      <c r="E331" t="str">
        <f t="shared" si="17"/>
        <v>True</v>
      </c>
    </row>
    <row r="332" spans="1:5">
      <c r="A332" s="4" t="s">
        <v>1473</v>
      </c>
      <c r="B332" s="4">
        <v>99</v>
      </c>
      <c r="C332" t="str">
        <f t="shared" si="15"/>
        <v>Pass</v>
      </c>
      <c r="D332" t="str">
        <f t="shared" si="16"/>
        <v>Ok</v>
      </c>
      <c r="E332" t="str">
        <f t="shared" si="17"/>
        <v>False</v>
      </c>
    </row>
    <row r="333" spans="1:5">
      <c r="A333" s="4" t="s">
        <v>1474</v>
      </c>
      <c r="B333" s="4">
        <v>45</v>
      </c>
      <c r="C333" t="str">
        <f t="shared" si="15"/>
        <v>Fail</v>
      </c>
      <c r="D333" t="str">
        <f t="shared" si="16"/>
        <v>Not Ok</v>
      </c>
      <c r="E333" t="str">
        <f t="shared" si="17"/>
        <v>True</v>
      </c>
    </row>
    <row r="334" spans="1:5">
      <c r="A334" s="4" t="s">
        <v>1475</v>
      </c>
      <c r="B334" s="4">
        <v>24</v>
      </c>
      <c r="C334" t="str">
        <f t="shared" si="15"/>
        <v>Fail</v>
      </c>
      <c r="D334" t="str">
        <f t="shared" si="16"/>
        <v>Not Ok</v>
      </c>
      <c r="E334" t="str">
        <f t="shared" si="17"/>
        <v>True</v>
      </c>
    </row>
    <row r="335" spans="1:5">
      <c r="A335" s="4" t="s">
        <v>1476</v>
      </c>
      <c r="B335" s="4">
        <v>33</v>
      </c>
      <c r="C335" t="str">
        <f t="shared" si="15"/>
        <v>Fail</v>
      </c>
      <c r="D335" t="str">
        <f t="shared" si="16"/>
        <v>Not Ok</v>
      </c>
      <c r="E335" t="str">
        <f t="shared" si="17"/>
        <v>True</v>
      </c>
    </row>
    <row r="336" spans="1:5">
      <c r="A336" s="4" t="s">
        <v>1477</v>
      </c>
      <c r="B336" s="4">
        <v>51</v>
      </c>
      <c r="C336" t="str">
        <f t="shared" si="15"/>
        <v>Fail</v>
      </c>
      <c r="D336" t="str">
        <f t="shared" si="16"/>
        <v>Not Ok</v>
      </c>
      <c r="E336" t="str">
        <f t="shared" si="17"/>
        <v>True</v>
      </c>
    </row>
    <row r="337" spans="1:5">
      <c r="A337" s="4" t="s">
        <v>1478</v>
      </c>
      <c r="B337" s="4">
        <v>90</v>
      </c>
      <c r="C337" t="str">
        <f t="shared" si="15"/>
        <v>Pass</v>
      </c>
      <c r="D337" t="str">
        <f t="shared" si="16"/>
        <v>Ok</v>
      </c>
      <c r="E337" t="str">
        <f t="shared" si="17"/>
        <v>False</v>
      </c>
    </row>
    <row r="338" spans="1:5">
      <c r="A338" s="4" t="s">
        <v>1479</v>
      </c>
      <c r="B338" s="4">
        <v>65</v>
      </c>
      <c r="C338" t="str">
        <f t="shared" si="15"/>
        <v>Fail</v>
      </c>
      <c r="D338" t="str">
        <f t="shared" si="16"/>
        <v>Not Ok</v>
      </c>
      <c r="E338" t="str">
        <f t="shared" si="17"/>
        <v>True</v>
      </c>
    </row>
    <row r="339" spans="1:5">
      <c r="A339" s="4" t="s">
        <v>1480</v>
      </c>
      <c r="B339" s="4">
        <v>35</v>
      </c>
      <c r="C339" t="str">
        <f t="shared" si="15"/>
        <v>Fail</v>
      </c>
      <c r="D339" t="str">
        <f t="shared" si="16"/>
        <v>Not Ok</v>
      </c>
      <c r="E339" t="str">
        <f t="shared" si="17"/>
        <v>True</v>
      </c>
    </row>
    <row r="340" spans="1:5">
      <c r="A340" s="4" t="s">
        <v>1481</v>
      </c>
      <c r="B340" s="4">
        <v>22</v>
      </c>
      <c r="C340" t="str">
        <f t="shared" si="15"/>
        <v>Fail</v>
      </c>
      <c r="D340" t="str">
        <f t="shared" si="16"/>
        <v>Not Ok</v>
      </c>
      <c r="E340" t="str">
        <f t="shared" si="17"/>
        <v>True</v>
      </c>
    </row>
    <row r="341" spans="1:5">
      <c r="A341" s="4" t="s">
        <v>1482</v>
      </c>
      <c r="B341" s="4">
        <v>47</v>
      </c>
      <c r="C341" t="str">
        <f t="shared" si="15"/>
        <v>Fail</v>
      </c>
      <c r="D341" t="str">
        <f t="shared" si="16"/>
        <v>Not Ok</v>
      </c>
      <c r="E341" t="str">
        <f t="shared" si="17"/>
        <v>True</v>
      </c>
    </row>
    <row r="342" spans="1:5">
      <c r="A342" s="4" t="s">
        <v>1483</v>
      </c>
      <c r="B342" s="4">
        <v>70</v>
      </c>
      <c r="C342" t="str">
        <f t="shared" si="15"/>
        <v>Fail</v>
      </c>
      <c r="D342" t="str">
        <f t="shared" si="16"/>
        <v>Not Ok</v>
      </c>
      <c r="E342" t="str">
        <f t="shared" si="17"/>
        <v>True</v>
      </c>
    </row>
    <row r="343" spans="1:5">
      <c r="A343" s="4" t="s">
        <v>1484</v>
      </c>
      <c r="B343" s="4">
        <v>85</v>
      </c>
      <c r="C343" t="str">
        <f t="shared" si="15"/>
        <v>Pass</v>
      </c>
      <c r="D343" t="str">
        <f t="shared" si="16"/>
        <v>Ok</v>
      </c>
      <c r="E343" t="str">
        <f t="shared" si="17"/>
        <v>False</v>
      </c>
    </row>
    <row r="344" spans="1:5">
      <c r="A344" s="4" t="s">
        <v>1485</v>
      </c>
      <c r="B344" s="4">
        <v>8</v>
      </c>
      <c r="C344" t="str">
        <f t="shared" si="15"/>
        <v>Fail</v>
      </c>
      <c r="D344" t="str">
        <f t="shared" si="16"/>
        <v>Not Ok</v>
      </c>
      <c r="E344" t="str">
        <f t="shared" si="17"/>
        <v>True</v>
      </c>
    </row>
    <row r="345" spans="1:5">
      <c r="A345" s="4" t="s">
        <v>1486</v>
      </c>
      <c r="B345" s="4">
        <v>76</v>
      </c>
      <c r="C345" t="str">
        <f t="shared" si="15"/>
        <v>Fail</v>
      </c>
      <c r="D345" t="str">
        <f t="shared" si="16"/>
        <v>Not Ok</v>
      </c>
      <c r="E345" t="str">
        <f t="shared" si="17"/>
        <v>True</v>
      </c>
    </row>
    <row r="346" spans="1:5">
      <c r="A346" s="4" t="s">
        <v>1487</v>
      </c>
      <c r="B346" s="4">
        <v>26</v>
      </c>
      <c r="C346" t="str">
        <f t="shared" si="15"/>
        <v>Fail</v>
      </c>
      <c r="D346" t="str">
        <f t="shared" si="16"/>
        <v>Not Ok</v>
      </c>
      <c r="E346" t="str">
        <f t="shared" si="17"/>
        <v>True</v>
      </c>
    </row>
    <row r="347" spans="1:5">
      <c r="A347" s="4" t="s">
        <v>1488</v>
      </c>
      <c r="B347" s="4">
        <v>47</v>
      </c>
      <c r="C347" t="str">
        <f t="shared" si="15"/>
        <v>Fail</v>
      </c>
      <c r="D347" t="str">
        <f t="shared" si="16"/>
        <v>Not Ok</v>
      </c>
      <c r="E347" t="str">
        <f t="shared" si="17"/>
        <v>True</v>
      </c>
    </row>
    <row r="348" spans="1:5">
      <c r="A348" s="4" t="s">
        <v>1489</v>
      </c>
      <c r="B348" s="4">
        <v>54</v>
      </c>
      <c r="C348" t="str">
        <f t="shared" si="15"/>
        <v>Fail</v>
      </c>
      <c r="D348" t="str">
        <f t="shared" si="16"/>
        <v>Not Ok</v>
      </c>
      <c r="E348" t="str">
        <f t="shared" si="17"/>
        <v>True</v>
      </c>
    </row>
    <row r="349" spans="1:5">
      <c r="A349" s="4" t="s">
        <v>1490</v>
      </c>
      <c r="B349" s="4">
        <v>64</v>
      </c>
      <c r="C349" t="str">
        <f t="shared" si="15"/>
        <v>Fail</v>
      </c>
      <c r="D349" t="str">
        <f t="shared" si="16"/>
        <v>Not Ok</v>
      </c>
      <c r="E349" t="str">
        <f t="shared" si="17"/>
        <v>True</v>
      </c>
    </row>
    <row r="350" spans="1:5">
      <c r="A350" s="4" t="s">
        <v>1491</v>
      </c>
      <c r="B350" s="4">
        <v>2</v>
      </c>
      <c r="C350" t="str">
        <f t="shared" si="15"/>
        <v>Fail</v>
      </c>
      <c r="D350" t="str">
        <f t="shared" si="16"/>
        <v>Not Ok</v>
      </c>
      <c r="E350" t="str">
        <f t="shared" si="17"/>
        <v>True</v>
      </c>
    </row>
    <row r="351" spans="1:5">
      <c r="A351" s="4" t="s">
        <v>1492</v>
      </c>
      <c r="B351" s="4">
        <v>56</v>
      </c>
      <c r="C351" t="str">
        <f t="shared" si="15"/>
        <v>Fail</v>
      </c>
      <c r="D351" t="str">
        <f t="shared" si="16"/>
        <v>Not Ok</v>
      </c>
      <c r="E351" t="str">
        <f t="shared" si="17"/>
        <v>True</v>
      </c>
    </row>
    <row r="352" spans="1:5">
      <c r="A352" s="4" t="s">
        <v>1493</v>
      </c>
      <c r="B352" s="4">
        <v>37</v>
      </c>
      <c r="C352" t="str">
        <f t="shared" si="15"/>
        <v>Fail</v>
      </c>
      <c r="D352" t="str">
        <f t="shared" si="16"/>
        <v>Not Ok</v>
      </c>
      <c r="E352" t="str">
        <f t="shared" si="17"/>
        <v>True</v>
      </c>
    </row>
    <row r="353" spans="1:5">
      <c r="A353" s="4" t="s">
        <v>1494</v>
      </c>
      <c r="B353" s="4">
        <v>23</v>
      </c>
      <c r="C353" t="str">
        <f t="shared" si="15"/>
        <v>Fail</v>
      </c>
      <c r="D353" t="str">
        <f t="shared" si="16"/>
        <v>Not Ok</v>
      </c>
      <c r="E353" t="str">
        <f t="shared" si="17"/>
        <v>True</v>
      </c>
    </row>
    <row r="354" spans="1:5">
      <c r="A354" s="4" t="s">
        <v>1495</v>
      </c>
      <c r="B354" s="4">
        <v>63</v>
      </c>
      <c r="C354" t="str">
        <f t="shared" si="15"/>
        <v>Fail</v>
      </c>
      <c r="D354" t="str">
        <f t="shared" si="16"/>
        <v>Not Ok</v>
      </c>
      <c r="E354" t="str">
        <f t="shared" si="17"/>
        <v>True</v>
      </c>
    </row>
    <row r="355" spans="1:5">
      <c r="A355" s="4" t="s">
        <v>1496</v>
      </c>
      <c r="B355" s="4">
        <v>5</v>
      </c>
      <c r="C355" t="str">
        <f t="shared" si="15"/>
        <v>Fail</v>
      </c>
      <c r="D355" t="str">
        <f t="shared" si="16"/>
        <v>Not Ok</v>
      </c>
      <c r="E355" t="str">
        <f t="shared" si="17"/>
        <v>True</v>
      </c>
    </row>
    <row r="356" spans="1:5">
      <c r="A356" s="4" t="s">
        <v>1497</v>
      </c>
      <c r="B356" s="4">
        <v>46</v>
      </c>
      <c r="C356" t="str">
        <f t="shared" si="15"/>
        <v>Fail</v>
      </c>
      <c r="D356" t="str">
        <f t="shared" si="16"/>
        <v>Not Ok</v>
      </c>
      <c r="E356" t="str">
        <f t="shared" si="17"/>
        <v>True</v>
      </c>
    </row>
    <row r="357" spans="1:5">
      <c r="A357" s="4" t="s">
        <v>1498</v>
      </c>
      <c r="B357" s="4">
        <v>85</v>
      </c>
      <c r="C357" t="str">
        <f t="shared" si="15"/>
        <v>Pass</v>
      </c>
      <c r="D357" t="str">
        <f t="shared" si="16"/>
        <v>Ok</v>
      </c>
      <c r="E357" t="str">
        <f t="shared" si="17"/>
        <v>False</v>
      </c>
    </row>
    <row r="358" spans="1:5">
      <c r="A358" s="4" t="s">
        <v>1499</v>
      </c>
      <c r="B358" s="4">
        <v>2</v>
      </c>
      <c r="C358" t="str">
        <f t="shared" si="15"/>
        <v>Fail</v>
      </c>
      <c r="D358" t="str">
        <f t="shared" si="16"/>
        <v>Not Ok</v>
      </c>
      <c r="E358" t="str">
        <f t="shared" si="17"/>
        <v>True</v>
      </c>
    </row>
    <row r="359" spans="1:5">
      <c r="A359" s="4" t="s">
        <v>1500</v>
      </c>
      <c r="B359" s="4">
        <v>19</v>
      </c>
      <c r="C359" t="str">
        <f t="shared" si="15"/>
        <v>Fail</v>
      </c>
      <c r="D359" t="str">
        <f t="shared" si="16"/>
        <v>Not Ok</v>
      </c>
      <c r="E359" t="str">
        <f t="shared" si="17"/>
        <v>True</v>
      </c>
    </row>
    <row r="360" spans="1:5">
      <c r="A360" s="4" t="s">
        <v>1501</v>
      </c>
      <c r="B360" s="4">
        <v>1</v>
      </c>
      <c r="C360" t="str">
        <f t="shared" si="15"/>
        <v>Fail</v>
      </c>
      <c r="D360" t="str">
        <f t="shared" si="16"/>
        <v>Not Ok</v>
      </c>
      <c r="E360" t="str">
        <f t="shared" si="17"/>
        <v>True</v>
      </c>
    </row>
    <row r="361" spans="1:5">
      <c r="A361" s="4" t="s">
        <v>1502</v>
      </c>
      <c r="B361" s="4">
        <v>42</v>
      </c>
      <c r="C361" t="str">
        <f t="shared" si="15"/>
        <v>Fail</v>
      </c>
      <c r="D361" t="str">
        <f t="shared" si="16"/>
        <v>Not Ok</v>
      </c>
      <c r="E361" t="str">
        <f t="shared" si="17"/>
        <v>True</v>
      </c>
    </row>
    <row r="362" spans="1:5">
      <c r="A362" s="4" t="s">
        <v>1503</v>
      </c>
      <c r="B362" s="4">
        <v>37</v>
      </c>
      <c r="C362" t="str">
        <f t="shared" si="15"/>
        <v>Fail</v>
      </c>
      <c r="D362" t="str">
        <f t="shared" si="16"/>
        <v>Not Ok</v>
      </c>
      <c r="E362" t="str">
        <f t="shared" si="17"/>
        <v>True</v>
      </c>
    </row>
    <row r="363" spans="1:5">
      <c r="A363" s="4" t="s">
        <v>1504</v>
      </c>
      <c r="B363" s="4">
        <v>68</v>
      </c>
      <c r="C363" t="str">
        <f t="shared" si="15"/>
        <v>Fail</v>
      </c>
      <c r="D363" t="str">
        <f t="shared" si="16"/>
        <v>Not Ok</v>
      </c>
      <c r="E363" t="str">
        <f t="shared" si="17"/>
        <v>True</v>
      </c>
    </row>
    <row r="364" spans="1:5">
      <c r="A364" s="4" t="s">
        <v>1505</v>
      </c>
      <c r="B364" s="4">
        <v>25</v>
      </c>
      <c r="C364" t="str">
        <f t="shared" si="15"/>
        <v>Fail</v>
      </c>
      <c r="D364" t="str">
        <f t="shared" si="16"/>
        <v>Not Ok</v>
      </c>
      <c r="E364" t="str">
        <f t="shared" si="17"/>
        <v>True</v>
      </c>
    </row>
    <row r="365" spans="1:5">
      <c r="A365" s="4" t="s">
        <v>1506</v>
      </c>
      <c r="B365" s="4">
        <v>68</v>
      </c>
      <c r="C365" t="str">
        <f t="shared" si="15"/>
        <v>Fail</v>
      </c>
      <c r="D365" t="str">
        <f t="shared" si="16"/>
        <v>Not Ok</v>
      </c>
      <c r="E365" t="str">
        <f t="shared" si="17"/>
        <v>True</v>
      </c>
    </row>
    <row r="366" spans="1:5">
      <c r="A366" s="4" t="s">
        <v>1507</v>
      </c>
      <c r="B366" s="4">
        <v>5</v>
      </c>
      <c r="C366" t="str">
        <f t="shared" si="15"/>
        <v>Fail</v>
      </c>
      <c r="D366" t="str">
        <f t="shared" si="16"/>
        <v>Not Ok</v>
      </c>
      <c r="E366" t="str">
        <f t="shared" si="17"/>
        <v>True</v>
      </c>
    </row>
    <row r="367" spans="1:5">
      <c r="A367" s="4" t="s">
        <v>1508</v>
      </c>
      <c r="B367" s="4">
        <v>88</v>
      </c>
      <c r="C367" t="str">
        <f t="shared" si="15"/>
        <v>Pass</v>
      </c>
      <c r="D367" t="str">
        <f t="shared" si="16"/>
        <v>Ok</v>
      </c>
      <c r="E367" t="str">
        <f t="shared" si="17"/>
        <v>False</v>
      </c>
    </row>
    <row r="368" spans="1:5">
      <c r="A368" s="4" t="s">
        <v>1509</v>
      </c>
      <c r="B368" s="4">
        <v>57</v>
      </c>
      <c r="C368" t="str">
        <f t="shared" si="15"/>
        <v>Fail</v>
      </c>
      <c r="D368" t="str">
        <f t="shared" si="16"/>
        <v>Not Ok</v>
      </c>
      <c r="E368" t="str">
        <f t="shared" si="17"/>
        <v>True</v>
      </c>
    </row>
    <row r="369" spans="1:5">
      <c r="A369" s="4" t="s">
        <v>1510</v>
      </c>
      <c r="B369" s="4">
        <v>66</v>
      </c>
      <c r="C369" t="str">
        <f t="shared" si="15"/>
        <v>Fail</v>
      </c>
      <c r="D369" t="str">
        <f t="shared" si="16"/>
        <v>Not Ok</v>
      </c>
      <c r="E369" t="str">
        <f t="shared" si="17"/>
        <v>True</v>
      </c>
    </row>
    <row r="370" spans="1:5">
      <c r="A370" s="4" t="s">
        <v>1511</v>
      </c>
      <c r="B370" s="4">
        <v>11</v>
      </c>
      <c r="C370" t="str">
        <f t="shared" si="15"/>
        <v>Fail</v>
      </c>
      <c r="D370" t="str">
        <f t="shared" si="16"/>
        <v>Not Ok</v>
      </c>
      <c r="E370" t="str">
        <f t="shared" si="17"/>
        <v>True</v>
      </c>
    </row>
    <row r="371" spans="1:5">
      <c r="A371" s="4" t="s">
        <v>1512</v>
      </c>
      <c r="B371" s="4">
        <v>83</v>
      </c>
      <c r="C371" t="str">
        <f t="shared" si="15"/>
        <v>Pass</v>
      </c>
      <c r="D371" t="str">
        <f t="shared" si="16"/>
        <v>Ok</v>
      </c>
      <c r="E371" t="str">
        <f t="shared" si="17"/>
        <v>False</v>
      </c>
    </row>
    <row r="372" spans="1:5">
      <c r="A372" s="4" t="s">
        <v>1513</v>
      </c>
      <c r="B372" s="4">
        <v>28</v>
      </c>
      <c r="C372" t="str">
        <f t="shared" si="15"/>
        <v>Fail</v>
      </c>
      <c r="D372" t="str">
        <f t="shared" si="16"/>
        <v>Not Ok</v>
      </c>
      <c r="E372" t="str">
        <f t="shared" si="17"/>
        <v>True</v>
      </c>
    </row>
    <row r="373" spans="1:5">
      <c r="A373" s="4" t="s">
        <v>1514</v>
      </c>
      <c r="B373" s="4">
        <v>6</v>
      </c>
      <c r="C373" t="str">
        <f t="shared" si="15"/>
        <v>Fail</v>
      </c>
      <c r="D373" t="str">
        <f t="shared" si="16"/>
        <v>Not Ok</v>
      </c>
      <c r="E373" t="str">
        <f t="shared" si="17"/>
        <v>True</v>
      </c>
    </row>
    <row r="374" spans="1:5">
      <c r="A374" s="4" t="s">
        <v>1515</v>
      </c>
      <c r="B374" s="4">
        <v>45</v>
      </c>
      <c r="C374" t="str">
        <f t="shared" si="15"/>
        <v>Fail</v>
      </c>
      <c r="D374" t="str">
        <f t="shared" si="16"/>
        <v>Not Ok</v>
      </c>
      <c r="E374" t="str">
        <f t="shared" si="17"/>
        <v>True</v>
      </c>
    </row>
    <row r="375" spans="1:5">
      <c r="A375" s="4" t="s">
        <v>1516</v>
      </c>
      <c r="B375" s="4">
        <v>4</v>
      </c>
      <c r="C375" t="str">
        <f t="shared" si="15"/>
        <v>Fail</v>
      </c>
      <c r="D375" t="str">
        <f t="shared" si="16"/>
        <v>Not Ok</v>
      </c>
      <c r="E375" t="str">
        <f t="shared" si="17"/>
        <v>True</v>
      </c>
    </row>
    <row r="376" spans="1:5">
      <c r="A376" s="4" t="s">
        <v>1517</v>
      </c>
      <c r="B376" s="4">
        <v>90</v>
      </c>
      <c r="C376" t="str">
        <f t="shared" si="15"/>
        <v>Pass</v>
      </c>
      <c r="D376" t="str">
        <f t="shared" si="16"/>
        <v>Ok</v>
      </c>
      <c r="E376" t="str">
        <f t="shared" si="17"/>
        <v>False</v>
      </c>
    </row>
    <row r="377" spans="1:5">
      <c r="A377" s="4" t="s">
        <v>1518</v>
      </c>
      <c r="B377" s="4">
        <v>76</v>
      </c>
      <c r="C377" t="str">
        <f t="shared" si="15"/>
        <v>Fail</v>
      </c>
      <c r="D377" t="str">
        <f t="shared" si="16"/>
        <v>Not Ok</v>
      </c>
      <c r="E377" t="str">
        <f t="shared" si="17"/>
        <v>True</v>
      </c>
    </row>
    <row r="378" spans="1:5">
      <c r="A378" s="4" t="s">
        <v>1519</v>
      </c>
      <c r="B378" s="4">
        <v>26</v>
      </c>
      <c r="C378" t="str">
        <f t="shared" si="15"/>
        <v>Fail</v>
      </c>
      <c r="D378" t="str">
        <f t="shared" si="16"/>
        <v>Not Ok</v>
      </c>
      <c r="E378" t="str">
        <f t="shared" si="17"/>
        <v>True</v>
      </c>
    </row>
    <row r="379" spans="1:5">
      <c r="A379" s="4" t="s">
        <v>1520</v>
      </c>
      <c r="B379" s="4">
        <v>60</v>
      </c>
      <c r="C379" t="str">
        <f t="shared" si="15"/>
        <v>Fail</v>
      </c>
      <c r="D379" t="str">
        <f t="shared" si="16"/>
        <v>Not Ok</v>
      </c>
      <c r="E379" t="str">
        <f t="shared" si="17"/>
        <v>True</v>
      </c>
    </row>
    <row r="380" spans="1:5">
      <c r="A380" s="4" t="s">
        <v>1521</v>
      </c>
      <c r="B380" s="4">
        <v>0</v>
      </c>
      <c r="C380" t="str">
        <f t="shared" si="15"/>
        <v>Fail</v>
      </c>
      <c r="D380" t="str">
        <f t="shared" si="16"/>
        <v>Not Ok</v>
      </c>
      <c r="E380" t="str">
        <f t="shared" si="17"/>
        <v>True</v>
      </c>
    </row>
    <row r="381" spans="1:5">
      <c r="A381" s="4" t="s">
        <v>1522</v>
      </c>
      <c r="B381" s="4">
        <v>98</v>
      </c>
      <c r="C381" t="str">
        <f t="shared" si="15"/>
        <v>Pass</v>
      </c>
      <c r="D381" t="str">
        <f t="shared" si="16"/>
        <v>Ok</v>
      </c>
      <c r="E381" t="str">
        <f t="shared" si="17"/>
        <v>False</v>
      </c>
    </row>
    <row r="382" spans="1:5">
      <c r="A382" s="4" t="s">
        <v>1523</v>
      </c>
      <c r="B382" s="4">
        <v>8</v>
      </c>
      <c r="C382" t="str">
        <f t="shared" si="15"/>
        <v>Fail</v>
      </c>
      <c r="D382" t="str">
        <f t="shared" si="16"/>
        <v>Not Ok</v>
      </c>
      <c r="E382" t="str">
        <f t="shared" si="17"/>
        <v>True</v>
      </c>
    </row>
    <row r="383" spans="1:5">
      <c r="A383" s="4" t="s">
        <v>1524</v>
      </c>
      <c r="B383" s="4">
        <v>9</v>
      </c>
      <c r="C383" t="str">
        <f t="shared" si="15"/>
        <v>Fail</v>
      </c>
      <c r="D383" t="str">
        <f t="shared" si="16"/>
        <v>Not Ok</v>
      </c>
      <c r="E383" t="str">
        <f t="shared" si="17"/>
        <v>True</v>
      </c>
    </row>
    <row r="384" spans="1:5">
      <c r="A384" s="4" t="s">
        <v>1525</v>
      </c>
      <c r="B384" s="4">
        <v>26</v>
      </c>
      <c r="C384" t="str">
        <f t="shared" si="15"/>
        <v>Fail</v>
      </c>
      <c r="D384" t="str">
        <f t="shared" si="16"/>
        <v>Not Ok</v>
      </c>
      <c r="E384" t="str">
        <f t="shared" si="17"/>
        <v>True</v>
      </c>
    </row>
    <row r="385" spans="1:5">
      <c r="A385" s="4" t="s">
        <v>1526</v>
      </c>
      <c r="B385" s="4">
        <v>12</v>
      </c>
      <c r="C385" t="str">
        <f t="shared" si="15"/>
        <v>Fail</v>
      </c>
      <c r="D385" t="str">
        <f t="shared" si="16"/>
        <v>Not Ok</v>
      </c>
      <c r="E385" t="str">
        <f t="shared" si="17"/>
        <v>True</v>
      </c>
    </row>
    <row r="386" spans="1:5">
      <c r="A386" s="4" t="s">
        <v>1527</v>
      </c>
      <c r="B386" s="4">
        <v>85</v>
      </c>
      <c r="C386" t="str">
        <f t="shared" si="15"/>
        <v>Pass</v>
      </c>
      <c r="D386" t="str">
        <f t="shared" si="16"/>
        <v>Ok</v>
      </c>
      <c r="E386" t="str">
        <f t="shared" si="17"/>
        <v>False</v>
      </c>
    </row>
    <row r="387" spans="1:5">
      <c r="A387" s="4" t="s">
        <v>1528</v>
      </c>
      <c r="B387" s="4">
        <v>64</v>
      </c>
      <c r="C387" t="str">
        <f t="shared" ref="C387:C450" si="18">IF(B387&gt;80,"Pass","Fail")</f>
        <v>Fail</v>
      </c>
      <c r="D387" t="str">
        <f t="shared" ref="D387:D450" si="19">IF(AND(B387&gt;80,C387="Pass"),"Ok","Not Ok")</f>
        <v>Not Ok</v>
      </c>
      <c r="E387" t="str">
        <f t="shared" ref="E387:E450" si="20">IF(OR(B387&lt;50,C387="Fail"),"True","False")</f>
        <v>True</v>
      </c>
    </row>
    <row r="388" spans="1:5">
      <c r="A388" s="4" t="s">
        <v>1529</v>
      </c>
      <c r="B388" s="4">
        <v>14</v>
      </c>
      <c r="C388" t="str">
        <f t="shared" si="18"/>
        <v>Fail</v>
      </c>
      <c r="D388" t="str">
        <f t="shared" si="19"/>
        <v>Not Ok</v>
      </c>
      <c r="E388" t="str">
        <f t="shared" si="20"/>
        <v>True</v>
      </c>
    </row>
    <row r="389" spans="1:5">
      <c r="A389" s="4" t="s">
        <v>1530</v>
      </c>
      <c r="B389" s="4">
        <v>69</v>
      </c>
      <c r="C389" t="str">
        <f t="shared" si="18"/>
        <v>Fail</v>
      </c>
      <c r="D389" t="str">
        <f t="shared" si="19"/>
        <v>Not Ok</v>
      </c>
      <c r="E389" t="str">
        <f t="shared" si="20"/>
        <v>True</v>
      </c>
    </row>
    <row r="390" spans="1:5">
      <c r="A390" s="4" t="s">
        <v>1531</v>
      </c>
      <c r="B390" s="4">
        <v>27</v>
      </c>
      <c r="C390" t="str">
        <f t="shared" si="18"/>
        <v>Fail</v>
      </c>
      <c r="D390" t="str">
        <f t="shared" si="19"/>
        <v>Not Ok</v>
      </c>
      <c r="E390" t="str">
        <f t="shared" si="20"/>
        <v>True</v>
      </c>
    </row>
    <row r="391" spans="1:5">
      <c r="A391" s="4" t="s">
        <v>1532</v>
      </c>
      <c r="B391" s="4">
        <v>43</v>
      </c>
      <c r="C391" t="str">
        <f t="shared" si="18"/>
        <v>Fail</v>
      </c>
      <c r="D391" t="str">
        <f t="shared" si="19"/>
        <v>Not Ok</v>
      </c>
      <c r="E391" t="str">
        <f t="shared" si="20"/>
        <v>True</v>
      </c>
    </row>
    <row r="392" spans="1:5">
      <c r="A392" s="4" t="s">
        <v>1533</v>
      </c>
      <c r="B392" s="4">
        <v>26</v>
      </c>
      <c r="C392" t="str">
        <f t="shared" si="18"/>
        <v>Fail</v>
      </c>
      <c r="D392" t="str">
        <f t="shared" si="19"/>
        <v>Not Ok</v>
      </c>
      <c r="E392" t="str">
        <f t="shared" si="20"/>
        <v>True</v>
      </c>
    </row>
    <row r="393" spans="1:5">
      <c r="A393" s="4" t="s">
        <v>1534</v>
      </c>
      <c r="B393" s="4">
        <v>50</v>
      </c>
      <c r="C393" t="str">
        <f t="shared" si="18"/>
        <v>Fail</v>
      </c>
      <c r="D393" t="str">
        <f t="shared" si="19"/>
        <v>Not Ok</v>
      </c>
      <c r="E393" t="str">
        <f t="shared" si="20"/>
        <v>True</v>
      </c>
    </row>
    <row r="394" spans="1:5">
      <c r="A394" s="4" t="s">
        <v>1535</v>
      </c>
      <c r="B394" s="4">
        <v>97</v>
      </c>
      <c r="C394" t="str">
        <f t="shared" si="18"/>
        <v>Pass</v>
      </c>
      <c r="D394" t="str">
        <f t="shared" si="19"/>
        <v>Ok</v>
      </c>
      <c r="E394" t="str">
        <f t="shared" si="20"/>
        <v>False</v>
      </c>
    </row>
    <row r="395" spans="1:5">
      <c r="A395" s="4" t="s">
        <v>1536</v>
      </c>
      <c r="B395" s="4">
        <v>32</v>
      </c>
      <c r="C395" t="str">
        <f t="shared" si="18"/>
        <v>Fail</v>
      </c>
      <c r="D395" t="str">
        <f t="shared" si="19"/>
        <v>Not Ok</v>
      </c>
      <c r="E395" t="str">
        <f t="shared" si="20"/>
        <v>True</v>
      </c>
    </row>
    <row r="396" spans="1:5">
      <c r="A396" s="4" t="s">
        <v>1537</v>
      </c>
      <c r="B396" s="4">
        <v>0</v>
      </c>
      <c r="C396" t="str">
        <f t="shared" si="18"/>
        <v>Fail</v>
      </c>
      <c r="D396" t="str">
        <f t="shared" si="19"/>
        <v>Not Ok</v>
      </c>
      <c r="E396" t="str">
        <f t="shared" si="20"/>
        <v>True</v>
      </c>
    </row>
    <row r="397" spans="1:5">
      <c r="A397" s="4" t="s">
        <v>1538</v>
      </c>
      <c r="B397" s="4">
        <v>21</v>
      </c>
      <c r="C397" t="str">
        <f t="shared" si="18"/>
        <v>Fail</v>
      </c>
      <c r="D397" t="str">
        <f t="shared" si="19"/>
        <v>Not Ok</v>
      </c>
      <c r="E397" t="str">
        <f t="shared" si="20"/>
        <v>True</v>
      </c>
    </row>
    <row r="398" spans="1:5">
      <c r="A398" s="4" t="s">
        <v>1539</v>
      </c>
      <c r="B398" s="4">
        <v>91</v>
      </c>
      <c r="C398" t="str">
        <f t="shared" si="18"/>
        <v>Pass</v>
      </c>
      <c r="D398" t="str">
        <f t="shared" si="19"/>
        <v>Ok</v>
      </c>
      <c r="E398" t="str">
        <f t="shared" si="20"/>
        <v>False</v>
      </c>
    </row>
    <row r="399" spans="1:5">
      <c r="A399" s="4" t="s">
        <v>1540</v>
      </c>
      <c r="B399" s="4">
        <v>31</v>
      </c>
      <c r="C399" t="str">
        <f t="shared" si="18"/>
        <v>Fail</v>
      </c>
      <c r="D399" t="str">
        <f t="shared" si="19"/>
        <v>Not Ok</v>
      </c>
      <c r="E399" t="str">
        <f t="shared" si="20"/>
        <v>True</v>
      </c>
    </row>
    <row r="400" spans="1:5">
      <c r="A400" s="4" t="s">
        <v>1541</v>
      </c>
      <c r="B400" s="4">
        <v>58</v>
      </c>
      <c r="C400" t="str">
        <f t="shared" si="18"/>
        <v>Fail</v>
      </c>
      <c r="D400" t="str">
        <f t="shared" si="19"/>
        <v>Not Ok</v>
      </c>
      <c r="E400" t="str">
        <f t="shared" si="20"/>
        <v>True</v>
      </c>
    </row>
    <row r="401" spans="1:5">
      <c r="A401" s="4" t="s">
        <v>1542</v>
      </c>
      <c r="B401" s="4">
        <v>99</v>
      </c>
      <c r="C401" t="str">
        <f t="shared" si="18"/>
        <v>Pass</v>
      </c>
      <c r="D401" t="str">
        <f t="shared" si="19"/>
        <v>Ok</v>
      </c>
      <c r="E401" t="str">
        <f t="shared" si="20"/>
        <v>False</v>
      </c>
    </row>
    <row r="402" spans="1:5">
      <c r="A402" s="4" t="s">
        <v>1543</v>
      </c>
      <c r="B402" s="4">
        <v>63</v>
      </c>
      <c r="C402" t="str">
        <f t="shared" si="18"/>
        <v>Fail</v>
      </c>
      <c r="D402" t="str">
        <f t="shared" si="19"/>
        <v>Not Ok</v>
      </c>
      <c r="E402" t="str">
        <f t="shared" si="20"/>
        <v>True</v>
      </c>
    </row>
    <row r="403" spans="1:5">
      <c r="A403" s="4" t="s">
        <v>1544</v>
      </c>
      <c r="B403" s="4">
        <v>13</v>
      </c>
      <c r="C403" t="str">
        <f t="shared" si="18"/>
        <v>Fail</v>
      </c>
      <c r="D403" t="str">
        <f t="shared" si="19"/>
        <v>Not Ok</v>
      </c>
      <c r="E403" t="str">
        <f t="shared" si="20"/>
        <v>True</v>
      </c>
    </row>
    <row r="404" spans="1:5">
      <c r="A404" s="4" t="s">
        <v>1545</v>
      </c>
      <c r="B404" s="4">
        <v>19</v>
      </c>
      <c r="C404" t="str">
        <f t="shared" si="18"/>
        <v>Fail</v>
      </c>
      <c r="D404" t="str">
        <f t="shared" si="19"/>
        <v>Not Ok</v>
      </c>
      <c r="E404" t="str">
        <f t="shared" si="20"/>
        <v>True</v>
      </c>
    </row>
    <row r="405" spans="1:5">
      <c r="A405" s="4" t="s">
        <v>1546</v>
      </c>
      <c r="B405" s="4">
        <v>66</v>
      </c>
      <c r="C405" t="str">
        <f t="shared" si="18"/>
        <v>Fail</v>
      </c>
      <c r="D405" t="str">
        <f t="shared" si="19"/>
        <v>Not Ok</v>
      </c>
      <c r="E405" t="str">
        <f t="shared" si="20"/>
        <v>True</v>
      </c>
    </row>
    <row r="406" spans="1:5">
      <c r="A406" s="4" t="s">
        <v>1547</v>
      </c>
      <c r="B406" s="4">
        <v>20</v>
      </c>
      <c r="C406" t="str">
        <f t="shared" si="18"/>
        <v>Fail</v>
      </c>
      <c r="D406" t="str">
        <f t="shared" si="19"/>
        <v>Not Ok</v>
      </c>
      <c r="E406" t="str">
        <f t="shared" si="20"/>
        <v>True</v>
      </c>
    </row>
    <row r="407" spans="1:5">
      <c r="A407" s="4" t="s">
        <v>1548</v>
      </c>
      <c r="B407" s="4">
        <v>5</v>
      </c>
      <c r="C407" t="str">
        <f t="shared" si="18"/>
        <v>Fail</v>
      </c>
      <c r="D407" t="str">
        <f t="shared" si="19"/>
        <v>Not Ok</v>
      </c>
      <c r="E407" t="str">
        <f t="shared" si="20"/>
        <v>True</v>
      </c>
    </row>
    <row r="408" spans="1:5">
      <c r="A408" s="4" t="s">
        <v>1549</v>
      </c>
      <c r="B408" s="4">
        <v>63</v>
      </c>
      <c r="C408" t="str">
        <f t="shared" si="18"/>
        <v>Fail</v>
      </c>
      <c r="D408" t="str">
        <f t="shared" si="19"/>
        <v>Not Ok</v>
      </c>
      <c r="E408" t="str">
        <f t="shared" si="20"/>
        <v>True</v>
      </c>
    </row>
    <row r="409" spans="1:5">
      <c r="A409" s="4" t="s">
        <v>1550</v>
      </c>
      <c r="B409" s="4">
        <v>43</v>
      </c>
      <c r="C409" t="str">
        <f t="shared" si="18"/>
        <v>Fail</v>
      </c>
      <c r="D409" t="str">
        <f t="shared" si="19"/>
        <v>Not Ok</v>
      </c>
      <c r="E409" t="str">
        <f t="shared" si="20"/>
        <v>True</v>
      </c>
    </row>
    <row r="410" spans="1:5">
      <c r="A410" s="4" t="s">
        <v>1551</v>
      </c>
      <c r="B410" s="4">
        <v>75</v>
      </c>
      <c r="C410" t="str">
        <f t="shared" si="18"/>
        <v>Fail</v>
      </c>
      <c r="D410" t="str">
        <f t="shared" si="19"/>
        <v>Not Ok</v>
      </c>
      <c r="E410" t="str">
        <f t="shared" si="20"/>
        <v>True</v>
      </c>
    </row>
    <row r="411" spans="1:5">
      <c r="A411" s="4" t="s">
        <v>1552</v>
      </c>
      <c r="B411" s="4">
        <v>9</v>
      </c>
      <c r="C411" t="str">
        <f t="shared" si="18"/>
        <v>Fail</v>
      </c>
      <c r="D411" t="str">
        <f t="shared" si="19"/>
        <v>Not Ok</v>
      </c>
      <c r="E411" t="str">
        <f t="shared" si="20"/>
        <v>True</v>
      </c>
    </row>
    <row r="412" spans="1:5">
      <c r="A412" s="4" t="s">
        <v>1553</v>
      </c>
      <c r="B412" s="4">
        <v>74</v>
      </c>
      <c r="C412" t="str">
        <f t="shared" si="18"/>
        <v>Fail</v>
      </c>
      <c r="D412" t="str">
        <f t="shared" si="19"/>
        <v>Not Ok</v>
      </c>
      <c r="E412" t="str">
        <f t="shared" si="20"/>
        <v>True</v>
      </c>
    </row>
    <row r="413" spans="1:5">
      <c r="A413" s="4" t="s">
        <v>1554</v>
      </c>
      <c r="B413" s="4">
        <v>2</v>
      </c>
      <c r="C413" t="str">
        <f t="shared" si="18"/>
        <v>Fail</v>
      </c>
      <c r="D413" t="str">
        <f t="shared" si="19"/>
        <v>Not Ok</v>
      </c>
      <c r="E413" t="str">
        <f t="shared" si="20"/>
        <v>True</v>
      </c>
    </row>
    <row r="414" spans="1:5">
      <c r="A414" s="4" t="s">
        <v>1555</v>
      </c>
      <c r="B414" s="4">
        <v>34</v>
      </c>
      <c r="C414" t="str">
        <f t="shared" si="18"/>
        <v>Fail</v>
      </c>
      <c r="D414" t="str">
        <f t="shared" si="19"/>
        <v>Not Ok</v>
      </c>
      <c r="E414" t="str">
        <f t="shared" si="20"/>
        <v>True</v>
      </c>
    </row>
    <row r="415" spans="1:5">
      <c r="A415" s="4" t="s">
        <v>1556</v>
      </c>
      <c r="B415" s="4">
        <v>41</v>
      </c>
      <c r="C415" t="str">
        <f t="shared" si="18"/>
        <v>Fail</v>
      </c>
      <c r="D415" t="str">
        <f t="shared" si="19"/>
        <v>Not Ok</v>
      </c>
      <c r="E415" t="str">
        <f t="shared" si="20"/>
        <v>True</v>
      </c>
    </row>
    <row r="416" spans="1:5">
      <c r="A416" s="4" t="s">
        <v>1557</v>
      </c>
      <c r="B416" s="4">
        <v>62</v>
      </c>
      <c r="C416" t="str">
        <f t="shared" si="18"/>
        <v>Fail</v>
      </c>
      <c r="D416" t="str">
        <f t="shared" si="19"/>
        <v>Not Ok</v>
      </c>
      <c r="E416" t="str">
        <f t="shared" si="20"/>
        <v>True</v>
      </c>
    </row>
    <row r="417" spans="1:5">
      <c r="A417" s="4" t="s">
        <v>1558</v>
      </c>
      <c r="B417" s="4">
        <v>26</v>
      </c>
      <c r="C417" t="str">
        <f t="shared" si="18"/>
        <v>Fail</v>
      </c>
      <c r="D417" t="str">
        <f t="shared" si="19"/>
        <v>Not Ok</v>
      </c>
      <c r="E417" t="str">
        <f t="shared" si="20"/>
        <v>True</v>
      </c>
    </row>
    <row r="418" spans="1:5">
      <c r="A418" s="4" t="s">
        <v>1559</v>
      </c>
      <c r="B418" s="4">
        <v>0</v>
      </c>
      <c r="C418" t="str">
        <f t="shared" si="18"/>
        <v>Fail</v>
      </c>
      <c r="D418" t="str">
        <f t="shared" si="19"/>
        <v>Not Ok</v>
      </c>
      <c r="E418" t="str">
        <f t="shared" si="20"/>
        <v>True</v>
      </c>
    </row>
    <row r="419" spans="1:5">
      <c r="A419" s="4" t="s">
        <v>1560</v>
      </c>
      <c r="B419" s="4">
        <v>29</v>
      </c>
      <c r="C419" t="str">
        <f t="shared" si="18"/>
        <v>Fail</v>
      </c>
      <c r="D419" t="str">
        <f t="shared" si="19"/>
        <v>Not Ok</v>
      </c>
      <c r="E419" t="str">
        <f t="shared" si="20"/>
        <v>True</v>
      </c>
    </row>
    <row r="420" spans="1:5">
      <c r="A420" s="4" t="s">
        <v>1561</v>
      </c>
      <c r="B420" s="4">
        <v>69</v>
      </c>
      <c r="C420" t="str">
        <f t="shared" si="18"/>
        <v>Fail</v>
      </c>
      <c r="D420" t="str">
        <f t="shared" si="19"/>
        <v>Not Ok</v>
      </c>
      <c r="E420" t="str">
        <f t="shared" si="20"/>
        <v>True</v>
      </c>
    </row>
    <row r="421" spans="1:5">
      <c r="A421" s="4" t="s">
        <v>1562</v>
      </c>
      <c r="B421" s="4">
        <v>19</v>
      </c>
      <c r="C421" t="str">
        <f t="shared" si="18"/>
        <v>Fail</v>
      </c>
      <c r="D421" t="str">
        <f t="shared" si="19"/>
        <v>Not Ok</v>
      </c>
      <c r="E421" t="str">
        <f t="shared" si="20"/>
        <v>True</v>
      </c>
    </row>
    <row r="422" spans="1:5">
      <c r="A422" s="4" t="s">
        <v>1563</v>
      </c>
      <c r="B422" s="4">
        <v>91</v>
      </c>
      <c r="C422" t="str">
        <f t="shared" si="18"/>
        <v>Pass</v>
      </c>
      <c r="D422" t="str">
        <f t="shared" si="19"/>
        <v>Ok</v>
      </c>
      <c r="E422" t="str">
        <f t="shared" si="20"/>
        <v>False</v>
      </c>
    </row>
    <row r="423" spans="1:5">
      <c r="A423" s="4" t="s">
        <v>1564</v>
      </c>
      <c r="B423" s="4">
        <v>39</v>
      </c>
      <c r="C423" t="str">
        <f t="shared" si="18"/>
        <v>Fail</v>
      </c>
      <c r="D423" t="str">
        <f t="shared" si="19"/>
        <v>Not Ok</v>
      </c>
      <c r="E423" t="str">
        <f t="shared" si="20"/>
        <v>True</v>
      </c>
    </row>
    <row r="424" spans="1:5">
      <c r="A424" s="4" t="s">
        <v>1565</v>
      </c>
      <c r="B424" s="4">
        <v>92</v>
      </c>
      <c r="C424" t="str">
        <f t="shared" si="18"/>
        <v>Pass</v>
      </c>
      <c r="D424" t="str">
        <f t="shared" si="19"/>
        <v>Ok</v>
      </c>
      <c r="E424" t="str">
        <f t="shared" si="20"/>
        <v>False</v>
      </c>
    </row>
    <row r="425" spans="1:5">
      <c r="A425" s="4" t="s">
        <v>1566</v>
      </c>
      <c r="B425" s="4">
        <v>15</v>
      </c>
      <c r="C425" t="str">
        <f t="shared" si="18"/>
        <v>Fail</v>
      </c>
      <c r="D425" t="str">
        <f t="shared" si="19"/>
        <v>Not Ok</v>
      </c>
      <c r="E425" t="str">
        <f t="shared" si="20"/>
        <v>True</v>
      </c>
    </row>
    <row r="426" spans="1:5">
      <c r="A426" s="4" t="s">
        <v>1567</v>
      </c>
      <c r="B426" s="4">
        <v>23</v>
      </c>
      <c r="C426" t="str">
        <f t="shared" si="18"/>
        <v>Fail</v>
      </c>
      <c r="D426" t="str">
        <f t="shared" si="19"/>
        <v>Not Ok</v>
      </c>
      <c r="E426" t="str">
        <f t="shared" si="20"/>
        <v>True</v>
      </c>
    </row>
    <row r="427" spans="1:5">
      <c r="A427" s="4" t="s">
        <v>1568</v>
      </c>
      <c r="B427" s="4">
        <v>35</v>
      </c>
      <c r="C427" t="str">
        <f t="shared" si="18"/>
        <v>Fail</v>
      </c>
      <c r="D427" t="str">
        <f t="shared" si="19"/>
        <v>Not Ok</v>
      </c>
      <c r="E427" t="str">
        <f t="shared" si="20"/>
        <v>True</v>
      </c>
    </row>
    <row r="428" spans="1:5">
      <c r="A428" s="4" t="s">
        <v>1569</v>
      </c>
      <c r="B428" s="4">
        <v>46</v>
      </c>
      <c r="C428" t="str">
        <f t="shared" si="18"/>
        <v>Fail</v>
      </c>
      <c r="D428" t="str">
        <f t="shared" si="19"/>
        <v>Not Ok</v>
      </c>
      <c r="E428" t="str">
        <f t="shared" si="20"/>
        <v>True</v>
      </c>
    </row>
    <row r="429" spans="1:5">
      <c r="A429" s="4" t="s">
        <v>1570</v>
      </c>
      <c r="B429" s="4">
        <v>9</v>
      </c>
      <c r="C429" t="str">
        <f t="shared" si="18"/>
        <v>Fail</v>
      </c>
      <c r="D429" t="str">
        <f t="shared" si="19"/>
        <v>Not Ok</v>
      </c>
      <c r="E429" t="str">
        <f t="shared" si="20"/>
        <v>True</v>
      </c>
    </row>
    <row r="430" spans="1:5">
      <c r="A430" s="4" t="s">
        <v>1571</v>
      </c>
      <c r="B430" s="4">
        <v>17</v>
      </c>
      <c r="C430" t="str">
        <f t="shared" si="18"/>
        <v>Fail</v>
      </c>
      <c r="D430" t="str">
        <f t="shared" si="19"/>
        <v>Not Ok</v>
      </c>
      <c r="E430" t="str">
        <f t="shared" si="20"/>
        <v>True</v>
      </c>
    </row>
    <row r="431" spans="1:5">
      <c r="A431" s="4" t="s">
        <v>1572</v>
      </c>
      <c r="B431" s="4">
        <v>99</v>
      </c>
      <c r="C431" t="str">
        <f t="shared" si="18"/>
        <v>Pass</v>
      </c>
      <c r="D431" t="str">
        <f t="shared" si="19"/>
        <v>Ok</v>
      </c>
      <c r="E431" t="str">
        <f t="shared" si="20"/>
        <v>False</v>
      </c>
    </row>
    <row r="432" spans="1:5">
      <c r="A432" s="4" t="s">
        <v>1573</v>
      </c>
      <c r="B432" s="4">
        <v>59</v>
      </c>
      <c r="C432" t="str">
        <f t="shared" si="18"/>
        <v>Fail</v>
      </c>
      <c r="D432" t="str">
        <f t="shared" si="19"/>
        <v>Not Ok</v>
      </c>
      <c r="E432" t="str">
        <f t="shared" si="20"/>
        <v>True</v>
      </c>
    </row>
    <row r="433" spans="1:5">
      <c r="A433" s="4" t="s">
        <v>1574</v>
      </c>
      <c r="B433" s="4">
        <v>67</v>
      </c>
      <c r="C433" t="str">
        <f t="shared" si="18"/>
        <v>Fail</v>
      </c>
      <c r="D433" t="str">
        <f t="shared" si="19"/>
        <v>Not Ok</v>
      </c>
      <c r="E433" t="str">
        <f t="shared" si="20"/>
        <v>True</v>
      </c>
    </row>
    <row r="434" spans="1:5">
      <c r="A434" s="4" t="s">
        <v>1575</v>
      </c>
      <c r="B434" s="4">
        <v>81</v>
      </c>
      <c r="C434" t="str">
        <f t="shared" si="18"/>
        <v>Pass</v>
      </c>
      <c r="D434" t="str">
        <f t="shared" si="19"/>
        <v>Ok</v>
      </c>
      <c r="E434" t="str">
        <f t="shared" si="20"/>
        <v>False</v>
      </c>
    </row>
    <row r="435" spans="1:5">
      <c r="A435" s="4" t="s">
        <v>1576</v>
      </c>
      <c r="B435" s="4">
        <v>67</v>
      </c>
      <c r="C435" t="str">
        <f t="shared" si="18"/>
        <v>Fail</v>
      </c>
      <c r="D435" t="str">
        <f t="shared" si="19"/>
        <v>Not Ok</v>
      </c>
      <c r="E435" t="str">
        <f t="shared" si="20"/>
        <v>True</v>
      </c>
    </row>
    <row r="436" spans="1:5">
      <c r="A436" s="4" t="s">
        <v>1577</v>
      </c>
      <c r="B436" s="4">
        <v>81</v>
      </c>
      <c r="C436" t="str">
        <f t="shared" si="18"/>
        <v>Pass</v>
      </c>
      <c r="D436" t="str">
        <f t="shared" si="19"/>
        <v>Ok</v>
      </c>
      <c r="E436" t="str">
        <f t="shared" si="20"/>
        <v>False</v>
      </c>
    </row>
    <row r="437" spans="1:5">
      <c r="A437" s="4" t="s">
        <v>1578</v>
      </c>
      <c r="B437" s="4">
        <v>49</v>
      </c>
      <c r="C437" t="str">
        <f t="shared" si="18"/>
        <v>Fail</v>
      </c>
      <c r="D437" t="str">
        <f t="shared" si="19"/>
        <v>Not Ok</v>
      </c>
      <c r="E437" t="str">
        <f t="shared" si="20"/>
        <v>True</v>
      </c>
    </row>
    <row r="438" spans="1:5">
      <c r="A438" s="4" t="s">
        <v>1579</v>
      </c>
      <c r="B438" s="4">
        <v>83</v>
      </c>
      <c r="C438" t="str">
        <f t="shared" si="18"/>
        <v>Pass</v>
      </c>
      <c r="D438" t="str">
        <f t="shared" si="19"/>
        <v>Ok</v>
      </c>
      <c r="E438" t="str">
        <f t="shared" si="20"/>
        <v>False</v>
      </c>
    </row>
    <row r="439" spans="1:5">
      <c r="A439" s="4" t="s">
        <v>1580</v>
      </c>
      <c r="B439" s="4">
        <v>93</v>
      </c>
      <c r="C439" t="str">
        <f t="shared" si="18"/>
        <v>Pass</v>
      </c>
      <c r="D439" t="str">
        <f t="shared" si="19"/>
        <v>Ok</v>
      </c>
      <c r="E439" t="str">
        <f t="shared" si="20"/>
        <v>False</v>
      </c>
    </row>
    <row r="440" spans="1:5">
      <c r="A440" s="4" t="s">
        <v>1581</v>
      </c>
      <c r="B440" s="4">
        <v>53</v>
      </c>
      <c r="C440" t="str">
        <f t="shared" si="18"/>
        <v>Fail</v>
      </c>
      <c r="D440" t="str">
        <f t="shared" si="19"/>
        <v>Not Ok</v>
      </c>
      <c r="E440" t="str">
        <f t="shared" si="20"/>
        <v>True</v>
      </c>
    </row>
    <row r="441" spans="1:5">
      <c r="A441" s="4" t="s">
        <v>1582</v>
      </c>
      <c r="B441" s="4">
        <v>77</v>
      </c>
      <c r="C441" t="str">
        <f t="shared" si="18"/>
        <v>Fail</v>
      </c>
      <c r="D441" t="str">
        <f t="shared" si="19"/>
        <v>Not Ok</v>
      </c>
      <c r="E441" t="str">
        <f t="shared" si="20"/>
        <v>True</v>
      </c>
    </row>
    <row r="442" spans="1:5">
      <c r="A442" s="4" t="s">
        <v>1583</v>
      </c>
      <c r="B442" s="4">
        <v>73</v>
      </c>
      <c r="C442" t="str">
        <f t="shared" si="18"/>
        <v>Fail</v>
      </c>
      <c r="D442" t="str">
        <f t="shared" si="19"/>
        <v>Not Ok</v>
      </c>
      <c r="E442" t="str">
        <f t="shared" si="20"/>
        <v>True</v>
      </c>
    </row>
    <row r="443" spans="1:5">
      <c r="A443" s="4" t="s">
        <v>1584</v>
      </c>
      <c r="B443" s="4">
        <v>86</v>
      </c>
      <c r="C443" t="str">
        <f t="shared" si="18"/>
        <v>Pass</v>
      </c>
      <c r="D443" t="str">
        <f t="shared" si="19"/>
        <v>Ok</v>
      </c>
      <c r="E443" t="str">
        <f t="shared" si="20"/>
        <v>False</v>
      </c>
    </row>
    <row r="444" spans="1:5">
      <c r="A444" s="4" t="s">
        <v>1585</v>
      </c>
      <c r="B444" s="4">
        <v>27</v>
      </c>
      <c r="C444" t="str">
        <f t="shared" si="18"/>
        <v>Fail</v>
      </c>
      <c r="D444" t="str">
        <f t="shared" si="19"/>
        <v>Not Ok</v>
      </c>
      <c r="E444" t="str">
        <f t="shared" si="20"/>
        <v>True</v>
      </c>
    </row>
    <row r="445" spans="1:5">
      <c r="A445" s="4" t="s">
        <v>1586</v>
      </c>
      <c r="B445" s="4">
        <v>17</v>
      </c>
      <c r="C445" t="str">
        <f t="shared" si="18"/>
        <v>Fail</v>
      </c>
      <c r="D445" t="str">
        <f t="shared" si="19"/>
        <v>Not Ok</v>
      </c>
      <c r="E445" t="str">
        <f t="shared" si="20"/>
        <v>True</v>
      </c>
    </row>
    <row r="446" spans="1:5">
      <c r="A446" s="4" t="s">
        <v>1587</v>
      </c>
      <c r="B446" s="4">
        <v>15</v>
      </c>
      <c r="C446" t="str">
        <f t="shared" si="18"/>
        <v>Fail</v>
      </c>
      <c r="D446" t="str">
        <f t="shared" si="19"/>
        <v>Not Ok</v>
      </c>
      <c r="E446" t="str">
        <f t="shared" si="20"/>
        <v>True</v>
      </c>
    </row>
    <row r="447" spans="1:5">
      <c r="A447" s="4" t="s">
        <v>1588</v>
      </c>
      <c r="B447" s="4">
        <v>45</v>
      </c>
      <c r="C447" t="str">
        <f t="shared" si="18"/>
        <v>Fail</v>
      </c>
      <c r="D447" t="str">
        <f t="shared" si="19"/>
        <v>Not Ok</v>
      </c>
      <c r="E447" t="str">
        <f t="shared" si="20"/>
        <v>True</v>
      </c>
    </row>
    <row r="448" spans="1:5">
      <c r="A448" s="4" t="s">
        <v>1589</v>
      </c>
      <c r="B448" s="4">
        <v>14</v>
      </c>
      <c r="C448" t="str">
        <f t="shared" si="18"/>
        <v>Fail</v>
      </c>
      <c r="D448" t="str">
        <f t="shared" si="19"/>
        <v>Not Ok</v>
      </c>
      <c r="E448" t="str">
        <f t="shared" si="20"/>
        <v>True</v>
      </c>
    </row>
    <row r="449" spans="1:5">
      <c r="A449" s="4" t="s">
        <v>1590</v>
      </c>
      <c r="B449" s="4">
        <v>84</v>
      </c>
      <c r="C449" t="str">
        <f t="shared" si="18"/>
        <v>Pass</v>
      </c>
      <c r="D449" t="str">
        <f t="shared" si="19"/>
        <v>Ok</v>
      </c>
      <c r="E449" t="str">
        <f t="shared" si="20"/>
        <v>False</v>
      </c>
    </row>
    <row r="450" spans="1:5">
      <c r="A450" s="4" t="s">
        <v>1591</v>
      </c>
      <c r="B450" s="4">
        <v>99</v>
      </c>
      <c r="C450" t="str">
        <f t="shared" si="18"/>
        <v>Pass</v>
      </c>
      <c r="D450" t="str">
        <f t="shared" si="19"/>
        <v>Ok</v>
      </c>
      <c r="E450" t="str">
        <f t="shared" si="20"/>
        <v>False</v>
      </c>
    </row>
    <row r="451" spans="1:5">
      <c r="A451" s="4" t="s">
        <v>1592</v>
      </c>
      <c r="B451" s="4">
        <v>85</v>
      </c>
      <c r="C451" t="str">
        <f t="shared" ref="C451:C501" si="21">IF(B451&gt;80,"Pass","Fail")</f>
        <v>Pass</v>
      </c>
      <c r="D451" t="str">
        <f t="shared" ref="D451:D501" si="22">IF(AND(B451&gt;80,C451="Pass"),"Ok","Not Ok")</f>
        <v>Ok</v>
      </c>
      <c r="E451" t="str">
        <f t="shared" ref="E451:E501" si="23">IF(OR(B451&lt;50,C451="Fail"),"True","False")</f>
        <v>False</v>
      </c>
    </row>
    <row r="452" spans="1:5">
      <c r="A452" s="4" t="s">
        <v>1593</v>
      </c>
      <c r="B452" s="4">
        <v>38</v>
      </c>
      <c r="C452" t="str">
        <f t="shared" si="21"/>
        <v>Fail</v>
      </c>
      <c r="D452" t="str">
        <f t="shared" si="22"/>
        <v>Not Ok</v>
      </c>
      <c r="E452" t="str">
        <f t="shared" si="23"/>
        <v>True</v>
      </c>
    </row>
    <row r="453" spans="1:5">
      <c r="A453" s="4" t="s">
        <v>1594</v>
      </c>
      <c r="B453" s="4">
        <v>20</v>
      </c>
      <c r="C453" t="str">
        <f t="shared" si="21"/>
        <v>Fail</v>
      </c>
      <c r="D453" t="str">
        <f t="shared" si="22"/>
        <v>Not Ok</v>
      </c>
      <c r="E453" t="str">
        <f t="shared" si="23"/>
        <v>True</v>
      </c>
    </row>
    <row r="454" spans="1:5">
      <c r="A454" s="4" t="s">
        <v>1595</v>
      </c>
      <c r="B454" s="4">
        <v>98</v>
      </c>
      <c r="C454" t="str">
        <f t="shared" si="21"/>
        <v>Pass</v>
      </c>
      <c r="D454" t="str">
        <f t="shared" si="22"/>
        <v>Ok</v>
      </c>
      <c r="E454" t="str">
        <f t="shared" si="23"/>
        <v>False</v>
      </c>
    </row>
    <row r="455" spans="1:5">
      <c r="A455" s="4" t="s">
        <v>1596</v>
      </c>
      <c r="B455" s="4">
        <v>53</v>
      </c>
      <c r="C455" t="str">
        <f t="shared" si="21"/>
        <v>Fail</v>
      </c>
      <c r="D455" t="str">
        <f t="shared" si="22"/>
        <v>Not Ok</v>
      </c>
      <c r="E455" t="str">
        <f t="shared" si="23"/>
        <v>True</v>
      </c>
    </row>
    <row r="456" spans="1:5">
      <c r="A456" s="4" t="s">
        <v>1597</v>
      </c>
      <c r="B456" s="4">
        <v>3</v>
      </c>
      <c r="C456" t="str">
        <f t="shared" si="21"/>
        <v>Fail</v>
      </c>
      <c r="D456" t="str">
        <f t="shared" si="22"/>
        <v>Not Ok</v>
      </c>
      <c r="E456" t="str">
        <f t="shared" si="23"/>
        <v>True</v>
      </c>
    </row>
    <row r="457" spans="1:5">
      <c r="A457" s="4" t="s">
        <v>1598</v>
      </c>
      <c r="B457" s="4">
        <v>68</v>
      </c>
      <c r="C457" t="str">
        <f t="shared" si="21"/>
        <v>Fail</v>
      </c>
      <c r="D457" t="str">
        <f t="shared" si="22"/>
        <v>Not Ok</v>
      </c>
      <c r="E457" t="str">
        <f t="shared" si="23"/>
        <v>True</v>
      </c>
    </row>
    <row r="458" spans="1:5">
      <c r="A458" s="4" t="s">
        <v>1599</v>
      </c>
      <c r="B458" s="4">
        <v>58</v>
      </c>
      <c r="C458" t="str">
        <f t="shared" si="21"/>
        <v>Fail</v>
      </c>
      <c r="D458" t="str">
        <f t="shared" si="22"/>
        <v>Not Ok</v>
      </c>
      <c r="E458" t="str">
        <f t="shared" si="23"/>
        <v>True</v>
      </c>
    </row>
    <row r="459" spans="1:5">
      <c r="A459" s="4" t="s">
        <v>1600</v>
      </c>
      <c r="B459" s="4">
        <v>96</v>
      </c>
      <c r="C459" t="str">
        <f t="shared" si="21"/>
        <v>Pass</v>
      </c>
      <c r="D459" t="str">
        <f t="shared" si="22"/>
        <v>Ok</v>
      </c>
      <c r="E459" t="str">
        <f t="shared" si="23"/>
        <v>False</v>
      </c>
    </row>
    <row r="460" spans="1:5">
      <c r="A460" s="4" t="s">
        <v>1601</v>
      </c>
      <c r="B460" s="4">
        <v>62</v>
      </c>
      <c r="C460" t="str">
        <f t="shared" si="21"/>
        <v>Fail</v>
      </c>
      <c r="D460" t="str">
        <f t="shared" si="22"/>
        <v>Not Ok</v>
      </c>
      <c r="E460" t="str">
        <f t="shared" si="23"/>
        <v>True</v>
      </c>
    </row>
    <row r="461" spans="1:5">
      <c r="A461" s="4" t="s">
        <v>1602</v>
      </c>
      <c r="B461" s="4">
        <v>96</v>
      </c>
      <c r="C461" t="str">
        <f t="shared" si="21"/>
        <v>Pass</v>
      </c>
      <c r="D461" t="str">
        <f t="shared" si="22"/>
        <v>Ok</v>
      </c>
      <c r="E461" t="str">
        <f t="shared" si="23"/>
        <v>False</v>
      </c>
    </row>
    <row r="462" spans="1:5">
      <c r="A462" s="4" t="s">
        <v>1603</v>
      </c>
      <c r="B462" s="4">
        <v>34</v>
      </c>
      <c r="C462" t="str">
        <f t="shared" si="21"/>
        <v>Fail</v>
      </c>
      <c r="D462" t="str">
        <f t="shared" si="22"/>
        <v>Not Ok</v>
      </c>
      <c r="E462" t="str">
        <f t="shared" si="23"/>
        <v>True</v>
      </c>
    </row>
    <row r="463" spans="1:5">
      <c r="A463" s="4" t="s">
        <v>1604</v>
      </c>
      <c r="B463" s="4">
        <v>46</v>
      </c>
      <c r="C463" t="str">
        <f t="shared" si="21"/>
        <v>Fail</v>
      </c>
      <c r="D463" t="str">
        <f t="shared" si="22"/>
        <v>Not Ok</v>
      </c>
      <c r="E463" t="str">
        <f t="shared" si="23"/>
        <v>True</v>
      </c>
    </row>
    <row r="464" spans="1:5">
      <c r="A464" s="4" t="s">
        <v>1605</v>
      </c>
      <c r="B464" s="4">
        <v>56</v>
      </c>
      <c r="C464" t="str">
        <f t="shared" si="21"/>
        <v>Fail</v>
      </c>
      <c r="D464" t="str">
        <f t="shared" si="22"/>
        <v>Not Ok</v>
      </c>
      <c r="E464" t="str">
        <f t="shared" si="23"/>
        <v>True</v>
      </c>
    </row>
    <row r="465" spans="1:5">
      <c r="A465" s="4" t="s">
        <v>1606</v>
      </c>
      <c r="B465" s="4">
        <v>33</v>
      </c>
      <c r="C465" t="str">
        <f t="shared" si="21"/>
        <v>Fail</v>
      </c>
      <c r="D465" t="str">
        <f t="shared" si="22"/>
        <v>Not Ok</v>
      </c>
      <c r="E465" t="str">
        <f t="shared" si="23"/>
        <v>True</v>
      </c>
    </row>
    <row r="466" spans="1:5">
      <c r="A466" s="4" t="s">
        <v>1607</v>
      </c>
      <c r="B466" s="4">
        <v>78</v>
      </c>
      <c r="C466" t="str">
        <f t="shared" si="21"/>
        <v>Fail</v>
      </c>
      <c r="D466" t="str">
        <f t="shared" si="22"/>
        <v>Not Ok</v>
      </c>
      <c r="E466" t="str">
        <f t="shared" si="23"/>
        <v>True</v>
      </c>
    </row>
    <row r="467" spans="1:5">
      <c r="A467" s="4" t="s">
        <v>1608</v>
      </c>
      <c r="B467" s="4">
        <v>65</v>
      </c>
      <c r="C467" t="str">
        <f t="shared" si="21"/>
        <v>Fail</v>
      </c>
      <c r="D467" t="str">
        <f t="shared" si="22"/>
        <v>Not Ok</v>
      </c>
      <c r="E467" t="str">
        <f t="shared" si="23"/>
        <v>True</v>
      </c>
    </row>
    <row r="468" spans="1:5">
      <c r="A468" s="4" t="s">
        <v>1609</v>
      </c>
      <c r="B468" s="4">
        <v>78</v>
      </c>
      <c r="C468" t="str">
        <f t="shared" si="21"/>
        <v>Fail</v>
      </c>
      <c r="D468" t="str">
        <f t="shared" si="22"/>
        <v>Not Ok</v>
      </c>
      <c r="E468" t="str">
        <f t="shared" si="23"/>
        <v>True</v>
      </c>
    </row>
    <row r="469" spans="1:5">
      <c r="A469" s="4" t="s">
        <v>1610</v>
      </c>
      <c r="B469" s="4">
        <v>29</v>
      </c>
      <c r="C469" t="str">
        <f t="shared" si="21"/>
        <v>Fail</v>
      </c>
      <c r="D469" t="str">
        <f t="shared" si="22"/>
        <v>Not Ok</v>
      </c>
      <c r="E469" t="str">
        <f t="shared" si="23"/>
        <v>True</v>
      </c>
    </row>
    <row r="470" spans="1:5">
      <c r="A470" s="4" t="s">
        <v>1611</v>
      </c>
      <c r="B470" s="4">
        <v>41</v>
      </c>
      <c r="C470" t="str">
        <f t="shared" si="21"/>
        <v>Fail</v>
      </c>
      <c r="D470" t="str">
        <f t="shared" si="22"/>
        <v>Not Ok</v>
      </c>
      <c r="E470" t="str">
        <f t="shared" si="23"/>
        <v>True</v>
      </c>
    </row>
    <row r="471" spans="1:5">
      <c r="A471" s="4" t="s">
        <v>1612</v>
      </c>
      <c r="B471" s="4">
        <v>66</v>
      </c>
      <c r="C471" t="str">
        <f t="shared" si="21"/>
        <v>Fail</v>
      </c>
      <c r="D471" t="str">
        <f t="shared" si="22"/>
        <v>Not Ok</v>
      </c>
      <c r="E471" t="str">
        <f t="shared" si="23"/>
        <v>True</v>
      </c>
    </row>
    <row r="472" spans="1:5">
      <c r="A472" s="4" t="s">
        <v>1613</v>
      </c>
      <c r="B472" s="4">
        <v>17</v>
      </c>
      <c r="C472" t="str">
        <f t="shared" si="21"/>
        <v>Fail</v>
      </c>
      <c r="D472" t="str">
        <f t="shared" si="22"/>
        <v>Not Ok</v>
      </c>
      <c r="E472" t="str">
        <f t="shared" si="23"/>
        <v>True</v>
      </c>
    </row>
    <row r="473" spans="1:5">
      <c r="A473" s="4" t="s">
        <v>1614</v>
      </c>
      <c r="B473" s="4">
        <v>99</v>
      </c>
      <c r="C473" t="str">
        <f t="shared" si="21"/>
        <v>Pass</v>
      </c>
      <c r="D473" t="str">
        <f t="shared" si="22"/>
        <v>Ok</v>
      </c>
      <c r="E473" t="str">
        <f t="shared" si="23"/>
        <v>False</v>
      </c>
    </row>
    <row r="474" spans="1:5">
      <c r="A474" s="4" t="s">
        <v>1615</v>
      </c>
      <c r="B474" s="4">
        <v>99</v>
      </c>
      <c r="C474" t="str">
        <f t="shared" si="21"/>
        <v>Pass</v>
      </c>
      <c r="D474" t="str">
        <f t="shared" si="22"/>
        <v>Ok</v>
      </c>
      <c r="E474" t="str">
        <f t="shared" si="23"/>
        <v>False</v>
      </c>
    </row>
    <row r="475" spans="1:5">
      <c r="A475" s="4" t="s">
        <v>1616</v>
      </c>
      <c r="B475" s="4">
        <v>8</v>
      </c>
      <c r="C475" t="str">
        <f t="shared" si="21"/>
        <v>Fail</v>
      </c>
      <c r="D475" t="str">
        <f t="shared" si="22"/>
        <v>Not Ok</v>
      </c>
      <c r="E475" t="str">
        <f t="shared" si="23"/>
        <v>True</v>
      </c>
    </row>
    <row r="476" spans="1:5">
      <c r="A476" s="4" t="s">
        <v>1617</v>
      </c>
      <c r="B476" s="4">
        <v>26</v>
      </c>
      <c r="C476" t="str">
        <f t="shared" si="21"/>
        <v>Fail</v>
      </c>
      <c r="D476" t="str">
        <f t="shared" si="22"/>
        <v>Not Ok</v>
      </c>
      <c r="E476" t="str">
        <f t="shared" si="23"/>
        <v>True</v>
      </c>
    </row>
    <row r="477" spans="1:5">
      <c r="A477" s="4" t="s">
        <v>1618</v>
      </c>
      <c r="B477" s="4">
        <v>44</v>
      </c>
      <c r="C477" t="str">
        <f t="shared" si="21"/>
        <v>Fail</v>
      </c>
      <c r="D477" t="str">
        <f t="shared" si="22"/>
        <v>Not Ok</v>
      </c>
      <c r="E477" t="str">
        <f t="shared" si="23"/>
        <v>True</v>
      </c>
    </row>
    <row r="478" spans="1:5">
      <c r="A478" s="4" t="s">
        <v>1619</v>
      </c>
      <c r="B478" s="4">
        <v>35</v>
      </c>
      <c r="C478" t="str">
        <f t="shared" si="21"/>
        <v>Fail</v>
      </c>
      <c r="D478" t="str">
        <f t="shared" si="22"/>
        <v>Not Ok</v>
      </c>
      <c r="E478" t="str">
        <f t="shared" si="23"/>
        <v>True</v>
      </c>
    </row>
    <row r="479" spans="1:5">
      <c r="A479" s="4" t="s">
        <v>1620</v>
      </c>
      <c r="B479" s="4">
        <v>6</v>
      </c>
      <c r="C479" t="str">
        <f t="shared" si="21"/>
        <v>Fail</v>
      </c>
      <c r="D479" t="str">
        <f t="shared" si="22"/>
        <v>Not Ok</v>
      </c>
      <c r="E479" t="str">
        <f t="shared" si="23"/>
        <v>True</v>
      </c>
    </row>
    <row r="480" spans="1:5">
      <c r="A480" s="4" t="s">
        <v>1621</v>
      </c>
      <c r="B480" s="4">
        <v>29</v>
      </c>
      <c r="C480" t="str">
        <f t="shared" si="21"/>
        <v>Fail</v>
      </c>
      <c r="D480" t="str">
        <f t="shared" si="22"/>
        <v>Not Ok</v>
      </c>
      <c r="E480" t="str">
        <f t="shared" si="23"/>
        <v>True</v>
      </c>
    </row>
    <row r="481" spans="1:5">
      <c r="A481" s="4" t="s">
        <v>1622</v>
      </c>
      <c r="B481" s="4">
        <v>79</v>
      </c>
      <c r="C481" t="str">
        <f t="shared" si="21"/>
        <v>Fail</v>
      </c>
      <c r="D481" t="str">
        <f t="shared" si="22"/>
        <v>Not Ok</v>
      </c>
      <c r="E481" t="str">
        <f t="shared" si="23"/>
        <v>True</v>
      </c>
    </row>
    <row r="482" spans="1:5">
      <c r="A482" s="4" t="s">
        <v>1623</v>
      </c>
      <c r="B482" s="4">
        <v>22</v>
      </c>
      <c r="C482" t="str">
        <f t="shared" si="21"/>
        <v>Fail</v>
      </c>
      <c r="D482" t="str">
        <f t="shared" si="22"/>
        <v>Not Ok</v>
      </c>
      <c r="E482" t="str">
        <f t="shared" si="23"/>
        <v>True</v>
      </c>
    </row>
    <row r="483" spans="1:5">
      <c r="A483" s="4" t="s">
        <v>1624</v>
      </c>
      <c r="B483" s="4">
        <v>16</v>
      </c>
      <c r="C483" t="str">
        <f t="shared" si="21"/>
        <v>Fail</v>
      </c>
      <c r="D483" t="str">
        <f t="shared" si="22"/>
        <v>Not Ok</v>
      </c>
      <c r="E483" t="str">
        <f t="shared" si="23"/>
        <v>True</v>
      </c>
    </row>
    <row r="484" spans="1:5">
      <c r="A484" s="4" t="s">
        <v>1625</v>
      </c>
      <c r="B484" s="4">
        <v>10</v>
      </c>
      <c r="C484" t="str">
        <f t="shared" si="21"/>
        <v>Fail</v>
      </c>
      <c r="D484" t="str">
        <f t="shared" si="22"/>
        <v>Not Ok</v>
      </c>
      <c r="E484" t="str">
        <f t="shared" si="23"/>
        <v>True</v>
      </c>
    </row>
    <row r="485" spans="1:5">
      <c r="A485" s="4" t="s">
        <v>1626</v>
      </c>
      <c r="B485" s="4">
        <v>12</v>
      </c>
      <c r="C485" t="str">
        <f t="shared" si="21"/>
        <v>Fail</v>
      </c>
      <c r="D485" t="str">
        <f t="shared" si="22"/>
        <v>Not Ok</v>
      </c>
      <c r="E485" t="str">
        <f t="shared" si="23"/>
        <v>True</v>
      </c>
    </row>
    <row r="486" spans="1:5">
      <c r="A486" s="4" t="s">
        <v>1627</v>
      </c>
      <c r="B486" s="4">
        <v>41</v>
      </c>
      <c r="C486" t="str">
        <f t="shared" si="21"/>
        <v>Fail</v>
      </c>
      <c r="D486" t="str">
        <f t="shared" si="22"/>
        <v>Not Ok</v>
      </c>
      <c r="E486" t="str">
        <f t="shared" si="23"/>
        <v>True</v>
      </c>
    </row>
    <row r="487" spans="1:5">
      <c r="A487" s="4" t="s">
        <v>1628</v>
      </c>
      <c r="B487" s="4">
        <v>3</v>
      </c>
      <c r="C487" t="str">
        <f t="shared" si="21"/>
        <v>Fail</v>
      </c>
      <c r="D487" t="str">
        <f t="shared" si="22"/>
        <v>Not Ok</v>
      </c>
      <c r="E487" t="str">
        <f t="shared" si="23"/>
        <v>True</v>
      </c>
    </row>
    <row r="488" spans="1:5">
      <c r="A488" s="4" t="s">
        <v>1629</v>
      </c>
      <c r="B488" s="4">
        <v>67</v>
      </c>
      <c r="C488" t="str">
        <f t="shared" si="21"/>
        <v>Fail</v>
      </c>
      <c r="D488" t="str">
        <f t="shared" si="22"/>
        <v>Not Ok</v>
      </c>
      <c r="E488" t="str">
        <f t="shared" si="23"/>
        <v>True</v>
      </c>
    </row>
    <row r="489" spans="1:5">
      <c r="A489" s="4" t="s">
        <v>1630</v>
      </c>
      <c r="B489" s="4">
        <v>54</v>
      </c>
      <c r="C489" t="str">
        <f t="shared" si="21"/>
        <v>Fail</v>
      </c>
      <c r="D489" t="str">
        <f t="shared" si="22"/>
        <v>Not Ok</v>
      </c>
      <c r="E489" t="str">
        <f t="shared" si="23"/>
        <v>True</v>
      </c>
    </row>
    <row r="490" spans="1:5">
      <c r="A490" s="4" t="s">
        <v>1631</v>
      </c>
      <c r="B490" s="4">
        <v>71</v>
      </c>
      <c r="C490" t="str">
        <f t="shared" si="21"/>
        <v>Fail</v>
      </c>
      <c r="D490" t="str">
        <f t="shared" si="22"/>
        <v>Not Ok</v>
      </c>
      <c r="E490" t="str">
        <f t="shared" si="23"/>
        <v>True</v>
      </c>
    </row>
    <row r="491" spans="1:5">
      <c r="A491" s="4" t="s">
        <v>1632</v>
      </c>
      <c r="B491" s="4">
        <v>43</v>
      </c>
      <c r="C491" t="str">
        <f t="shared" si="21"/>
        <v>Fail</v>
      </c>
      <c r="D491" t="str">
        <f t="shared" si="22"/>
        <v>Not Ok</v>
      </c>
      <c r="E491" t="str">
        <f t="shared" si="23"/>
        <v>True</v>
      </c>
    </row>
    <row r="492" spans="1:5">
      <c r="A492" s="4" t="s">
        <v>1633</v>
      </c>
      <c r="B492" s="4">
        <v>45</v>
      </c>
      <c r="C492" t="str">
        <f t="shared" si="21"/>
        <v>Fail</v>
      </c>
      <c r="D492" t="str">
        <f t="shared" si="22"/>
        <v>Not Ok</v>
      </c>
      <c r="E492" t="str">
        <f t="shared" si="23"/>
        <v>True</v>
      </c>
    </row>
    <row r="493" spans="1:5">
      <c r="A493" s="4" t="s">
        <v>1634</v>
      </c>
      <c r="B493" s="4">
        <v>31</v>
      </c>
      <c r="C493" t="str">
        <f t="shared" si="21"/>
        <v>Fail</v>
      </c>
      <c r="D493" t="str">
        <f t="shared" si="22"/>
        <v>Not Ok</v>
      </c>
      <c r="E493" t="str">
        <f t="shared" si="23"/>
        <v>True</v>
      </c>
    </row>
    <row r="494" spans="1:5">
      <c r="A494" s="4" t="s">
        <v>1635</v>
      </c>
      <c r="B494" s="4">
        <v>95</v>
      </c>
      <c r="C494" t="str">
        <f t="shared" si="21"/>
        <v>Pass</v>
      </c>
      <c r="D494" t="str">
        <f t="shared" si="22"/>
        <v>Ok</v>
      </c>
      <c r="E494" t="str">
        <f t="shared" si="23"/>
        <v>False</v>
      </c>
    </row>
    <row r="495" spans="1:5">
      <c r="A495" s="4" t="s">
        <v>1636</v>
      </c>
      <c r="B495" s="4">
        <v>72</v>
      </c>
      <c r="C495" t="str">
        <f t="shared" si="21"/>
        <v>Fail</v>
      </c>
      <c r="D495" t="str">
        <f t="shared" si="22"/>
        <v>Not Ok</v>
      </c>
      <c r="E495" t="str">
        <f t="shared" si="23"/>
        <v>True</v>
      </c>
    </row>
    <row r="496" spans="1:5">
      <c r="A496" s="4" t="s">
        <v>1637</v>
      </c>
      <c r="B496" s="4">
        <v>40</v>
      </c>
      <c r="C496" t="str">
        <f t="shared" si="21"/>
        <v>Fail</v>
      </c>
      <c r="D496" t="str">
        <f t="shared" si="22"/>
        <v>Not Ok</v>
      </c>
      <c r="E496" t="str">
        <f t="shared" si="23"/>
        <v>True</v>
      </c>
    </row>
    <row r="497" spans="1:5">
      <c r="A497" s="4" t="s">
        <v>1638</v>
      </c>
      <c r="B497" s="4">
        <v>88</v>
      </c>
      <c r="C497" t="str">
        <f t="shared" si="21"/>
        <v>Pass</v>
      </c>
      <c r="D497" t="str">
        <f t="shared" si="22"/>
        <v>Ok</v>
      </c>
      <c r="E497" t="str">
        <f t="shared" si="23"/>
        <v>False</v>
      </c>
    </row>
    <row r="498" spans="1:5">
      <c r="A498" s="4" t="s">
        <v>1639</v>
      </c>
      <c r="B498" s="4">
        <v>50</v>
      </c>
      <c r="C498" t="str">
        <f t="shared" si="21"/>
        <v>Fail</v>
      </c>
      <c r="D498" t="str">
        <f t="shared" si="22"/>
        <v>Not Ok</v>
      </c>
      <c r="E498" t="str">
        <f t="shared" si="23"/>
        <v>True</v>
      </c>
    </row>
    <row r="499" spans="1:5">
      <c r="A499" s="4" t="s">
        <v>1640</v>
      </c>
      <c r="B499" s="4">
        <v>82</v>
      </c>
      <c r="C499" t="str">
        <f t="shared" si="21"/>
        <v>Pass</v>
      </c>
      <c r="D499" t="str">
        <f t="shared" si="22"/>
        <v>Ok</v>
      </c>
      <c r="E499" t="str">
        <f t="shared" si="23"/>
        <v>False</v>
      </c>
    </row>
    <row r="500" spans="1:5">
      <c r="A500" s="4" t="s">
        <v>1641</v>
      </c>
      <c r="B500" s="4">
        <v>74</v>
      </c>
      <c r="C500" t="str">
        <f t="shared" si="21"/>
        <v>Fail</v>
      </c>
      <c r="D500" t="str">
        <f t="shared" si="22"/>
        <v>Not Ok</v>
      </c>
      <c r="E500" t="str">
        <f t="shared" si="23"/>
        <v>True</v>
      </c>
    </row>
    <row r="501" spans="1:5">
      <c r="A501" s="4" t="s">
        <v>1642</v>
      </c>
      <c r="B501" s="4">
        <v>40</v>
      </c>
      <c r="C501" t="str">
        <f t="shared" si="21"/>
        <v>Fail</v>
      </c>
      <c r="D501" t="str">
        <f t="shared" si="22"/>
        <v>Not Ok</v>
      </c>
      <c r="E501" t="str">
        <f t="shared" si="23"/>
        <v>True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D5B34-2E20-4163-B312-92DBA24611EC}">
  <dimension ref="A1:N13"/>
  <sheetViews>
    <sheetView workbookViewId="0">
      <selection activeCell="I2" sqref="I2"/>
    </sheetView>
  </sheetViews>
  <sheetFormatPr defaultRowHeight="14.4"/>
  <cols>
    <col min="1" max="1" width="7.6640625" bestFit="1" customWidth="1"/>
    <col min="2" max="2" width="12" bestFit="1" customWidth="1"/>
    <col min="3" max="3" width="11.109375" bestFit="1" customWidth="1"/>
    <col min="4" max="4" width="6" bestFit="1" customWidth="1"/>
    <col min="5" max="5" width="11.77734375" bestFit="1" customWidth="1"/>
    <col min="6" max="6" width="18.21875" bestFit="1" customWidth="1"/>
    <col min="7" max="7" width="12.44140625" bestFit="1" customWidth="1"/>
    <col min="8" max="8" width="14.44140625" bestFit="1" customWidth="1"/>
    <col min="9" max="9" width="13.109375" bestFit="1" customWidth="1"/>
  </cols>
  <sheetData>
    <row r="1" spans="1:14">
      <c r="A1" s="20" t="s">
        <v>1646</v>
      </c>
      <c r="B1" s="20" t="s">
        <v>1647</v>
      </c>
      <c r="C1" s="20" t="s">
        <v>11</v>
      </c>
      <c r="D1" s="20" t="s">
        <v>22</v>
      </c>
      <c r="E1" s="21" t="s">
        <v>1648</v>
      </c>
      <c r="F1" s="23" t="s">
        <v>1661</v>
      </c>
      <c r="G1" s="23" t="s">
        <v>1649</v>
      </c>
      <c r="H1" s="21" t="s">
        <v>1842</v>
      </c>
      <c r="I1" s="21" t="s">
        <v>1843</v>
      </c>
    </row>
    <row r="2" spans="1:14">
      <c r="A2" s="4" t="s">
        <v>14</v>
      </c>
      <c r="B2" s="4" t="s">
        <v>15</v>
      </c>
      <c r="C2" s="4" t="s">
        <v>16</v>
      </c>
      <c r="D2" s="4">
        <v>72704</v>
      </c>
      <c r="E2" s="4" t="str">
        <f>IF(D2&gt;=50000,"Completed","Incomplete")</f>
        <v>Completed</v>
      </c>
      <c r="F2" s="4">
        <f>IF(D2&gt;75000,D2*20%,IF(D2&gt;50000,D2*15%,D2*10%))</f>
        <v>10905.6</v>
      </c>
      <c r="G2" s="4" cm="1">
        <f t="array" ref="G2">_xlfn.IFS(D2&gt;75000,D2*20%,D2&gt;50000,D2*15%,D2&lt;50000,D2*10%)</f>
        <v>10905.6</v>
      </c>
      <c r="H2" t="str">
        <f>IF(AND(C2="Finance",D2&gt;70000),"OK","NOT OK")</f>
        <v>OK</v>
      </c>
      <c r="I2" t="str">
        <f>IF(OR(C2="Finance",D2&gt;70000),"True","False")</f>
        <v>True</v>
      </c>
    </row>
    <row r="3" spans="1:14">
      <c r="A3" s="4" t="s">
        <v>17</v>
      </c>
      <c r="B3" s="4" t="s">
        <v>18</v>
      </c>
      <c r="C3" s="4" t="s">
        <v>19</v>
      </c>
      <c r="D3" s="4">
        <v>44718</v>
      </c>
      <c r="E3" s="4" t="str">
        <f t="shared" ref="E3:E13" si="0">IF(D3&gt;=50000,"Completed","Incomplete")</f>
        <v>Incomplete</v>
      </c>
      <c r="F3" s="4">
        <f t="shared" ref="F3:F13" si="1">IF(D3&gt;75000,D3*20%,IF(D3&gt;50000,D3*15%,D3*10%))</f>
        <v>4471.8</v>
      </c>
      <c r="G3" s="4" cm="1">
        <f t="array" ref="G3">_xlfn.IFS(D3&gt;75000,D3*20%,D3&gt;50000,D3*15%,D3&lt;50000,D3*10%)</f>
        <v>4471.8</v>
      </c>
      <c r="H3" t="str">
        <f t="shared" ref="H3:H13" si="2">IF(AND(C3="Finance",D3&gt;70000),"OK","NOT OK")</f>
        <v>NOT OK</v>
      </c>
      <c r="I3" t="str">
        <f t="shared" ref="I3:I13" si="3">IF(OR(C3="Finance",D3&gt;70000),"True","False")</f>
        <v>False</v>
      </c>
      <c r="M3" s="1" t="s">
        <v>1650</v>
      </c>
    </row>
    <row r="4" spans="1:14">
      <c r="A4" s="4" t="s">
        <v>20</v>
      </c>
      <c r="B4" s="4" t="s">
        <v>21</v>
      </c>
      <c r="C4" s="4" t="s">
        <v>22</v>
      </c>
      <c r="D4" s="4">
        <v>35210</v>
      </c>
      <c r="E4" s="4" t="str">
        <f t="shared" si="0"/>
        <v>Incomplete</v>
      </c>
      <c r="F4" s="4">
        <f t="shared" si="1"/>
        <v>3521</v>
      </c>
      <c r="G4" s="4" cm="1">
        <f t="array" ref="G4">_xlfn.IFS(D4&gt;75000,D4*20%,D4&gt;50000,D4*15%,D4&lt;50000,D4*10%)</f>
        <v>3521</v>
      </c>
      <c r="H4" t="str">
        <f t="shared" si="2"/>
        <v>NOT OK</v>
      </c>
      <c r="I4" t="str">
        <f t="shared" si="3"/>
        <v>False</v>
      </c>
      <c r="M4" t="s">
        <v>1651</v>
      </c>
      <c r="N4" t="s">
        <v>1652</v>
      </c>
    </row>
    <row r="5" spans="1:14">
      <c r="A5" s="4" t="s">
        <v>23</v>
      </c>
      <c r="B5" s="4" t="s">
        <v>24</v>
      </c>
      <c r="C5" s="4" t="s">
        <v>16</v>
      </c>
      <c r="D5" s="4">
        <v>30681</v>
      </c>
      <c r="E5" s="4" t="str">
        <f t="shared" si="0"/>
        <v>Incomplete</v>
      </c>
      <c r="F5" s="4">
        <f t="shared" si="1"/>
        <v>3068.1000000000004</v>
      </c>
      <c r="G5" s="4" cm="1">
        <f t="array" ref="G5">_xlfn.IFS(D5&gt;75000,D5*20%,D5&gt;50000,D5*15%,D5&lt;50000,D5*10%)</f>
        <v>3068.1000000000004</v>
      </c>
      <c r="H5" t="str">
        <f t="shared" si="2"/>
        <v>NOT OK</v>
      </c>
      <c r="I5" t="str">
        <f t="shared" si="3"/>
        <v>True</v>
      </c>
      <c r="M5" t="s">
        <v>1653</v>
      </c>
      <c r="N5" t="s">
        <v>1654</v>
      </c>
    </row>
    <row r="6" spans="1:14">
      <c r="A6" s="4" t="s">
        <v>25</v>
      </c>
      <c r="B6" s="4" t="s">
        <v>26</v>
      </c>
      <c r="C6" s="4" t="s">
        <v>19</v>
      </c>
      <c r="D6" s="4">
        <v>47487</v>
      </c>
      <c r="E6" s="4" t="str">
        <f t="shared" si="0"/>
        <v>Incomplete</v>
      </c>
      <c r="F6" s="4">
        <f t="shared" si="1"/>
        <v>4748.7</v>
      </c>
      <c r="G6" s="4" cm="1">
        <f t="array" ref="G6">_xlfn.IFS(D6&gt;75000,D6*20%,D6&gt;50000,D6*15%,D6&lt;50000,D6*10%)</f>
        <v>4748.7</v>
      </c>
      <c r="H6" t="str">
        <f t="shared" si="2"/>
        <v>NOT OK</v>
      </c>
      <c r="I6" t="str">
        <f t="shared" si="3"/>
        <v>False</v>
      </c>
      <c r="M6" t="s">
        <v>1655</v>
      </c>
      <c r="N6" t="s">
        <v>1656</v>
      </c>
    </row>
    <row r="7" spans="1:14">
      <c r="A7" s="4" t="s">
        <v>27</v>
      </c>
      <c r="B7" s="4" t="s">
        <v>21</v>
      </c>
      <c r="C7" s="4" t="s">
        <v>19</v>
      </c>
      <c r="D7" s="4">
        <v>30000</v>
      </c>
      <c r="E7" s="4" t="str">
        <f t="shared" si="0"/>
        <v>Incomplete</v>
      </c>
      <c r="F7" s="4">
        <f t="shared" si="1"/>
        <v>3000</v>
      </c>
      <c r="G7" s="4" cm="1">
        <f t="array" ref="G7">_xlfn.IFS(D7&gt;75000,D7*20%,D7&gt;50000,D7*15%,D7&lt;50000,D7*10%)</f>
        <v>3000</v>
      </c>
      <c r="H7" t="str">
        <f t="shared" si="2"/>
        <v>NOT OK</v>
      </c>
      <c r="I7" t="str">
        <f t="shared" si="3"/>
        <v>False</v>
      </c>
    </row>
    <row r="8" spans="1:14">
      <c r="A8" s="4" t="s">
        <v>28</v>
      </c>
      <c r="B8" s="4" t="s">
        <v>29</v>
      </c>
      <c r="C8" s="4" t="s">
        <v>22</v>
      </c>
      <c r="D8" s="4">
        <v>63671</v>
      </c>
      <c r="E8" s="4" t="str">
        <f t="shared" si="0"/>
        <v>Completed</v>
      </c>
      <c r="F8" s="4">
        <f t="shared" si="1"/>
        <v>9550.65</v>
      </c>
      <c r="G8" s="4" cm="1">
        <f t="array" ref="G8">_xlfn.IFS(D8&gt;75000,D8*20%,D8&gt;50000,D8*15%,D8&lt;50000,D8*10%)</f>
        <v>9550.65</v>
      </c>
      <c r="H8" t="str">
        <f t="shared" si="2"/>
        <v>NOT OK</v>
      </c>
      <c r="I8" t="str">
        <f t="shared" si="3"/>
        <v>False</v>
      </c>
    </row>
    <row r="9" spans="1:14">
      <c r="A9" s="4" t="s">
        <v>30</v>
      </c>
      <c r="B9" s="4" t="s">
        <v>31</v>
      </c>
      <c r="C9" s="4" t="s">
        <v>16</v>
      </c>
      <c r="D9" s="4">
        <v>38966</v>
      </c>
      <c r="E9" s="4" t="str">
        <f t="shared" si="0"/>
        <v>Incomplete</v>
      </c>
      <c r="F9" s="4">
        <f t="shared" si="1"/>
        <v>3896.6000000000004</v>
      </c>
      <c r="G9" s="4" cm="1">
        <f t="array" ref="G9">_xlfn.IFS(D9&gt;75000,D9*20%,D9&gt;50000,D9*15%,D9&lt;50000,D9*10%)</f>
        <v>3896.6000000000004</v>
      </c>
      <c r="H9" t="str">
        <f t="shared" si="2"/>
        <v>NOT OK</v>
      </c>
      <c r="I9" t="str">
        <f t="shared" si="3"/>
        <v>True</v>
      </c>
      <c r="M9" s="36" t="s">
        <v>1657</v>
      </c>
      <c r="N9" s="36"/>
    </row>
    <row r="10" spans="1:14">
      <c r="A10" s="4" t="s">
        <v>32</v>
      </c>
      <c r="B10" s="4" t="s">
        <v>33</v>
      </c>
      <c r="C10" s="4" t="s">
        <v>19</v>
      </c>
      <c r="D10" s="4">
        <v>77052</v>
      </c>
      <c r="E10" s="4" t="str">
        <f t="shared" si="0"/>
        <v>Completed</v>
      </c>
      <c r="F10" s="4">
        <f t="shared" si="1"/>
        <v>15410.400000000001</v>
      </c>
      <c r="G10" s="4" cm="1">
        <f t="array" ref="G10">_xlfn.IFS(D10&gt;75000,D10*20%,D10&gt;50000,D10*15%,D10&lt;50000,D10*10%)</f>
        <v>15410.400000000001</v>
      </c>
      <c r="H10" t="str">
        <f t="shared" si="2"/>
        <v>NOT OK</v>
      </c>
      <c r="I10" t="str">
        <f t="shared" si="3"/>
        <v>True</v>
      </c>
      <c r="M10" t="s">
        <v>22</v>
      </c>
      <c r="N10" t="s">
        <v>1658</v>
      </c>
    </row>
    <row r="11" spans="1:14">
      <c r="A11" s="4" t="s">
        <v>34</v>
      </c>
      <c r="B11" s="4" t="s">
        <v>35</v>
      </c>
      <c r="C11" s="4" t="s">
        <v>22</v>
      </c>
      <c r="D11" s="4">
        <v>86570</v>
      </c>
      <c r="E11" s="4" t="str">
        <f t="shared" si="0"/>
        <v>Completed</v>
      </c>
      <c r="F11" s="4">
        <f t="shared" si="1"/>
        <v>17314</v>
      </c>
      <c r="G11" s="4" cm="1">
        <f t="array" ref="G11">_xlfn.IFS(D11&gt;75000,D11*20%,D11&gt;50000,D11*15%,D11&lt;50000,D11*10%)</f>
        <v>17314</v>
      </c>
      <c r="H11" t="str">
        <f t="shared" si="2"/>
        <v>NOT OK</v>
      </c>
      <c r="I11" t="str">
        <f t="shared" si="3"/>
        <v>True</v>
      </c>
      <c r="M11" t="s">
        <v>1659</v>
      </c>
      <c r="N11" s="22">
        <v>0.2</v>
      </c>
    </row>
    <row r="12" spans="1:14">
      <c r="A12" s="4" t="s">
        <v>36</v>
      </c>
      <c r="B12" s="4" t="s">
        <v>37</v>
      </c>
      <c r="C12" s="4" t="s">
        <v>22</v>
      </c>
      <c r="D12" s="4">
        <v>30250</v>
      </c>
      <c r="E12" s="4" t="str">
        <f t="shared" si="0"/>
        <v>Incomplete</v>
      </c>
      <c r="F12" s="4">
        <f t="shared" si="1"/>
        <v>3025</v>
      </c>
      <c r="G12" s="4" cm="1">
        <f t="array" ref="G12">_xlfn.IFS(D12&gt;75000,D12*20%,D12&gt;50000,D12*15%,D12&lt;50000,D12*10%)</f>
        <v>3025</v>
      </c>
      <c r="H12" t="str">
        <f t="shared" si="2"/>
        <v>NOT OK</v>
      </c>
      <c r="I12" t="str">
        <f t="shared" si="3"/>
        <v>False</v>
      </c>
      <c r="M12" t="s">
        <v>1660</v>
      </c>
      <c r="N12" s="22">
        <v>0.15</v>
      </c>
    </row>
    <row r="13" spans="1:14">
      <c r="A13" s="4" t="s">
        <v>38</v>
      </c>
      <c r="B13" s="4" t="s">
        <v>39</v>
      </c>
      <c r="C13" s="4" t="s">
        <v>19</v>
      </c>
      <c r="D13" s="4">
        <v>71584</v>
      </c>
      <c r="E13" s="4" t="str">
        <f t="shared" si="0"/>
        <v>Completed</v>
      </c>
      <c r="F13" s="4">
        <f t="shared" si="1"/>
        <v>10737.6</v>
      </c>
      <c r="G13" s="4" cm="1">
        <f t="array" ref="G13">_xlfn.IFS(D13&gt;75000,D13*20%,D13&gt;50000,D13*15%,D13&lt;50000,D13*10%)</f>
        <v>10737.6</v>
      </c>
      <c r="H13" t="str">
        <f t="shared" si="2"/>
        <v>NOT OK</v>
      </c>
      <c r="I13" t="str">
        <f t="shared" si="3"/>
        <v>True</v>
      </c>
      <c r="M13" t="s">
        <v>1655</v>
      </c>
      <c r="N13" s="22">
        <v>0.1</v>
      </c>
    </row>
  </sheetData>
  <mergeCells count="1">
    <mergeCell ref="M9:N9"/>
  </mergeCells>
  <conditionalFormatting sqref="A2:D13">
    <cfRule type="expression" dxfId="3" priority="1">
      <formula>$C2=$E$2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CA98-CC12-41CB-8989-D2FF12A9453E}">
  <dimension ref="A1:AV1001"/>
  <sheetViews>
    <sheetView tabSelected="1" topLeftCell="G1" zoomScale="70" workbookViewId="0">
      <selection activeCell="O2" sqref="O2"/>
    </sheetView>
  </sheetViews>
  <sheetFormatPr defaultRowHeight="14.4"/>
  <cols>
    <col min="1" max="1" width="11.5546875" bestFit="1" customWidth="1"/>
    <col min="2" max="2" width="15.5546875" bestFit="1" customWidth="1"/>
    <col min="3" max="3" width="11.33203125" bestFit="1" customWidth="1"/>
    <col min="4" max="4" width="12.6640625" bestFit="1" customWidth="1"/>
    <col min="5" max="5" width="6.88671875" bestFit="1" customWidth="1"/>
    <col min="6" max="6" width="16.33203125" bestFit="1" customWidth="1"/>
    <col min="7" max="7" width="13.5546875" bestFit="1" customWidth="1"/>
    <col min="8" max="8" width="8.6640625" bestFit="1" customWidth="1"/>
    <col min="9" max="10" width="13" bestFit="1" customWidth="1"/>
    <col min="12" max="12" width="12.6640625" bestFit="1" customWidth="1"/>
    <col min="13" max="13" width="11.109375" bestFit="1" customWidth="1"/>
    <col min="15" max="15" width="9.109375" bestFit="1" customWidth="1"/>
    <col min="16" max="16" width="15.5546875" bestFit="1" customWidth="1"/>
    <col min="17" max="17" width="11.21875" bestFit="1" customWidth="1"/>
    <col min="18" max="18" width="11.109375" bestFit="1" customWidth="1"/>
    <col min="19" max="19" width="6.88671875" bestFit="1" customWidth="1"/>
    <col min="20" max="20" width="16.33203125" bestFit="1" customWidth="1"/>
    <col min="21" max="21" width="13.5546875" bestFit="1" customWidth="1"/>
    <col min="22" max="22" width="8.6640625" customWidth="1"/>
    <col min="23" max="24" width="13" bestFit="1" customWidth="1"/>
    <col min="27" max="27" width="9.109375" bestFit="1" customWidth="1"/>
    <col min="28" max="28" width="15.5546875" bestFit="1" customWidth="1"/>
    <col min="29" max="29" width="11.33203125" bestFit="1" customWidth="1"/>
    <col min="30" max="30" width="12.6640625" bestFit="1" customWidth="1"/>
    <col min="31" max="31" width="6.88671875" bestFit="1" customWidth="1"/>
    <col min="32" max="32" width="16.33203125" bestFit="1" customWidth="1"/>
    <col min="33" max="33" width="13.5546875" bestFit="1" customWidth="1"/>
    <col min="34" max="34" width="8.6640625" bestFit="1" customWidth="1"/>
    <col min="35" max="36" width="13" bestFit="1" customWidth="1"/>
    <col min="39" max="39" width="9.109375" bestFit="1" customWidth="1"/>
    <col min="40" max="40" width="15.5546875" bestFit="1" customWidth="1"/>
    <col min="41" max="41" width="10" bestFit="1" customWidth="1"/>
    <col min="42" max="42" width="10.109375" bestFit="1" customWidth="1"/>
    <col min="43" max="43" width="6.88671875" bestFit="1" customWidth="1"/>
    <col min="44" max="44" width="16.33203125" bestFit="1" customWidth="1"/>
    <col min="45" max="45" width="13.5546875" bestFit="1" customWidth="1"/>
    <col min="46" max="46" width="8.6640625" bestFit="1" customWidth="1"/>
    <col min="47" max="48" width="13" bestFit="1" customWidth="1"/>
  </cols>
  <sheetData>
    <row r="1" spans="1:48">
      <c r="A1" s="24" t="s">
        <v>1662</v>
      </c>
      <c r="B1" s="8" t="s">
        <v>1669</v>
      </c>
      <c r="C1" s="8" t="s">
        <v>1665</v>
      </c>
      <c r="D1" s="8" t="s">
        <v>1664</v>
      </c>
      <c r="E1" s="8" t="s">
        <v>1663</v>
      </c>
      <c r="F1" s="8" t="s">
        <v>1670</v>
      </c>
      <c r="G1" s="8" t="s">
        <v>80</v>
      </c>
      <c r="H1" s="8" t="s">
        <v>1666</v>
      </c>
      <c r="I1" s="8" t="s">
        <v>1667</v>
      </c>
      <c r="J1" s="8" t="s">
        <v>1668</v>
      </c>
      <c r="L1" s="8" t="s">
        <v>1664</v>
      </c>
      <c r="O1" s="24" t="s">
        <v>1662</v>
      </c>
      <c r="P1" s="8" t="s">
        <v>1669</v>
      </c>
      <c r="Q1" s="8" t="s">
        <v>1665</v>
      </c>
      <c r="R1" s="8" t="s">
        <v>1664</v>
      </c>
      <c r="S1" s="8" t="s">
        <v>1663</v>
      </c>
      <c r="T1" s="8" t="s">
        <v>1670</v>
      </c>
      <c r="U1" s="8" t="s">
        <v>80</v>
      </c>
      <c r="V1" s="8" t="s">
        <v>1666</v>
      </c>
      <c r="W1" s="8" t="s">
        <v>1667</v>
      </c>
      <c r="X1" s="8" t="s">
        <v>1668</v>
      </c>
      <c r="AA1" s="24" t="s">
        <v>1662</v>
      </c>
      <c r="AB1" s="8" t="s">
        <v>1669</v>
      </c>
      <c r="AC1" s="8" t="s">
        <v>1665</v>
      </c>
      <c r="AD1" s="8" t="s">
        <v>1664</v>
      </c>
      <c r="AE1" s="8" t="s">
        <v>1663</v>
      </c>
      <c r="AF1" s="8" t="s">
        <v>1670</v>
      </c>
      <c r="AG1" s="8" t="s">
        <v>80</v>
      </c>
      <c r="AH1" s="8" t="s">
        <v>1666</v>
      </c>
      <c r="AI1" s="8" t="s">
        <v>1667</v>
      </c>
      <c r="AJ1" s="8" t="s">
        <v>1668</v>
      </c>
      <c r="AM1" s="24" t="s">
        <v>1662</v>
      </c>
      <c r="AN1" s="8" t="s">
        <v>1669</v>
      </c>
      <c r="AO1" s="8" t="s">
        <v>1665</v>
      </c>
      <c r="AP1" s="8" t="s">
        <v>1664</v>
      </c>
      <c r="AQ1" s="8" t="s">
        <v>1663</v>
      </c>
      <c r="AR1" s="8" t="s">
        <v>1670</v>
      </c>
      <c r="AS1" s="8" t="s">
        <v>80</v>
      </c>
      <c r="AT1" s="8" t="s">
        <v>1666</v>
      </c>
      <c r="AU1" s="8" t="s">
        <v>1667</v>
      </c>
      <c r="AV1" s="8" t="s">
        <v>1668</v>
      </c>
    </row>
    <row r="2" spans="1:48">
      <c r="A2" s="25">
        <v>45143</v>
      </c>
      <c r="B2" t="s">
        <v>1700</v>
      </c>
      <c r="C2" t="s">
        <v>1695</v>
      </c>
      <c r="D2" t="s">
        <v>1696</v>
      </c>
      <c r="E2" t="s">
        <v>1674</v>
      </c>
      <c r="F2" t="s">
        <v>97</v>
      </c>
      <c r="G2" t="s">
        <v>1685</v>
      </c>
      <c r="H2">
        <v>20</v>
      </c>
      <c r="I2">
        <v>4428.59</v>
      </c>
      <c r="J2">
        <v>88571.8</v>
      </c>
      <c r="L2" t="s">
        <v>1696</v>
      </c>
      <c r="M2" t="s">
        <v>1678</v>
      </c>
      <c r="O2" cm="1">
        <f t="array" ref="O2:X6">INDEX(_xlfn._xlws.SORT(_xlfn._xlws.FILTER(A2:J1001,D2:D1001=M2),10,-1),_xlfn.SEQUENCE(5),_xlfn.SEQUENCE(1,10))</f>
        <v>45168</v>
      </c>
      <c r="P2" t="str">
        <v>Ishita</v>
      </c>
      <c r="Q2" t="str">
        <v>Coimbatore</v>
      </c>
      <c r="R2" t="str">
        <v>Tamil Nadu</v>
      </c>
      <c r="S2" t="str">
        <v>South</v>
      </c>
      <c r="T2" t="str">
        <v>Clothing</v>
      </c>
      <c r="U2" t="str">
        <v>Jacket</v>
      </c>
      <c r="V2">
        <v>20</v>
      </c>
      <c r="W2">
        <v>4751.1400000000003</v>
      </c>
      <c r="X2">
        <v>95022.8</v>
      </c>
      <c r="AA2" cm="1">
        <f t="array" ref="AA2:AJ1001">_xlfn._xlws.SORT(A2:J1001,5,1)</f>
        <v>44943</v>
      </c>
      <c r="AB2" t="str">
        <v>Aryan</v>
      </c>
      <c r="AC2" t="str">
        <v>Dwarka</v>
      </c>
      <c r="AD2" t="str">
        <v>Delhi</v>
      </c>
      <c r="AE2" t="str">
        <v>North</v>
      </c>
      <c r="AF2" t="str">
        <v>Clothing</v>
      </c>
      <c r="AG2" t="str">
        <v>Jacket</v>
      </c>
      <c r="AH2">
        <v>15</v>
      </c>
      <c r="AI2">
        <v>4060.63</v>
      </c>
      <c r="AJ2">
        <v>60909.45</v>
      </c>
      <c r="AM2" cm="1">
        <f t="array" ref="AM2:AV79">_xlfn._xlws.FILTER(A2:J1001,C2:C1001=C73)</f>
        <v>45070</v>
      </c>
      <c r="AN2" t="str">
        <v>Aryan</v>
      </c>
      <c r="AO2" t="str">
        <v>Bengaluru</v>
      </c>
      <c r="AP2" t="str">
        <v>Karnataka</v>
      </c>
      <c r="AQ2" t="str">
        <v>South</v>
      </c>
      <c r="AR2" t="str">
        <v>Clothing</v>
      </c>
      <c r="AS2" t="str">
        <v>Shirt</v>
      </c>
      <c r="AT2">
        <v>17</v>
      </c>
      <c r="AU2">
        <v>3381.75</v>
      </c>
      <c r="AV2">
        <v>57489.75</v>
      </c>
    </row>
    <row r="3" spans="1:48">
      <c r="A3" s="25">
        <v>44958</v>
      </c>
      <c r="B3" t="s">
        <v>1686</v>
      </c>
      <c r="C3" t="s">
        <v>1695</v>
      </c>
      <c r="D3" t="s">
        <v>1696</v>
      </c>
      <c r="E3" t="s">
        <v>1674</v>
      </c>
      <c r="F3" t="s">
        <v>97</v>
      </c>
      <c r="G3" t="s">
        <v>1685</v>
      </c>
      <c r="H3">
        <v>17</v>
      </c>
      <c r="I3">
        <v>4247.5600000000004</v>
      </c>
      <c r="J3">
        <v>72208.52</v>
      </c>
      <c r="L3" t="s">
        <v>1683</v>
      </c>
      <c r="O3">
        <v>45206</v>
      </c>
      <c r="P3" t="str">
        <v>Nishant</v>
      </c>
      <c r="Q3" t="str">
        <v>Chennai</v>
      </c>
      <c r="R3" t="str">
        <v>Tamil Nadu</v>
      </c>
      <c r="S3" t="str">
        <v>South</v>
      </c>
      <c r="T3" t="str">
        <v>Electronics</v>
      </c>
      <c r="U3" t="str">
        <v>Tablet</v>
      </c>
      <c r="V3">
        <v>19</v>
      </c>
      <c r="W3">
        <v>4996.28</v>
      </c>
      <c r="X3">
        <v>94929.32</v>
      </c>
      <c r="AA3">
        <v>44947</v>
      </c>
      <c r="AB3" t="str">
        <v>Kabir</v>
      </c>
      <c r="AC3" t="str">
        <v>Dwarka</v>
      </c>
      <c r="AD3" t="str">
        <v>Delhi</v>
      </c>
      <c r="AE3" t="str">
        <v>North</v>
      </c>
      <c r="AF3" t="str">
        <v>Clothing</v>
      </c>
      <c r="AG3" t="str">
        <v>Pants</v>
      </c>
      <c r="AH3">
        <v>15</v>
      </c>
      <c r="AI3">
        <v>3765.36</v>
      </c>
      <c r="AJ3">
        <v>56480.4</v>
      </c>
      <c r="AM3">
        <v>45259</v>
      </c>
      <c r="AN3" t="str">
        <v>Kabir</v>
      </c>
      <c r="AO3" t="str">
        <v>Bengaluru</v>
      </c>
      <c r="AP3" t="str">
        <v>Karnataka</v>
      </c>
      <c r="AQ3" t="str">
        <v>South</v>
      </c>
      <c r="AR3" t="str">
        <v>Clothing</v>
      </c>
      <c r="AS3" t="str">
        <v>Dress</v>
      </c>
      <c r="AT3">
        <v>10</v>
      </c>
      <c r="AU3">
        <v>3803.22</v>
      </c>
      <c r="AV3">
        <v>38032.199999999997</v>
      </c>
    </row>
    <row r="4" spans="1:48">
      <c r="A4" s="25">
        <v>44940</v>
      </c>
      <c r="B4" t="s">
        <v>1698</v>
      </c>
      <c r="C4" t="s">
        <v>1695</v>
      </c>
      <c r="D4" t="s">
        <v>1696</v>
      </c>
      <c r="E4" t="s">
        <v>1674</v>
      </c>
      <c r="F4" t="s">
        <v>97</v>
      </c>
      <c r="G4" t="s">
        <v>1685</v>
      </c>
      <c r="H4">
        <v>20</v>
      </c>
      <c r="I4">
        <v>2974.89</v>
      </c>
      <c r="J4">
        <v>59497.8</v>
      </c>
      <c r="L4" t="s">
        <v>1678</v>
      </c>
      <c r="O4">
        <v>45062</v>
      </c>
      <c r="P4" t="str">
        <v>Aryan</v>
      </c>
      <c r="Q4" t="str">
        <v>Coimbatore</v>
      </c>
      <c r="R4" t="str">
        <v>Tamil Nadu</v>
      </c>
      <c r="S4" t="str">
        <v>South</v>
      </c>
      <c r="T4" t="str">
        <v>Furniture</v>
      </c>
      <c r="U4" t="str">
        <v>Table</v>
      </c>
      <c r="V4">
        <v>18</v>
      </c>
      <c r="W4">
        <v>4937.99</v>
      </c>
      <c r="X4">
        <v>88883.82</v>
      </c>
      <c r="AA4">
        <v>45121</v>
      </c>
      <c r="AB4" t="str">
        <v>Ishita</v>
      </c>
      <c r="AC4" t="str">
        <v>Dwarka</v>
      </c>
      <c r="AD4" t="str">
        <v>Delhi</v>
      </c>
      <c r="AE4" t="str">
        <v>North</v>
      </c>
      <c r="AF4" t="str">
        <v>Clothing</v>
      </c>
      <c r="AG4" t="str">
        <v>Pants</v>
      </c>
      <c r="AH4">
        <v>8</v>
      </c>
      <c r="AI4">
        <v>4930.67</v>
      </c>
      <c r="AJ4">
        <v>39445.360000000001</v>
      </c>
      <c r="AM4">
        <v>44976</v>
      </c>
      <c r="AN4" t="str">
        <v>Vihaan</v>
      </c>
      <c r="AO4" t="str">
        <v>Bengaluru</v>
      </c>
      <c r="AP4" t="str">
        <v>Karnataka</v>
      </c>
      <c r="AQ4" t="str">
        <v>South</v>
      </c>
      <c r="AR4" t="str">
        <v>Clothing</v>
      </c>
      <c r="AS4" t="str">
        <v>Dress</v>
      </c>
      <c r="AT4">
        <v>15</v>
      </c>
      <c r="AU4">
        <v>2093.0300000000002</v>
      </c>
      <c r="AV4">
        <v>31395.45</v>
      </c>
    </row>
    <row r="5" spans="1:48">
      <c r="A5" s="25">
        <v>44996</v>
      </c>
      <c r="B5" t="s">
        <v>1700</v>
      </c>
      <c r="C5" t="s">
        <v>1695</v>
      </c>
      <c r="D5" t="s">
        <v>1696</v>
      </c>
      <c r="E5" t="s">
        <v>1674</v>
      </c>
      <c r="F5" t="s">
        <v>97</v>
      </c>
      <c r="G5" t="s">
        <v>1685</v>
      </c>
      <c r="H5">
        <v>20</v>
      </c>
      <c r="I5">
        <v>1690.56</v>
      </c>
      <c r="J5">
        <v>33811.199999999997</v>
      </c>
      <c r="L5" t="s">
        <v>1702</v>
      </c>
      <c r="O5">
        <v>44960</v>
      </c>
      <c r="P5" t="str">
        <v>Aryan</v>
      </c>
      <c r="Q5" t="str">
        <v>Madurai</v>
      </c>
      <c r="R5" t="str">
        <v>Tamil Nadu</v>
      </c>
      <c r="S5" t="str">
        <v>South</v>
      </c>
      <c r="T5" t="str">
        <v>Electronics</v>
      </c>
      <c r="U5" t="str">
        <v>Headphones</v>
      </c>
      <c r="V5">
        <v>20</v>
      </c>
      <c r="W5">
        <v>4397.46</v>
      </c>
      <c r="X5">
        <v>87949.2</v>
      </c>
      <c r="AA5">
        <v>45062</v>
      </c>
      <c r="AB5" t="str">
        <v>Nishant</v>
      </c>
      <c r="AC5" t="str">
        <v>Dwarka</v>
      </c>
      <c r="AD5" t="str">
        <v>Delhi</v>
      </c>
      <c r="AE5" t="str">
        <v>North</v>
      </c>
      <c r="AF5" t="str">
        <v>Clothing</v>
      </c>
      <c r="AG5" t="str">
        <v>Dress</v>
      </c>
      <c r="AH5">
        <v>11</v>
      </c>
      <c r="AI5">
        <v>2212.9</v>
      </c>
      <c r="AJ5">
        <v>24341.9</v>
      </c>
      <c r="AM5">
        <v>45157</v>
      </c>
      <c r="AN5" t="str">
        <v>Aryan</v>
      </c>
      <c r="AO5" t="str">
        <v>Bengaluru</v>
      </c>
      <c r="AP5" t="str">
        <v>Karnataka</v>
      </c>
      <c r="AQ5" t="str">
        <v>South</v>
      </c>
      <c r="AR5" t="str">
        <v>Clothing</v>
      </c>
      <c r="AS5" t="str">
        <v>Jacket</v>
      </c>
      <c r="AT5">
        <v>14</v>
      </c>
      <c r="AU5">
        <v>1729.16</v>
      </c>
      <c r="AV5">
        <v>24208.240000000002</v>
      </c>
    </row>
    <row r="6" spans="1:48">
      <c r="A6" s="25">
        <v>45283</v>
      </c>
      <c r="B6" t="s">
        <v>1671</v>
      </c>
      <c r="C6" t="s">
        <v>1695</v>
      </c>
      <c r="D6" t="s">
        <v>1696</v>
      </c>
      <c r="E6" t="s">
        <v>1674</v>
      </c>
      <c r="F6" t="s">
        <v>97</v>
      </c>
      <c r="G6" t="s">
        <v>1697</v>
      </c>
      <c r="H6">
        <v>19</v>
      </c>
      <c r="I6">
        <v>1317.72</v>
      </c>
      <c r="J6">
        <v>25036.68</v>
      </c>
      <c r="L6" t="s">
        <v>1673</v>
      </c>
      <c r="O6">
        <v>45077</v>
      </c>
      <c r="P6" t="str">
        <v>Vihaan</v>
      </c>
      <c r="Q6" t="str">
        <v>Chennai</v>
      </c>
      <c r="R6" t="str">
        <v>Tamil Nadu</v>
      </c>
      <c r="S6" t="str">
        <v>South</v>
      </c>
      <c r="T6" t="str">
        <v>Groceries</v>
      </c>
      <c r="U6" t="str">
        <v>Sugar</v>
      </c>
      <c r="V6">
        <v>20</v>
      </c>
      <c r="W6">
        <v>4072.4</v>
      </c>
      <c r="X6">
        <v>81448</v>
      </c>
      <c r="AA6">
        <v>45258</v>
      </c>
      <c r="AB6" t="str">
        <v>Aarav</v>
      </c>
      <c r="AC6" t="str">
        <v>Dwarka</v>
      </c>
      <c r="AD6" t="str">
        <v>Delhi</v>
      </c>
      <c r="AE6" t="str">
        <v>North</v>
      </c>
      <c r="AF6" t="str">
        <v>Clothing</v>
      </c>
      <c r="AG6" t="str">
        <v>Shirt</v>
      </c>
      <c r="AH6">
        <v>9</v>
      </c>
      <c r="AI6">
        <v>2634.14</v>
      </c>
      <c r="AJ6">
        <v>23707.26</v>
      </c>
      <c r="AM6">
        <v>45086</v>
      </c>
      <c r="AN6" t="str">
        <v>Riya</v>
      </c>
      <c r="AO6" t="str">
        <v>Bengaluru</v>
      </c>
      <c r="AP6" t="str">
        <v>Karnataka</v>
      </c>
      <c r="AQ6" t="str">
        <v>South</v>
      </c>
      <c r="AR6" t="str">
        <v>Clothing</v>
      </c>
      <c r="AS6" t="str">
        <v>Dress</v>
      </c>
      <c r="AT6">
        <v>6</v>
      </c>
      <c r="AU6">
        <v>3931.61</v>
      </c>
      <c r="AV6">
        <v>23589.66</v>
      </c>
    </row>
    <row r="7" spans="1:48">
      <c r="A7" s="25">
        <v>44999</v>
      </c>
      <c r="B7" t="s">
        <v>1686</v>
      </c>
      <c r="C7" t="s">
        <v>1695</v>
      </c>
      <c r="D7" t="s">
        <v>1696</v>
      </c>
      <c r="E7" t="s">
        <v>1674</v>
      </c>
      <c r="F7" t="s">
        <v>97</v>
      </c>
      <c r="G7" t="s">
        <v>1685</v>
      </c>
      <c r="H7">
        <v>5</v>
      </c>
      <c r="I7">
        <v>4686.67</v>
      </c>
      <c r="J7">
        <v>23433.35</v>
      </c>
      <c r="AA7">
        <v>45258</v>
      </c>
      <c r="AB7" t="str">
        <v>Aarav</v>
      </c>
      <c r="AC7" t="str">
        <v>Dwarka</v>
      </c>
      <c r="AD7" t="str">
        <v>Delhi</v>
      </c>
      <c r="AE7" t="str">
        <v>North</v>
      </c>
      <c r="AF7" t="str">
        <v>Clothing</v>
      </c>
      <c r="AG7" t="str">
        <v>Shirt</v>
      </c>
      <c r="AH7">
        <v>12</v>
      </c>
      <c r="AI7">
        <v>1958.77</v>
      </c>
      <c r="AJ7">
        <v>23505.24</v>
      </c>
      <c r="AM7">
        <v>45227</v>
      </c>
      <c r="AN7" t="str">
        <v>Kabir</v>
      </c>
      <c r="AO7" t="str">
        <v>Bengaluru</v>
      </c>
      <c r="AP7" t="str">
        <v>Karnataka</v>
      </c>
      <c r="AQ7" t="str">
        <v>South</v>
      </c>
      <c r="AR7" t="str">
        <v>Clothing</v>
      </c>
      <c r="AS7" t="str">
        <v>Pants</v>
      </c>
      <c r="AT7">
        <v>11</v>
      </c>
      <c r="AU7">
        <v>1817.43</v>
      </c>
      <c r="AV7">
        <v>19991.73</v>
      </c>
    </row>
    <row r="8" spans="1:48">
      <c r="A8" s="25">
        <v>45249</v>
      </c>
      <c r="B8" t="s">
        <v>1671</v>
      </c>
      <c r="C8" t="s">
        <v>1695</v>
      </c>
      <c r="D8" t="s">
        <v>1696</v>
      </c>
      <c r="E8" t="s">
        <v>1674</v>
      </c>
      <c r="F8" t="s">
        <v>97</v>
      </c>
      <c r="G8" t="s">
        <v>1711</v>
      </c>
      <c r="H8">
        <v>13</v>
      </c>
      <c r="I8">
        <v>1762.69</v>
      </c>
      <c r="J8">
        <v>22914.97</v>
      </c>
      <c r="AA8">
        <v>45076</v>
      </c>
      <c r="AB8" t="str">
        <v>Ishita</v>
      </c>
      <c r="AC8" t="str">
        <v>Dwarka</v>
      </c>
      <c r="AD8" t="str">
        <v>Delhi</v>
      </c>
      <c r="AE8" t="str">
        <v>North</v>
      </c>
      <c r="AF8" t="str">
        <v>Clothing</v>
      </c>
      <c r="AG8" t="str">
        <v>Shirt</v>
      </c>
      <c r="AH8">
        <v>5</v>
      </c>
      <c r="AI8">
        <v>3395.71</v>
      </c>
      <c r="AJ8">
        <v>16978.55</v>
      </c>
      <c r="AM8">
        <v>45188</v>
      </c>
      <c r="AN8" t="str">
        <v>Aarav</v>
      </c>
      <c r="AO8" t="str">
        <v>Bengaluru</v>
      </c>
      <c r="AP8" t="str">
        <v>Karnataka</v>
      </c>
      <c r="AQ8" t="str">
        <v>South</v>
      </c>
      <c r="AR8" t="str">
        <v>Clothing</v>
      </c>
      <c r="AS8" t="str">
        <v>Pants</v>
      </c>
      <c r="AT8">
        <v>15</v>
      </c>
      <c r="AU8">
        <v>1299.55</v>
      </c>
      <c r="AV8">
        <v>19493.25</v>
      </c>
    </row>
    <row r="9" spans="1:48">
      <c r="A9" s="25">
        <v>45115</v>
      </c>
      <c r="B9" t="s">
        <v>1694</v>
      </c>
      <c r="C9" t="s">
        <v>1695</v>
      </c>
      <c r="D9" t="s">
        <v>1696</v>
      </c>
      <c r="E9" t="s">
        <v>1674</v>
      </c>
      <c r="F9" t="s">
        <v>97</v>
      </c>
      <c r="G9" t="s">
        <v>1697</v>
      </c>
      <c r="H9">
        <v>12</v>
      </c>
      <c r="I9">
        <v>1804.27</v>
      </c>
      <c r="J9">
        <v>21651.24</v>
      </c>
      <c r="AA9">
        <v>45243</v>
      </c>
      <c r="AB9" t="str">
        <v>Riya</v>
      </c>
      <c r="AC9" t="str">
        <v>Dwarka</v>
      </c>
      <c r="AD9" t="str">
        <v>Delhi</v>
      </c>
      <c r="AE9" t="str">
        <v>North</v>
      </c>
      <c r="AF9" t="str">
        <v>Clothing</v>
      </c>
      <c r="AG9" t="str">
        <v>Dress</v>
      </c>
      <c r="AH9">
        <v>7</v>
      </c>
      <c r="AI9">
        <v>1628.68</v>
      </c>
      <c r="AJ9">
        <v>11400.76</v>
      </c>
      <c r="AM9">
        <v>44932</v>
      </c>
      <c r="AN9" t="str">
        <v>Riya</v>
      </c>
      <c r="AO9" t="str">
        <v>Bengaluru</v>
      </c>
      <c r="AP9" t="str">
        <v>Karnataka</v>
      </c>
      <c r="AQ9" t="str">
        <v>South</v>
      </c>
      <c r="AR9" t="str">
        <v>Clothing</v>
      </c>
      <c r="AS9" t="str">
        <v>Shirt</v>
      </c>
      <c r="AT9">
        <v>17</v>
      </c>
      <c r="AU9">
        <v>828.26</v>
      </c>
      <c r="AV9">
        <v>14080.42</v>
      </c>
    </row>
    <row r="10" spans="1:48">
      <c r="A10" s="25">
        <v>44952</v>
      </c>
      <c r="B10" t="s">
        <v>1698</v>
      </c>
      <c r="C10" t="s">
        <v>1695</v>
      </c>
      <c r="D10" t="s">
        <v>1696</v>
      </c>
      <c r="E10" t="s">
        <v>1674</v>
      </c>
      <c r="F10" t="s">
        <v>97</v>
      </c>
      <c r="G10" t="s">
        <v>1699</v>
      </c>
      <c r="H10">
        <v>20</v>
      </c>
      <c r="I10">
        <v>1027.53</v>
      </c>
      <c r="J10">
        <v>20550.599999999999</v>
      </c>
      <c r="AA10">
        <v>45145</v>
      </c>
      <c r="AB10" t="str">
        <v>Riya</v>
      </c>
      <c r="AC10" t="str">
        <v>Dwarka</v>
      </c>
      <c r="AD10" t="str">
        <v>Delhi</v>
      </c>
      <c r="AE10" t="str">
        <v>North</v>
      </c>
      <c r="AF10" t="str">
        <v>Clothing</v>
      </c>
      <c r="AG10" t="str">
        <v>Pants</v>
      </c>
      <c r="AH10">
        <v>3</v>
      </c>
      <c r="AI10">
        <v>2488.34</v>
      </c>
      <c r="AJ10">
        <v>7465.02</v>
      </c>
      <c r="AM10">
        <v>45000</v>
      </c>
      <c r="AN10" t="str">
        <v>Ishita</v>
      </c>
      <c r="AO10" t="str">
        <v>Bengaluru</v>
      </c>
      <c r="AP10" t="str">
        <v>Karnataka</v>
      </c>
      <c r="AQ10" t="str">
        <v>South</v>
      </c>
      <c r="AR10" t="str">
        <v>Clothing</v>
      </c>
      <c r="AS10" t="str">
        <v>Shirt</v>
      </c>
      <c r="AT10">
        <v>4</v>
      </c>
      <c r="AU10">
        <v>2563.65</v>
      </c>
      <c r="AV10">
        <v>10254.6</v>
      </c>
    </row>
    <row r="11" spans="1:48">
      <c r="A11" s="25">
        <v>45277</v>
      </c>
      <c r="B11" t="s">
        <v>1676</v>
      </c>
      <c r="C11" t="s">
        <v>1695</v>
      </c>
      <c r="D11" t="s">
        <v>1696</v>
      </c>
      <c r="E11" t="s">
        <v>1674</v>
      </c>
      <c r="F11" t="s">
        <v>97</v>
      </c>
      <c r="G11" t="s">
        <v>1697</v>
      </c>
      <c r="H11">
        <v>4</v>
      </c>
      <c r="I11">
        <v>4412.41</v>
      </c>
      <c r="J11">
        <v>17649.64</v>
      </c>
      <c r="AA11">
        <v>44993</v>
      </c>
      <c r="AB11" t="str">
        <v>Nishant</v>
      </c>
      <c r="AC11" t="str">
        <v>Dwarka</v>
      </c>
      <c r="AD11" t="str">
        <v>Delhi</v>
      </c>
      <c r="AE11" t="str">
        <v>North</v>
      </c>
      <c r="AF11" t="str">
        <v>Clothing</v>
      </c>
      <c r="AG11" t="str">
        <v>Dress</v>
      </c>
      <c r="AH11">
        <v>14</v>
      </c>
      <c r="AI11">
        <v>271.27</v>
      </c>
      <c r="AJ11">
        <v>3797.78</v>
      </c>
      <c r="AM11">
        <v>44963</v>
      </c>
      <c r="AN11" t="str">
        <v>Riya</v>
      </c>
      <c r="AO11" t="str">
        <v>Bengaluru</v>
      </c>
      <c r="AP11" t="str">
        <v>Karnataka</v>
      </c>
      <c r="AQ11" t="str">
        <v>South</v>
      </c>
      <c r="AR11" t="str">
        <v>Clothing</v>
      </c>
      <c r="AS11" t="str">
        <v>Shirt</v>
      </c>
      <c r="AT11">
        <v>3</v>
      </c>
      <c r="AU11">
        <v>2263.4699999999998</v>
      </c>
      <c r="AV11">
        <v>6790.41</v>
      </c>
    </row>
    <row r="12" spans="1:48">
      <c r="A12" s="25">
        <v>45021</v>
      </c>
      <c r="B12" t="s">
        <v>1671</v>
      </c>
      <c r="C12" t="s">
        <v>1695</v>
      </c>
      <c r="D12" t="s">
        <v>1696</v>
      </c>
      <c r="E12" t="s">
        <v>1674</v>
      </c>
      <c r="F12" t="s">
        <v>97</v>
      </c>
      <c r="G12" t="s">
        <v>1697</v>
      </c>
      <c r="H12">
        <v>4</v>
      </c>
      <c r="I12">
        <v>3300.36</v>
      </c>
      <c r="J12">
        <v>13201.44</v>
      </c>
      <c r="AA12">
        <v>45257</v>
      </c>
      <c r="AB12" t="str">
        <v>Kabir</v>
      </c>
      <c r="AC12" t="str">
        <v>Dwarka</v>
      </c>
      <c r="AD12" t="str">
        <v>Delhi</v>
      </c>
      <c r="AE12" t="str">
        <v>North</v>
      </c>
      <c r="AF12" t="str">
        <v>Clothing</v>
      </c>
      <c r="AG12" t="str">
        <v>Pants</v>
      </c>
      <c r="AH12">
        <v>20</v>
      </c>
      <c r="AI12">
        <v>138.6</v>
      </c>
      <c r="AJ12">
        <v>2772</v>
      </c>
      <c r="AM12">
        <v>45005</v>
      </c>
      <c r="AN12" t="str">
        <v>Kabir</v>
      </c>
      <c r="AO12" t="str">
        <v>Bengaluru</v>
      </c>
      <c r="AP12" t="str">
        <v>Karnataka</v>
      </c>
      <c r="AQ12" t="str">
        <v>South</v>
      </c>
      <c r="AR12" t="str">
        <v>Clothing</v>
      </c>
      <c r="AS12" t="str">
        <v>Dress</v>
      </c>
      <c r="AT12">
        <v>20</v>
      </c>
      <c r="AU12">
        <v>239.35</v>
      </c>
      <c r="AV12">
        <v>4787</v>
      </c>
    </row>
    <row r="13" spans="1:48">
      <c r="A13" s="25">
        <v>45030</v>
      </c>
      <c r="B13" t="s">
        <v>1692</v>
      </c>
      <c r="C13" t="s">
        <v>1695</v>
      </c>
      <c r="D13" t="s">
        <v>1696</v>
      </c>
      <c r="E13" t="s">
        <v>1674</v>
      </c>
      <c r="F13" t="s">
        <v>97</v>
      </c>
      <c r="G13" t="s">
        <v>1685</v>
      </c>
      <c r="H13">
        <v>4</v>
      </c>
      <c r="I13">
        <v>1906.89</v>
      </c>
      <c r="J13">
        <v>7627.56</v>
      </c>
      <c r="AA13">
        <v>45148</v>
      </c>
      <c r="AB13" t="str">
        <v>Ishita</v>
      </c>
      <c r="AC13" t="str">
        <v>Dwarka</v>
      </c>
      <c r="AD13" t="str">
        <v>Delhi</v>
      </c>
      <c r="AE13" t="str">
        <v>North</v>
      </c>
      <c r="AF13" t="str">
        <v>Clothing</v>
      </c>
      <c r="AG13" t="str">
        <v>Dress</v>
      </c>
      <c r="AH13">
        <v>17</v>
      </c>
      <c r="AI13">
        <v>102.62</v>
      </c>
      <c r="AJ13">
        <v>1744.54</v>
      </c>
      <c r="AM13">
        <v>45007</v>
      </c>
      <c r="AN13" t="str">
        <v>Aditi</v>
      </c>
      <c r="AO13" t="str">
        <v>Bengaluru</v>
      </c>
      <c r="AP13" t="str">
        <v>Karnataka</v>
      </c>
      <c r="AQ13" t="str">
        <v>South</v>
      </c>
      <c r="AR13" t="str">
        <v>Clothing</v>
      </c>
      <c r="AS13" t="str">
        <v>Dress</v>
      </c>
      <c r="AT13">
        <v>15</v>
      </c>
      <c r="AU13">
        <v>211.9</v>
      </c>
      <c r="AV13">
        <v>3178.5</v>
      </c>
    </row>
    <row r="14" spans="1:48">
      <c r="A14" s="25">
        <v>45283</v>
      </c>
      <c r="B14" t="s">
        <v>1694</v>
      </c>
      <c r="C14" t="s">
        <v>1695</v>
      </c>
      <c r="D14" t="s">
        <v>1696</v>
      </c>
      <c r="E14" t="s">
        <v>1674</v>
      </c>
      <c r="F14" t="s">
        <v>97</v>
      </c>
      <c r="G14" t="s">
        <v>1685</v>
      </c>
      <c r="H14">
        <v>5</v>
      </c>
      <c r="I14">
        <v>967.6</v>
      </c>
      <c r="J14">
        <v>4838</v>
      </c>
      <c r="AA14">
        <v>45211</v>
      </c>
      <c r="AB14" t="str">
        <v>Meera</v>
      </c>
      <c r="AC14" t="str">
        <v>Dwarka</v>
      </c>
      <c r="AD14" t="str">
        <v>Delhi</v>
      </c>
      <c r="AE14" t="str">
        <v>North</v>
      </c>
      <c r="AF14" t="str">
        <v>Electronics</v>
      </c>
      <c r="AG14" t="str">
        <v>Tablet</v>
      </c>
      <c r="AH14">
        <v>20</v>
      </c>
      <c r="AI14">
        <v>4049.4</v>
      </c>
      <c r="AJ14">
        <v>80988</v>
      </c>
      <c r="AM14">
        <v>45190</v>
      </c>
      <c r="AN14" t="str">
        <v>Aryan</v>
      </c>
      <c r="AO14" t="str">
        <v>Bengaluru</v>
      </c>
      <c r="AP14" t="str">
        <v>Karnataka</v>
      </c>
      <c r="AQ14" t="str">
        <v>South</v>
      </c>
      <c r="AR14" t="str">
        <v>Clothing</v>
      </c>
      <c r="AS14" t="str">
        <v>Dress</v>
      </c>
      <c r="AT14">
        <v>6</v>
      </c>
      <c r="AU14">
        <v>470.36</v>
      </c>
      <c r="AV14">
        <v>2822.16</v>
      </c>
    </row>
    <row r="15" spans="1:48">
      <c r="A15" s="25">
        <v>45262</v>
      </c>
      <c r="B15" t="s">
        <v>1698</v>
      </c>
      <c r="C15" t="s">
        <v>1695</v>
      </c>
      <c r="D15" t="s">
        <v>1696</v>
      </c>
      <c r="E15" t="s">
        <v>1674</v>
      </c>
      <c r="F15" t="s">
        <v>97</v>
      </c>
      <c r="G15" t="s">
        <v>1685</v>
      </c>
      <c r="H15">
        <v>14</v>
      </c>
      <c r="I15">
        <v>148.43</v>
      </c>
      <c r="J15">
        <v>2078.02</v>
      </c>
      <c r="AA15">
        <v>45090</v>
      </c>
      <c r="AB15" t="str">
        <v>Kabir</v>
      </c>
      <c r="AC15" t="str">
        <v>Dwarka</v>
      </c>
      <c r="AD15" t="str">
        <v>Delhi</v>
      </c>
      <c r="AE15" t="str">
        <v>North</v>
      </c>
      <c r="AF15" t="str">
        <v>Electronics</v>
      </c>
      <c r="AG15" t="str">
        <v>Laptop</v>
      </c>
      <c r="AH15">
        <v>15</v>
      </c>
      <c r="AI15">
        <v>4554.78</v>
      </c>
      <c r="AJ15">
        <v>68321.7</v>
      </c>
      <c r="AM15">
        <v>45281</v>
      </c>
      <c r="AN15" t="str">
        <v>Riya</v>
      </c>
      <c r="AO15" t="str">
        <v>Bengaluru</v>
      </c>
      <c r="AP15" t="str">
        <v>Karnataka</v>
      </c>
      <c r="AQ15" t="str">
        <v>South</v>
      </c>
      <c r="AR15" t="str">
        <v>Clothing</v>
      </c>
      <c r="AS15" t="str">
        <v>Shirt</v>
      </c>
      <c r="AT15">
        <v>2</v>
      </c>
      <c r="AU15">
        <v>339.56</v>
      </c>
      <c r="AV15">
        <v>679.12</v>
      </c>
    </row>
    <row r="16" spans="1:48">
      <c r="A16" s="25">
        <v>44972</v>
      </c>
      <c r="B16" t="s">
        <v>1676</v>
      </c>
      <c r="C16" t="s">
        <v>1695</v>
      </c>
      <c r="D16" t="s">
        <v>1696</v>
      </c>
      <c r="E16" t="s">
        <v>1674</v>
      </c>
      <c r="F16" t="s">
        <v>89</v>
      </c>
      <c r="G16" t="s">
        <v>1106</v>
      </c>
      <c r="H16">
        <v>19</v>
      </c>
      <c r="I16">
        <v>4896.3100000000004</v>
      </c>
      <c r="J16">
        <v>93029.89</v>
      </c>
      <c r="AA16">
        <v>45223</v>
      </c>
      <c r="AB16" t="str">
        <v>Aarav</v>
      </c>
      <c r="AC16" t="str">
        <v>Dwarka</v>
      </c>
      <c r="AD16" t="str">
        <v>Delhi</v>
      </c>
      <c r="AE16" t="str">
        <v>North</v>
      </c>
      <c r="AF16" t="str">
        <v>Electronics</v>
      </c>
      <c r="AG16" t="str">
        <v>Smartphone</v>
      </c>
      <c r="AH16">
        <v>16</v>
      </c>
      <c r="AI16">
        <v>3337.15</v>
      </c>
      <c r="AJ16">
        <v>53394.400000000001</v>
      </c>
      <c r="AM16">
        <v>45094</v>
      </c>
      <c r="AN16" t="str">
        <v>Aarav</v>
      </c>
      <c r="AO16" t="str">
        <v>Bengaluru</v>
      </c>
      <c r="AP16" t="str">
        <v>Karnataka</v>
      </c>
      <c r="AQ16" t="str">
        <v>South</v>
      </c>
      <c r="AR16" t="str">
        <v>Electronics</v>
      </c>
      <c r="AS16" t="str">
        <v>Smartphone</v>
      </c>
      <c r="AT16">
        <v>19</v>
      </c>
      <c r="AU16">
        <v>2750.97</v>
      </c>
      <c r="AV16">
        <v>52268.43</v>
      </c>
    </row>
    <row r="17" spans="1:48">
      <c r="A17" s="25">
        <v>45091</v>
      </c>
      <c r="B17" t="s">
        <v>1676</v>
      </c>
      <c r="C17" t="s">
        <v>1695</v>
      </c>
      <c r="D17" t="s">
        <v>1696</v>
      </c>
      <c r="E17" t="s">
        <v>1674</v>
      </c>
      <c r="F17" t="s">
        <v>89</v>
      </c>
      <c r="G17" t="s">
        <v>1106</v>
      </c>
      <c r="H17">
        <v>15</v>
      </c>
      <c r="I17">
        <v>4180.6099999999997</v>
      </c>
      <c r="J17">
        <v>62709.15</v>
      </c>
      <c r="AA17">
        <v>45004</v>
      </c>
      <c r="AB17" t="str">
        <v>Ishita</v>
      </c>
      <c r="AC17" t="str">
        <v>Dwarka</v>
      </c>
      <c r="AD17" t="str">
        <v>Delhi</v>
      </c>
      <c r="AE17" t="str">
        <v>North</v>
      </c>
      <c r="AF17" t="str">
        <v>Electronics</v>
      </c>
      <c r="AG17" t="str">
        <v>Headphones</v>
      </c>
      <c r="AH17">
        <v>19</v>
      </c>
      <c r="AI17">
        <v>2006.79</v>
      </c>
      <c r="AJ17">
        <v>38129.01</v>
      </c>
      <c r="AM17">
        <v>44992</v>
      </c>
      <c r="AN17" t="str">
        <v>Ishita</v>
      </c>
      <c r="AO17" t="str">
        <v>Bengaluru</v>
      </c>
      <c r="AP17" t="str">
        <v>Karnataka</v>
      </c>
      <c r="AQ17" t="str">
        <v>South</v>
      </c>
      <c r="AR17" t="str">
        <v>Electronics</v>
      </c>
      <c r="AS17" t="str">
        <v>Smartphone</v>
      </c>
      <c r="AT17">
        <v>17</v>
      </c>
      <c r="AU17">
        <v>2460.73</v>
      </c>
      <c r="AV17">
        <v>41832.410000000003</v>
      </c>
    </row>
    <row r="18" spans="1:48">
      <c r="A18" s="25">
        <v>44956</v>
      </c>
      <c r="B18" t="s">
        <v>1698</v>
      </c>
      <c r="C18" t="s">
        <v>1695</v>
      </c>
      <c r="D18" t="s">
        <v>1696</v>
      </c>
      <c r="E18" t="s">
        <v>1674</v>
      </c>
      <c r="F18" t="s">
        <v>89</v>
      </c>
      <c r="G18" t="s">
        <v>1713</v>
      </c>
      <c r="H18">
        <v>18</v>
      </c>
      <c r="I18">
        <v>3238.98</v>
      </c>
      <c r="J18">
        <v>58301.64</v>
      </c>
      <c r="AA18">
        <v>44977</v>
      </c>
      <c r="AB18" t="str">
        <v>Vihaan</v>
      </c>
      <c r="AC18" t="str">
        <v>Dwarka</v>
      </c>
      <c r="AD18" t="str">
        <v>Delhi</v>
      </c>
      <c r="AE18" t="str">
        <v>North</v>
      </c>
      <c r="AF18" t="str">
        <v>Electronics</v>
      </c>
      <c r="AG18" t="str">
        <v>Headphones</v>
      </c>
      <c r="AH18">
        <v>10</v>
      </c>
      <c r="AI18">
        <v>3633.26</v>
      </c>
      <c r="AJ18">
        <v>36332.6</v>
      </c>
      <c r="AM18">
        <v>45065</v>
      </c>
      <c r="AN18" t="str">
        <v>Ishita</v>
      </c>
      <c r="AO18" t="str">
        <v>Bengaluru</v>
      </c>
      <c r="AP18" t="str">
        <v>Karnataka</v>
      </c>
      <c r="AQ18" t="str">
        <v>South</v>
      </c>
      <c r="AR18" t="str">
        <v>Electronics</v>
      </c>
      <c r="AS18" t="str">
        <v>Laptop</v>
      </c>
      <c r="AT18">
        <v>15</v>
      </c>
      <c r="AU18">
        <v>1669.04</v>
      </c>
      <c r="AV18">
        <v>25035.599999999999</v>
      </c>
    </row>
    <row r="19" spans="1:48">
      <c r="A19" s="25">
        <v>45251</v>
      </c>
      <c r="B19" t="s">
        <v>1671</v>
      </c>
      <c r="C19" t="s">
        <v>1695</v>
      </c>
      <c r="D19" t="s">
        <v>1696</v>
      </c>
      <c r="E19" t="s">
        <v>1674</v>
      </c>
      <c r="F19" t="s">
        <v>89</v>
      </c>
      <c r="G19" t="s">
        <v>1714</v>
      </c>
      <c r="H19">
        <v>11</v>
      </c>
      <c r="I19">
        <v>4315</v>
      </c>
      <c r="J19">
        <v>47465</v>
      </c>
      <c r="AA19">
        <v>45041</v>
      </c>
      <c r="AB19" t="str">
        <v>Ishita</v>
      </c>
      <c r="AC19" t="str">
        <v>Dwarka</v>
      </c>
      <c r="AD19" t="str">
        <v>Delhi</v>
      </c>
      <c r="AE19" t="str">
        <v>North</v>
      </c>
      <c r="AF19" t="str">
        <v>Electronics</v>
      </c>
      <c r="AG19" t="str">
        <v>Smartphone</v>
      </c>
      <c r="AH19">
        <v>7</v>
      </c>
      <c r="AI19">
        <v>4933.0600000000004</v>
      </c>
      <c r="AJ19">
        <v>34531.42</v>
      </c>
      <c r="AM19">
        <v>45092</v>
      </c>
      <c r="AN19" t="str">
        <v>Ishita</v>
      </c>
      <c r="AO19" t="str">
        <v>Bengaluru</v>
      </c>
      <c r="AP19" t="str">
        <v>Karnataka</v>
      </c>
      <c r="AQ19" t="str">
        <v>South</v>
      </c>
      <c r="AR19" t="str">
        <v>Electronics</v>
      </c>
      <c r="AS19" t="str">
        <v>Headphones</v>
      </c>
      <c r="AT19">
        <v>7</v>
      </c>
      <c r="AU19">
        <v>2538.4299999999998</v>
      </c>
      <c r="AV19">
        <v>17769.009999999998</v>
      </c>
    </row>
    <row r="20" spans="1:48">
      <c r="A20" s="25">
        <v>45185</v>
      </c>
      <c r="B20" t="s">
        <v>1686</v>
      </c>
      <c r="C20" t="s">
        <v>1695</v>
      </c>
      <c r="D20" t="s">
        <v>1696</v>
      </c>
      <c r="E20" t="s">
        <v>1674</v>
      </c>
      <c r="F20" t="s">
        <v>89</v>
      </c>
      <c r="G20" t="s">
        <v>1713</v>
      </c>
      <c r="H20">
        <v>10</v>
      </c>
      <c r="I20">
        <v>3829.38</v>
      </c>
      <c r="J20">
        <v>38293.800000000003</v>
      </c>
      <c r="AA20">
        <v>44998</v>
      </c>
      <c r="AB20" t="str">
        <v>Vihaan</v>
      </c>
      <c r="AC20" t="str">
        <v>Dwarka</v>
      </c>
      <c r="AD20" t="str">
        <v>Delhi</v>
      </c>
      <c r="AE20" t="str">
        <v>North</v>
      </c>
      <c r="AF20" t="str">
        <v>Electronics</v>
      </c>
      <c r="AG20" t="str">
        <v>Headphones</v>
      </c>
      <c r="AH20">
        <v>20</v>
      </c>
      <c r="AI20">
        <v>1637.44</v>
      </c>
      <c r="AJ20">
        <v>32748.799999999999</v>
      </c>
      <c r="AM20">
        <v>45241</v>
      </c>
      <c r="AN20" t="str">
        <v>Aditi</v>
      </c>
      <c r="AO20" t="str">
        <v>Bengaluru</v>
      </c>
      <c r="AP20" t="str">
        <v>Karnataka</v>
      </c>
      <c r="AQ20" t="str">
        <v>South</v>
      </c>
      <c r="AR20" t="str">
        <v>Electronics</v>
      </c>
      <c r="AS20" t="str">
        <v>Tablet</v>
      </c>
      <c r="AT20">
        <v>3</v>
      </c>
      <c r="AU20">
        <v>4324.88</v>
      </c>
      <c r="AV20">
        <v>12974.64</v>
      </c>
    </row>
    <row r="21" spans="1:48">
      <c r="A21" s="25">
        <v>45195</v>
      </c>
      <c r="B21" t="s">
        <v>1689</v>
      </c>
      <c r="C21" t="s">
        <v>1695</v>
      </c>
      <c r="D21" t="s">
        <v>1696</v>
      </c>
      <c r="E21" t="s">
        <v>1674</v>
      </c>
      <c r="F21" t="s">
        <v>89</v>
      </c>
      <c r="G21" t="s">
        <v>1714</v>
      </c>
      <c r="H21">
        <v>14</v>
      </c>
      <c r="I21">
        <v>2251.87</v>
      </c>
      <c r="J21">
        <v>31526.18</v>
      </c>
      <c r="AA21">
        <v>44988</v>
      </c>
      <c r="AB21" t="str">
        <v>Riya</v>
      </c>
      <c r="AC21" t="str">
        <v>Dwarka</v>
      </c>
      <c r="AD21" t="str">
        <v>Delhi</v>
      </c>
      <c r="AE21" t="str">
        <v>North</v>
      </c>
      <c r="AF21" t="str">
        <v>Electronics</v>
      </c>
      <c r="AG21" t="str">
        <v>Laptop</v>
      </c>
      <c r="AH21">
        <v>9</v>
      </c>
      <c r="AI21">
        <v>3122.72</v>
      </c>
      <c r="AJ21">
        <v>28104.48</v>
      </c>
      <c r="AM21">
        <v>45142</v>
      </c>
      <c r="AN21" t="str">
        <v>Meera</v>
      </c>
      <c r="AO21" t="str">
        <v>Bengaluru</v>
      </c>
      <c r="AP21" t="str">
        <v>Karnataka</v>
      </c>
      <c r="AQ21" t="str">
        <v>South</v>
      </c>
      <c r="AR21" t="str">
        <v>Electronics</v>
      </c>
      <c r="AS21" t="str">
        <v>Headphones</v>
      </c>
      <c r="AT21">
        <v>16</v>
      </c>
      <c r="AU21">
        <v>695.96</v>
      </c>
      <c r="AV21">
        <v>11135.36</v>
      </c>
    </row>
    <row r="22" spans="1:48">
      <c r="A22" s="25">
        <v>45098</v>
      </c>
      <c r="B22" t="s">
        <v>1676</v>
      </c>
      <c r="C22" t="s">
        <v>1695</v>
      </c>
      <c r="D22" t="s">
        <v>1696</v>
      </c>
      <c r="E22" t="s">
        <v>1674</v>
      </c>
      <c r="F22" t="s">
        <v>89</v>
      </c>
      <c r="G22" t="s">
        <v>1105</v>
      </c>
      <c r="H22">
        <v>16</v>
      </c>
      <c r="I22">
        <v>1426.64</v>
      </c>
      <c r="J22">
        <v>22826.240000000002</v>
      </c>
      <c r="AA22">
        <v>45089</v>
      </c>
      <c r="AB22" t="str">
        <v>Ishita</v>
      </c>
      <c r="AC22" t="str">
        <v>Dwarka</v>
      </c>
      <c r="AD22" t="str">
        <v>Delhi</v>
      </c>
      <c r="AE22" t="str">
        <v>North</v>
      </c>
      <c r="AF22" t="str">
        <v>Electronics</v>
      </c>
      <c r="AG22" t="str">
        <v>Headphones</v>
      </c>
      <c r="AH22">
        <v>17</v>
      </c>
      <c r="AI22">
        <v>1574.45</v>
      </c>
      <c r="AJ22">
        <v>26765.65</v>
      </c>
      <c r="AM22">
        <v>45289</v>
      </c>
      <c r="AN22" t="str">
        <v>Kabir</v>
      </c>
      <c r="AO22" t="str">
        <v>Bengaluru</v>
      </c>
      <c r="AP22" t="str">
        <v>Karnataka</v>
      </c>
      <c r="AQ22" t="str">
        <v>South</v>
      </c>
      <c r="AR22" t="str">
        <v>Electronics</v>
      </c>
      <c r="AS22" t="str">
        <v>Headphones</v>
      </c>
      <c r="AT22">
        <v>7</v>
      </c>
      <c r="AU22">
        <v>1294.31</v>
      </c>
      <c r="AV22">
        <v>9060.17</v>
      </c>
    </row>
    <row r="23" spans="1:48">
      <c r="A23" s="25">
        <v>45225</v>
      </c>
      <c r="B23" t="s">
        <v>1686</v>
      </c>
      <c r="C23" t="s">
        <v>1695</v>
      </c>
      <c r="D23" t="s">
        <v>1696</v>
      </c>
      <c r="E23" t="s">
        <v>1674</v>
      </c>
      <c r="F23" t="s">
        <v>89</v>
      </c>
      <c r="G23" t="s">
        <v>1713</v>
      </c>
      <c r="H23">
        <v>4</v>
      </c>
      <c r="I23">
        <v>4778.2299999999996</v>
      </c>
      <c r="J23">
        <v>19112.919999999998</v>
      </c>
      <c r="AA23">
        <v>45091</v>
      </c>
      <c r="AB23" t="str">
        <v>Kabir</v>
      </c>
      <c r="AC23" t="str">
        <v>Dwarka</v>
      </c>
      <c r="AD23" t="str">
        <v>Delhi</v>
      </c>
      <c r="AE23" t="str">
        <v>North</v>
      </c>
      <c r="AF23" t="str">
        <v>Electronics</v>
      </c>
      <c r="AG23" t="str">
        <v>Smartphone</v>
      </c>
      <c r="AH23">
        <v>19</v>
      </c>
      <c r="AI23">
        <v>1067.94</v>
      </c>
      <c r="AJ23">
        <v>20290.86</v>
      </c>
      <c r="AM23">
        <v>45029</v>
      </c>
      <c r="AN23" t="str">
        <v>Kabir</v>
      </c>
      <c r="AO23" t="str">
        <v>Bengaluru</v>
      </c>
      <c r="AP23" t="str">
        <v>Karnataka</v>
      </c>
      <c r="AQ23" t="str">
        <v>South</v>
      </c>
      <c r="AR23" t="str">
        <v>Electronics</v>
      </c>
      <c r="AS23" t="str">
        <v>Laptop</v>
      </c>
      <c r="AT23">
        <v>5</v>
      </c>
      <c r="AU23">
        <v>1413.03</v>
      </c>
      <c r="AV23">
        <v>7065.15</v>
      </c>
    </row>
    <row r="24" spans="1:48">
      <c r="A24" s="25">
        <v>45131</v>
      </c>
      <c r="B24" t="s">
        <v>1694</v>
      </c>
      <c r="C24" t="s">
        <v>1695</v>
      </c>
      <c r="D24" t="s">
        <v>1696</v>
      </c>
      <c r="E24" t="s">
        <v>1674</v>
      </c>
      <c r="F24" t="s">
        <v>89</v>
      </c>
      <c r="G24" t="s">
        <v>1106</v>
      </c>
      <c r="H24">
        <v>4</v>
      </c>
      <c r="I24">
        <v>3751.49</v>
      </c>
      <c r="J24">
        <v>15005.96</v>
      </c>
      <c r="AA24">
        <v>45017</v>
      </c>
      <c r="AB24" t="str">
        <v>Kabir</v>
      </c>
      <c r="AC24" t="str">
        <v>Dwarka</v>
      </c>
      <c r="AD24" t="str">
        <v>Delhi</v>
      </c>
      <c r="AE24" t="str">
        <v>North</v>
      </c>
      <c r="AF24" t="str">
        <v>Electronics</v>
      </c>
      <c r="AG24" t="str">
        <v>Smartphone</v>
      </c>
      <c r="AH24">
        <v>3</v>
      </c>
      <c r="AI24">
        <v>3754.7</v>
      </c>
      <c r="AJ24">
        <v>11264.1</v>
      </c>
      <c r="AM24">
        <v>45255</v>
      </c>
      <c r="AN24" t="str">
        <v>Ishita</v>
      </c>
      <c r="AO24" t="str">
        <v>Bengaluru</v>
      </c>
      <c r="AP24" t="str">
        <v>Karnataka</v>
      </c>
      <c r="AQ24" t="str">
        <v>South</v>
      </c>
      <c r="AR24" t="str">
        <v>Electronics</v>
      </c>
      <c r="AS24" t="str">
        <v>Smartphone</v>
      </c>
      <c r="AT24">
        <v>1</v>
      </c>
      <c r="AU24">
        <v>4966.8599999999997</v>
      </c>
      <c r="AV24">
        <v>4966.8599999999997</v>
      </c>
    </row>
    <row r="25" spans="1:48">
      <c r="A25" s="25">
        <v>45089</v>
      </c>
      <c r="B25" t="s">
        <v>1700</v>
      </c>
      <c r="C25" t="s">
        <v>1695</v>
      </c>
      <c r="D25" t="s">
        <v>1696</v>
      </c>
      <c r="E25" t="s">
        <v>1674</v>
      </c>
      <c r="F25" t="s">
        <v>89</v>
      </c>
      <c r="G25" t="s">
        <v>1106</v>
      </c>
      <c r="H25">
        <v>14</v>
      </c>
      <c r="I25">
        <v>1049.21</v>
      </c>
      <c r="J25">
        <v>14688.94</v>
      </c>
      <c r="AA25">
        <v>45018</v>
      </c>
      <c r="AB25" t="str">
        <v>Aditi</v>
      </c>
      <c r="AC25" t="str">
        <v>Dwarka</v>
      </c>
      <c r="AD25" t="str">
        <v>Delhi</v>
      </c>
      <c r="AE25" t="str">
        <v>North</v>
      </c>
      <c r="AF25" t="str">
        <v>Electronics</v>
      </c>
      <c r="AG25" t="str">
        <v>Headphones</v>
      </c>
      <c r="AH25">
        <v>1</v>
      </c>
      <c r="AI25">
        <v>3187.31</v>
      </c>
      <c r="AJ25">
        <v>3187.31</v>
      </c>
      <c r="AM25">
        <v>45014</v>
      </c>
      <c r="AN25" t="str">
        <v>Vihaan</v>
      </c>
      <c r="AO25" t="str">
        <v>Bengaluru</v>
      </c>
      <c r="AP25" t="str">
        <v>Karnataka</v>
      </c>
      <c r="AQ25" t="str">
        <v>South</v>
      </c>
      <c r="AR25" t="str">
        <v>Electronics</v>
      </c>
      <c r="AS25" t="str">
        <v>Smartphone</v>
      </c>
      <c r="AT25">
        <v>5</v>
      </c>
      <c r="AU25">
        <v>568.87</v>
      </c>
      <c r="AV25">
        <v>2844.35</v>
      </c>
    </row>
    <row r="26" spans="1:48">
      <c r="A26" s="25">
        <v>45270</v>
      </c>
      <c r="B26" t="s">
        <v>1676</v>
      </c>
      <c r="C26" t="s">
        <v>1695</v>
      </c>
      <c r="D26" t="s">
        <v>1696</v>
      </c>
      <c r="E26" t="s">
        <v>1674</v>
      </c>
      <c r="F26" t="s">
        <v>89</v>
      </c>
      <c r="G26" t="s">
        <v>1106</v>
      </c>
      <c r="H26">
        <v>11</v>
      </c>
      <c r="I26">
        <v>941.97</v>
      </c>
      <c r="J26">
        <v>10361.67</v>
      </c>
      <c r="AA26">
        <v>45206</v>
      </c>
      <c r="AB26" t="str">
        <v>Aarav</v>
      </c>
      <c r="AC26" t="str">
        <v>Dwarka</v>
      </c>
      <c r="AD26" t="str">
        <v>Delhi</v>
      </c>
      <c r="AE26" t="str">
        <v>North</v>
      </c>
      <c r="AF26" t="str">
        <v>Furniture</v>
      </c>
      <c r="AG26" t="str">
        <v>Sofa</v>
      </c>
      <c r="AH26">
        <v>19</v>
      </c>
      <c r="AI26">
        <v>4089.21</v>
      </c>
      <c r="AJ26">
        <v>77694.990000000005</v>
      </c>
      <c r="AM26">
        <v>45182</v>
      </c>
      <c r="AN26" t="str">
        <v>Ishita</v>
      </c>
      <c r="AO26" t="str">
        <v>Bengaluru</v>
      </c>
      <c r="AP26" t="str">
        <v>Karnataka</v>
      </c>
      <c r="AQ26" t="str">
        <v>South</v>
      </c>
      <c r="AR26" t="str">
        <v>Electronics</v>
      </c>
      <c r="AS26" t="str">
        <v>Laptop</v>
      </c>
      <c r="AT26">
        <v>3</v>
      </c>
      <c r="AU26">
        <v>916.53</v>
      </c>
      <c r="AV26">
        <v>2749.59</v>
      </c>
    </row>
    <row r="27" spans="1:48">
      <c r="A27" s="25">
        <v>45285</v>
      </c>
      <c r="B27" t="s">
        <v>1686</v>
      </c>
      <c r="C27" t="s">
        <v>1695</v>
      </c>
      <c r="D27" t="s">
        <v>1696</v>
      </c>
      <c r="E27" t="s">
        <v>1674</v>
      </c>
      <c r="F27" t="s">
        <v>89</v>
      </c>
      <c r="G27" t="s">
        <v>1714</v>
      </c>
      <c r="H27">
        <v>2</v>
      </c>
      <c r="I27">
        <v>4081.92</v>
      </c>
      <c r="J27">
        <v>8163.84</v>
      </c>
      <c r="AA27">
        <v>45206</v>
      </c>
      <c r="AB27" t="str">
        <v>Riya</v>
      </c>
      <c r="AC27" t="str">
        <v>Dwarka</v>
      </c>
      <c r="AD27" t="str">
        <v>Delhi</v>
      </c>
      <c r="AE27" t="str">
        <v>North</v>
      </c>
      <c r="AF27" t="str">
        <v>Furniture</v>
      </c>
      <c r="AG27" t="str">
        <v>Sofa</v>
      </c>
      <c r="AH27">
        <v>16</v>
      </c>
      <c r="AI27">
        <v>3296.61</v>
      </c>
      <c r="AJ27">
        <v>52745.760000000002</v>
      </c>
      <c r="AM27">
        <v>45147</v>
      </c>
      <c r="AN27" t="str">
        <v>Aditi</v>
      </c>
      <c r="AO27" t="str">
        <v>Bengaluru</v>
      </c>
      <c r="AP27" t="str">
        <v>Karnataka</v>
      </c>
      <c r="AQ27" t="str">
        <v>South</v>
      </c>
      <c r="AR27" t="str">
        <v>Electronics</v>
      </c>
      <c r="AS27" t="str">
        <v>Smartphone</v>
      </c>
      <c r="AT27">
        <v>5</v>
      </c>
      <c r="AU27">
        <v>194.7</v>
      </c>
      <c r="AV27">
        <v>973.5</v>
      </c>
    </row>
    <row r="28" spans="1:48">
      <c r="A28" s="25">
        <v>45163</v>
      </c>
      <c r="B28" t="s">
        <v>1705</v>
      </c>
      <c r="C28" t="s">
        <v>1695</v>
      </c>
      <c r="D28" t="s">
        <v>1696</v>
      </c>
      <c r="E28" t="s">
        <v>1674</v>
      </c>
      <c r="F28" t="s">
        <v>89</v>
      </c>
      <c r="G28" t="s">
        <v>1106</v>
      </c>
      <c r="H28">
        <v>6</v>
      </c>
      <c r="I28">
        <v>1212.76</v>
      </c>
      <c r="J28">
        <v>7276.56</v>
      </c>
      <c r="AA28">
        <v>44954</v>
      </c>
      <c r="AB28" t="str">
        <v>Kabir</v>
      </c>
      <c r="AC28" t="str">
        <v>Dwarka</v>
      </c>
      <c r="AD28" t="str">
        <v>Delhi</v>
      </c>
      <c r="AE28" t="str">
        <v>North</v>
      </c>
      <c r="AF28" t="str">
        <v>Furniture</v>
      </c>
      <c r="AG28" t="str">
        <v>Sofa</v>
      </c>
      <c r="AH28">
        <v>8</v>
      </c>
      <c r="AI28">
        <v>4523.4399999999996</v>
      </c>
      <c r="AJ28">
        <v>36187.519999999997</v>
      </c>
      <c r="AM28">
        <v>45283</v>
      </c>
      <c r="AN28" t="str">
        <v>Nishant</v>
      </c>
      <c r="AO28" t="str">
        <v>Bengaluru</v>
      </c>
      <c r="AP28" t="str">
        <v>Karnataka</v>
      </c>
      <c r="AQ28" t="str">
        <v>South</v>
      </c>
      <c r="AR28" t="str">
        <v>Furniture</v>
      </c>
      <c r="AS28" t="str">
        <v>Bed</v>
      </c>
      <c r="AT28">
        <v>17</v>
      </c>
      <c r="AU28">
        <v>4156.25</v>
      </c>
      <c r="AV28">
        <v>70656.25</v>
      </c>
    </row>
    <row r="29" spans="1:48">
      <c r="A29" s="25">
        <v>44932</v>
      </c>
      <c r="B29" t="s">
        <v>1698</v>
      </c>
      <c r="C29" t="s">
        <v>1695</v>
      </c>
      <c r="D29" t="s">
        <v>1696</v>
      </c>
      <c r="E29" t="s">
        <v>1674</v>
      </c>
      <c r="F29" t="s">
        <v>89</v>
      </c>
      <c r="G29" t="s">
        <v>1106</v>
      </c>
      <c r="H29">
        <v>15</v>
      </c>
      <c r="I29">
        <v>447.71</v>
      </c>
      <c r="J29">
        <v>6715.65</v>
      </c>
      <c r="AA29">
        <v>45201</v>
      </c>
      <c r="AB29" t="str">
        <v>Ishita</v>
      </c>
      <c r="AC29" t="str">
        <v>Dwarka</v>
      </c>
      <c r="AD29" t="str">
        <v>Delhi</v>
      </c>
      <c r="AE29" t="str">
        <v>North</v>
      </c>
      <c r="AF29" t="str">
        <v>Furniture</v>
      </c>
      <c r="AG29" t="str">
        <v>Sofa</v>
      </c>
      <c r="AH29">
        <v>14</v>
      </c>
      <c r="AI29">
        <v>2145.21</v>
      </c>
      <c r="AJ29">
        <v>30032.94</v>
      </c>
      <c r="AM29">
        <v>44956</v>
      </c>
      <c r="AN29" t="str">
        <v>Nishant</v>
      </c>
      <c r="AO29" t="str">
        <v>Bengaluru</v>
      </c>
      <c r="AP29" t="str">
        <v>Karnataka</v>
      </c>
      <c r="AQ29" t="str">
        <v>South</v>
      </c>
      <c r="AR29" t="str">
        <v>Furniture</v>
      </c>
      <c r="AS29" t="str">
        <v>Bed</v>
      </c>
      <c r="AT29">
        <v>19</v>
      </c>
      <c r="AU29">
        <v>3575.92</v>
      </c>
      <c r="AV29">
        <v>67942.48</v>
      </c>
    </row>
    <row r="30" spans="1:48">
      <c r="A30" s="25">
        <v>44970</v>
      </c>
      <c r="B30" t="s">
        <v>1686</v>
      </c>
      <c r="C30" t="s">
        <v>1695</v>
      </c>
      <c r="D30" t="s">
        <v>1696</v>
      </c>
      <c r="E30" t="s">
        <v>1674</v>
      </c>
      <c r="F30" t="s">
        <v>89</v>
      </c>
      <c r="G30" t="s">
        <v>1106</v>
      </c>
      <c r="H30">
        <v>11</v>
      </c>
      <c r="I30">
        <v>490.34</v>
      </c>
      <c r="J30">
        <v>5393.74</v>
      </c>
      <c r="AA30">
        <v>44962</v>
      </c>
      <c r="AB30" t="str">
        <v>Meera</v>
      </c>
      <c r="AC30" t="str">
        <v>Dwarka</v>
      </c>
      <c r="AD30" t="str">
        <v>Delhi</v>
      </c>
      <c r="AE30" t="str">
        <v>North</v>
      </c>
      <c r="AF30" t="str">
        <v>Furniture</v>
      </c>
      <c r="AG30" t="str">
        <v>Table</v>
      </c>
      <c r="AH30">
        <v>13</v>
      </c>
      <c r="AI30">
        <v>2098.65</v>
      </c>
      <c r="AJ30">
        <v>27282.45</v>
      </c>
      <c r="AM30">
        <v>45279</v>
      </c>
      <c r="AN30" t="str">
        <v>Vihaan</v>
      </c>
      <c r="AO30" t="str">
        <v>Bengaluru</v>
      </c>
      <c r="AP30" t="str">
        <v>Karnataka</v>
      </c>
      <c r="AQ30" t="str">
        <v>South</v>
      </c>
      <c r="AR30" t="str">
        <v>Furniture</v>
      </c>
      <c r="AS30" t="str">
        <v>Bed</v>
      </c>
      <c r="AT30">
        <v>13</v>
      </c>
      <c r="AU30">
        <v>4318.62</v>
      </c>
      <c r="AV30">
        <v>56142.06</v>
      </c>
    </row>
    <row r="31" spans="1:48">
      <c r="A31" s="25">
        <v>45116</v>
      </c>
      <c r="B31" t="s">
        <v>1700</v>
      </c>
      <c r="C31" t="s">
        <v>1695</v>
      </c>
      <c r="D31" t="s">
        <v>1696</v>
      </c>
      <c r="E31" t="s">
        <v>1674</v>
      </c>
      <c r="F31" t="s">
        <v>89</v>
      </c>
      <c r="G31" t="s">
        <v>1106</v>
      </c>
      <c r="H31">
        <v>3</v>
      </c>
      <c r="I31">
        <v>1753.98</v>
      </c>
      <c r="J31">
        <v>5261.94</v>
      </c>
      <c r="AA31">
        <v>45025</v>
      </c>
      <c r="AB31" t="str">
        <v>Meera</v>
      </c>
      <c r="AC31" t="str">
        <v>Dwarka</v>
      </c>
      <c r="AD31" t="str">
        <v>Delhi</v>
      </c>
      <c r="AE31" t="str">
        <v>North</v>
      </c>
      <c r="AF31" t="str">
        <v>Furniture</v>
      </c>
      <c r="AG31" t="str">
        <v>Chair</v>
      </c>
      <c r="AH31">
        <v>7</v>
      </c>
      <c r="AI31">
        <v>3273.61</v>
      </c>
      <c r="AJ31">
        <v>22915.27</v>
      </c>
      <c r="AM31">
        <v>44965</v>
      </c>
      <c r="AN31" t="str">
        <v>Nishant</v>
      </c>
      <c r="AO31" t="str">
        <v>Bengaluru</v>
      </c>
      <c r="AP31" t="str">
        <v>Karnataka</v>
      </c>
      <c r="AQ31" t="str">
        <v>South</v>
      </c>
      <c r="AR31" t="str">
        <v>Furniture</v>
      </c>
      <c r="AS31" t="str">
        <v>Table</v>
      </c>
      <c r="AT31">
        <v>12</v>
      </c>
      <c r="AU31">
        <v>3700.23</v>
      </c>
      <c r="AV31">
        <v>44402.76</v>
      </c>
    </row>
    <row r="32" spans="1:48">
      <c r="A32" s="25">
        <v>44986</v>
      </c>
      <c r="B32" t="s">
        <v>1686</v>
      </c>
      <c r="C32" t="s">
        <v>1695</v>
      </c>
      <c r="D32" t="s">
        <v>1696</v>
      </c>
      <c r="E32" t="s">
        <v>1674</v>
      </c>
      <c r="F32" t="s">
        <v>89</v>
      </c>
      <c r="G32" t="s">
        <v>1713</v>
      </c>
      <c r="H32">
        <v>1</v>
      </c>
      <c r="I32">
        <v>1979.54</v>
      </c>
      <c r="J32">
        <v>1979.54</v>
      </c>
      <c r="AA32">
        <v>45257</v>
      </c>
      <c r="AB32" t="str">
        <v>Aditi</v>
      </c>
      <c r="AC32" t="str">
        <v>Dwarka</v>
      </c>
      <c r="AD32" t="str">
        <v>Delhi</v>
      </c>
      <c r="AE32" t="str">
        <v>North</v>
      </c>
      <c r="AF32" t="str">
        <v>Furniture</v>
      </c>
      <c r="AG32" t="str">
        <v>Table</v>
      </c>
      <c r="AH32">
        <v>4</v>
      </c>
      <c r="AI32">
        <v>4553.5200000000004</v>
      </c>
      <c r="AJ32">
        <v>18214.080000000002</v>
      </c>
      <c r="AM32">
        <v>45082</v>
      </c>
      <c r="AN32" t="str">
        <v>Kabir</v>
      </c>
      <c r="AO32" t="str">
        <v>Bengaluru</v>
      </c>
      <c r="AP32" t="str">
        <v>Karnataka</v>
      </c>
      <c r="AQ32" t="str">
        <v>South</v>
      </c>
      <c r="AR32" t="str">
        <v>Furniture</v>
      </c>
      <c r="AS32" t="str">
        <v>Bed</v>
      </c>
      <c r="AT32">
        <v>16</v>
      </c>
      <c r="AU32">
        <v>2724.77</v>
      </c>
      <c r="AV32">
        <v>43596.32</v>
      </c>
    </row>
    <row r="33" spans="1:48">
      <c r="A33" s="25">
        <v>45180</v>
      </c>
      <c r="B33" t="s">
        <v>1692</v>
      </c>
      <c r="C33" t="s">
        <v>1695</v>
      </c>
      <c r="D33" t="s">
        <v>1696</v>
      </c>
      <c r="E33" t="s">
        <v>1674</v>
      </c>
      <c r="F33" t="s">
        <v>101</v>
      </c>
      <c r="G33" t="s">
        <v>1719</v>
      </c>
      <c r="H33">
        <v>20</v>
      </c>
      <c r="I33">
        <v>4055.72</v>
      </c>
      <c r="J33">
        <v>81114.399999999994</v>
      </c>
      <c r="AA33">
        <v>45036</v>
      </c>
      <c r="AB33" t="str">
        <v>Meera</v>
      </c>
      <c r="AC33" t="str">
        <v>Dwarka</v>
      </c>
      <c r="AD33" t="str">
        <v>Delhi</v>
      </c>
      <c r="AE33" t="str">
        <v>North</v>
      </c>
      <c r="AF33" t="str">
        <v>Furniture</v>
      </c>
      <c r="AG33" t="str">
        <v>Table</v>
      </c>
      <c r="AH33">
        <v>17</v>
      </c>
      <c r="AI33">
        <v>1005.44</v>
      </c>
      <c r="AJ33">
        <v>17092.48</v>
      </c>
      <c r="AM33">
        <v>45205</v>
      </c>
      <c r="AN33" t="str">
        <v>Kabir</v>
      </c>
      <c r="AO33" t="str">
        <v>Bengaluru</v>
      </c>
      <c r="AP33" t="str">
        <v>Karnataka</v>
      </c>
      <c r="AQ33" t="str">
        <v>South</v>
      </c>
      <c r="AR33" t="str">
        <v>Furniture</v>
      </c>
      <c r="AS33" t="str">
        <v>Sofa</v>
      </c>
      <c r="AT33">
        <v>20</v>
      </c>
      <c r="AU33">
        <v>1710.93</v>
      </c>
      <c r="AV33">
        <v>34218.6</v>
      </c>
    </row>
    <row r="34" spans="1:48">
      <c r="A34" s="25">
        <v>45002</v>
      </c>
      <c r="B34" t="s">
        <v>1681</v>
      </c>
      <c r="C34" t="s">
        <v>1695</v>
      </c>
      <c r="D34" t="s">
        <v>1696</v>
      </c>
      <c r="E34" t="s">
        <v>1674</v>
      </c>
      <c r="F34" t="s">
        <v>101</v>
      </c>
      <c r="G34" t="s">
        <v>1715</v>
      </c>
      <c r="H34">
        <v>16</v>
      </c>
      <c r="I34">
        <v>4624.91</v>
      </c>
      <c r="J34">
        <v>73998.559999999998</v>
      </c>
      <c r="AA34">
        <v>45163</v>
      </c>
      <c r="AB34" t="str">
        <v>Ishita</v>
      </c>
      <c r="AC34" t="str">
        <v>Dwarka</v>
      </c>
      <c r="AD34" t="str">
        <v>Delhi</v>
      </c>
      <c r="AE34" t="str">
        <v>North</v>
      </c>
      <c r="AF34" t="str">
        <v>Furniture</v>
      </c>
      <c r="AG34" t="str">
        <v>Bed</v>
      </c>
      <c r="AH34">
        <v>5</v>
      </c>
      <c r="AI34">
        <v>2536.65</v>
      </c>
      <c r="AJ34">
        <v>12683.25</v>
      </c>
      <c r="AM34">
        <v>45002</v>
      </c>
      <c r="AN34" t="str">
        <v>Aarav</v>
      </c>
      <c r="AO34" t="str">
        <v>Bengaluru</v>
      </c>
      <c r="AP34" t="str">
        <v>Karnataka</v>
      </c>
      <c r="AQ34" t="str">
        <v>South</v>
      </c>
      <c r="AR34" t="str">
        <v>Furniture</v>
      </c>
      <c r="AS34" t="str">
        <v>Chair</v>
      </c>
      <c r="AT34">
        <v>8</v>
      </c>
      <c r="AU34">
        <v>3628.65</v>
      </c>
      <c r="AV34">
        <v>29029.200000000001</v>
      </c>
    </row>
    <row r="35" spans="1:48">
      <c r="A35" s="25">
        <v>45215</v>
      </c>
      <c r="B35" t="s">
        <v>1705</v>
      </c>
      <c r="C35" t="s">
        <v>1695</v>
      </c>
      <c r="D35" t="s">
        <v>1696</v>
      </c>
      <c r="E35" t="s">
        <v>1674</v>
      </c>
      <c r="F35" t="s">
        <v>101</v>
      </c>
      <c r="G35" t="s">
        <v>1675</v>
      </c>
      <c r="H35">
        <v>16</v>
      </c>
      <c r="I35">
        <v>4608.55</v>
      </c>
      <c r="J35">
        <v>73736.800000000003</v>
      </c>
      <c r="AA35">
        <v>45125</v>
      </c>
      <c r="AB35" t="str">
        <v>Nishant</v>
      </c>
      <c r="AC35" t="str">
        <v>Dwarka</v>
      </c>
      <c r="AD35" t="str">
        <v>Delhi</v>
      </c>
      <c r="AE35" t="str">
        <v>North</v>
      </c>
      <c r="AF35" t="str">
        <v>Furniture</v>
      </c>
      <c r="AG35" t="str">
        <v>Chair</v>
      </c>
      <c r="AH35">
        <v>15</v>
      </c>
      <c r="AI35">
        <v>834.13</v>
      </c>
      <c r="AJ35">
        <v>12511.95</v>
      </c>
      <c r="AM35">
        <v>45012</v>
      </c>
      <c r="AN35" t="str">
        <v>Aryan</v>
      </c>
      <c r="AO35" t="str">
        <v>Bengaluru</v>
      </c>
      <c r="AP35" t="str">
        <v>Karnataka</v>
      </c>
      <c r="AQ35" t="str">
        <v>South</v>
      </c>
      <c r="AR35" t="str">
        <v>Furniture</v>
      </c>
      <c r="AS35" t="str">
        <v>Table</v>
      </c>
      <c r="AT35">
        <v>7</v>
      </c>
      <c r="AU35">
        <v>3836.77</v>
      </c>
      <c r="AV35">
        <v>26857.39</v>
      </c>
    </row>
    <row r="36" spans="1:48">
      <c r="A36" s="25">
        <v>45205</v>
      </c>
      <c r="B36" t="s">
        <v>1671</v>
      </c>
      <c r="C36" t="s">
        <v>1695</v>
      </c>
      <c r="D36" t="s">
        <v>1696</v>
      </c>
      <c r="E36" t="s">
        <v>1674</v>
      </c>
      <c r="F36" t="s">
        <v>101</v>
      </c>
      <c r="G36" t="s">
        <v>1715</v>
      </c>
      <c r="H36">
        <v>15</v>
      </c>
      <c r="I36">
        <v>4146.03</v>
      </c>
      <c r="J36">
        <v>62190.45</v>
      </c>
      <c r="AA36">
        <v>45234</v>
      </c>
      <c r="AB36" t="str">
        <v>Aarav</v>
      </c>
      <c r="AC36" t="str">
        <v>Dwarka</v>
      </c>
      <c r="AD36" t="str">
        <v>Delhi</v>
      </c>
      <c r="AE36" t="str">
        <v>North</v>
      </c>
      <c r="AF36" t="str">
        <v>Furniture</v>
      </c>
      <c r="AG36" t="str">
        <v>Chair</v>
      </c>
      <c r="AH36">
        <v>10</v>
      </c>
      <c r="AI36">
        <v>1050.8399999999999</v>
      </c>
      <c r="AJ36">
        <v>10508.4</v>
      </c>
      <c r="AM36">
        <v>45240</v>
      </c>
      <c r="AN36" t="str">
        <v>Nishant</v>
      </c>
      <c r="AO36" t="str">
        <v>Bengaluru</v>
      </c>
      <c r="AP36" t="str">
        <v>Karnataka</v>
      </c>
      <c r="AQ36" t="str">
        <v>South</v>
      </c>
      <c r="AR36" t="str">
        <v>Furniture</v>
      </c>
      <c r="AS36" t="str">
        <v>Table</v>
      </c>
      <c r="AT36">
        <v>5</v>
      </c>
      <c r="AU36">
        <v>4759.1899999999996</v>
      </c>
      <c r="AV36">
        <v>23795.95</v>
      </c>
    </row>
    <row r="37" spans="1:48">
      <c r="A37" s="25">
        <v>45290</v>
      </c>
      <c r="B37" t="s">
        <v>1700</v>
      </c>
      <c r="C37" t="s">
        <v>1695</v>
      </c>
      <c r="D37" t="s">
        <v>1696</v>
      </c>
      <c r="E37" t="s">
        <v>1674</v>
      </c>
      <c r="F37" t="s">
        <v>101</v>
      </c>
      <c r="G37" t="s">
        <v>1709</v>
      </c>
      <c r="H37">
        <v>20</v>
      </c>
      <c r="I37">
        <v>2818.78</v>
      </c>
      <c r="J37">
        <v>56375.6</v>
      </c>
      <c r="AA37">
        <v>44987</v>
      </c>
      <c r="AB37" t="str">
        <v>Aditi</v>
      </c>
      <c r="AC37" t="str">
        <v>Dwarka</v>
      </c>
      <c r="AD37" t="str">
        <v>Delhi</v>
      </c>
      <c r="AE37" t="str">
        <v>North</v>
      </c>
      <c r="AF37" t="str">
        <v>Furniture</v>
      </c>
      <c r="AG37" t="str">
        <v>Table</v>
      </c>
      <c r="AH37">
        <v>17</v>
      </c>
      <c r="AI37">
        <v>578.66999999999996</v>
      </c>
      <c r="AJ37">
        <v>9837.39</v>
      </c>
      <c r="AM37">
        <v>45249</v>
      </c>
      <c r="AN37" t="str">
        <v>Ananya</v>
      </c>
      <c r="AO37" t="str">
        <v>Bengaluru</v>
      </c>
      <c r="AP37" t="str">
        <v>Karnataka</v>
      </c>
      <c r="AQ37" t="str">
        <v>South</v>
      </c>
      <c r="AR37" t="str">
        <v>Furniture</v>
      </c>
      <c r="AS37" t="str">
        <v>Table</v>
      </c>
      <c r="AT37">
        <v>5</v>
      </c>
      <c r="AU37">
        <v>4402.72</v>
      </c>
      <c r="AV37">
        <v>22013.599999999999</v>
      </c>
    </row>
    <row r="38" spans="1:48">
      <c r="A38" s="25">
        <v>45110</v>
      </c>
      <c r="B38" t="s">
        <v>1671</v>
      </c>
      <c r="C38" t="s">
        <v>1695</v>
      </c>
      <c r="D38" t="s">
        <v>1696</v>
      </c>
      <c r="E38" t="s">
        <v>1674</v>
      </c>
      <c r="F38" t="s">
        <v>101</v>
      </c>
      <c r="G38" t="s">
        <v>1709</v>
      </c>
      <c r="H38">
        <v>14</v>
      </c>
      <c r="I38">
        <v>3507.75</v>
      </c>
      <c r="J38">
        <v>49108.5</v>
      </c>
      <c r="AA38">
        <v>45041</v>
      </c>
      <c r="AB38" t="str">
        <v>Kabir</v>
      </c>
      <c r="AC38" t="str">
        <v>Dwarka</v>
      </c>
      <c r="AD38" t="str">
        <v>Delhi</v>
      </c>
      <c r="AE38" t="str">
        <v>North</v>
      </c>
      <c r="AF38" t="str">
        <v>Furniture</v>
      </c>
      <c r="AG38" t="str">
        <v>Bed</v>
      </c>
      <c r="AH38">
        <v>6</v>
      </c>
      <c r="AI38">
        <v>1523.33</v>
      </c>
      <c r="AJ38">
        <v>9139.98</v>
      </c>
      <c r="AM38">
        <v>45009</v>
      </c>
      <c r="AN38" t="str">
        <v>Ishita</v>
      </c>
      <c r="AO38" t="str">
        <v>Bengaluru</v>
      </c>
      <c r="AP38" t="str">
        <v>Karnataka</v>
      </c>
      <c r="AQ38" t="str">
        <v>South</v>
      </c>
      <c r="AR38" t="str">
        <v>Furniture</v>
      </c>
      <c r="AS38" t="str">
        <v>Chair</v>
      </c>
      <c r="AT38">
        <v>5</v>
      </c>
      <c r="AU38">
        <v>2411.33</v>
      </c>
      <c r="AV38">
        <v>12056.65</v>
      </c>
    </row>
    <row r="39" spans="1:48">
      <c r="A39" s="25">
        <v>44956</v>
      </c>
      <c r="B39" t="s">
        <v>1676</v>
      </c>
      <c r="C39" t="s">
        <v>1695</v>
      </c>
      <c r="D39" t="s">
        <v>1696</v>
      </c>
      <c r="E39" t="s">
        <v>1674</v>
      </c>
      <c r="F39" t="s">
        <v>101</v>
      </c>
      <c r="G39" t="s">
        <v>1709</v>
      </c>
      <c r="H39">
        <v>16</v>
      </c>
      <c r="I39">
        <v>2714.37</v>
      </c>
      <c r="J39">
        <v>43429.919999999998</v>
      </c>
      <c r="AA39">
        <v>45273</v>
      </c>
      <c r="AB39" t="str">
        <v>Ishita</v>
      </c>
      <c r="AC39" t="str">
        <v>Dwarka</v>
      </c>
      <c r="AD39" t="str">
        <v>Delhi</v>
      </c>
      <c r="AE39" t="str">
        <v>North</v>
      </c>
      <c r="AF39" t="str">
        <v>Furniture</v>
      </c>
      <c r="AG39" t="str">
        <v>Sofa</v>
      </c>
      <c r="AH39">
        <v>2</v>
      </c>
      <c r="AI39">
        <v>4248</v>
      </c>
      <c r="AJ39">
        <v>8496</v>
      </c>
      <c r="AM39">
        <v>45081</v>
      </c>
      <c r="AN39" t="str">
        <v>Nishant</v>
      </c>
      <c r="AO39" t="str">
        <v>Bengaluru</v>
      </c>
      <c r="AP39" t="str">
        <v>Karnataka</v>
      </c>
      <c r="AQ39" t="str">
        <v>South</v>
      </c>
      <c r="AR39" t="str">
        <v>Furniture</v>
      </c>
      <c r="AS39" t="str">
        <v>Sofa</v>
      </c>
      <c r="AT39">
        <v>20</v>
      </c>
      <c r="AU39">
        <v>473.23</v>
      </c>
      <c r="AV39">
        <v>9464.6</v>
      </c>
    </row>
    <row r="40" spans="1:48">
      <c r="A40" s="25">
        <v>45119</v>
      </c>
      <c r="B40" t="s">
        <v>1671</v>
      </c>
      <c r="C40" t="s">
        <v>1695</v>
      </c>
      <c r="D40" t="s">
        <v>1696</v>
      </c>
      <c r="E40" t="s">
        <v>1674</v>
      </c>
      <c r="F40" t="s">
        <v>101</v>
      </c>
      <c r="G40" t="s">
        <v>1719</v>
      </c>
      <c r="H40">
        <v>14</v>
      </c>
      <c r="I40">
        <v>3099.57</v>
      </c>
      <c r="J40">
        <v>43393.98</v>
      </c>
      <c r="AA40">
        <v>45072</v>
      </c>
      <c r="AB40" t="str">
        <v>Aarav</v>
      </c>
      <c r="AC40" t="str">
        <v>Dwarka</v>
      </c>
      <c r="AD40" t="str">
        <v>Delhi</v>
      </c>
      <c r="AE40" t="str">
        <v>North</v>
      </c>
      <c r="AF40" t="str">
        <v>Furniture</v>
      </c>
      <c r="AG40" t="str">
        <v>Table</v>
      </c>
      <c r="AH40">
        <v>2</v>
      </c>
      <c r="AI40">
        <v>4100.3999999999996</v>
      </c>
      <c r="AJ40">
        <v>8200.7999999999993</v>
      </c>
      <c r="AM40">
        <v>44981</v>
      </c>
      <c r="AN40" t="str">
        <v>Riya</v>
      </c>
      <c r="AO40" t="str">
        <v>Bengaluru</v>
      </c>
      <c r="AP40" t="str">
        <v>Karnataka</v>
      </c>
      <c r="AQ40" t="str">
        <v>South</v>
      </c>
      <c r="AR40" t="str">
        <v>Furniture</v>
      </c>
      <c r="AS40" t="str">
        <v>Bed</v>
      </c>
      <c r="AT40">
        <v>2</v>
      </c>
      <c r="AU40">
        <v>1927.02</v>
      </c>
      <c r="AV40">
        <v>3854.04</v>
      </c>
    </row>
    <row r="41" spans="1:48">
      <c r="A41" s="25">
        <v>45171</v>
      </c>
      <c r="B41" t="s">
        <v>1681</v>
      </c>
      <c r="C41" t="s">
        <v>1695</v>
      </c>
      <c r="D41" t="s">
        <v>1696</v>
      </c>
      <c r="E41" t="s">
        <v>1674</v>
      </c>
      <c r="F41" t="s">
        <v>101</v>
      </c>
      <c r="G41" t="s">
        <v>1675</v>
      </c>
      <c r="H41">
        <v>13</v>
      </c>
      <c r="I41">
        <v>2835.8</v>
      </c>
      <c r="J41">
        <v>36865.4</v>
      </c>
      <c r="AA41">
        <v>44948</v>
      </c>
      <c r="AB41" t="str">
        <v>Nishant</v>
      </c>
      <c r="AC41" t="str">
        <v>Dwarka</v>
      </c>
      <c r="AD41" t="str">
        <v>Delhi</v>
      </c>
      <c r="AE41" t="str">
        <v>North</v>
      </c>
      <c r="AF41" t="str">
        <v>Furniture</v>
      </c>
      <c r="AG41" t="str">
        <v>Sofa</v>
      </c>
      <c r="AH41">
        <v>10</v>
      </c>
      <c r="AI41">
        <v>505.39</v>
      </c>
      <c r="AJ41">
        <v>5053.8999999999996</v>
      </c>
      <c r="AM41">
        <v>45064</v>
      </c>
      <c r="AN41" t="str">
        <v>Nishant</v>
      </c>
      <c r="AO41" t="str">
        <v>Bengaluru</v>
      </c>
      <c r="AP41" t="str">
        <v>Karnataka</v>
      </c>
      <c r="AQ41" t="str">
        <v>South</v>
      </c>
      <c r="AR41" t="str">
        <v>Furniture</v>
      </c>
      <c r="AS41" t="str">
        <v>Sofa</v>
      </c>
      <c r="AT41">
        <v>3</v>
      </c>
      <c r="AU41">
        <v>953.26</v>
      </c>
      <c r="AV41">
        <v>2859.78</v>
      </c>
    </row>
    <row r="42" spans="1:48">
      <c r="A42" s="25">
        <v>45052</v>
      </c>
      <c r="B42" t="s">
        <v>1705</v>
      </c>
      <c r="C42" t="s">
        <v>1695</v>
      </c>
      <c r="D42" t="s">
        <v>1696</v>
      </c>
      <c r="E42" t="s">
        <v>1674</v>
      </c>
      <c r="F42" t="s">
        <v>101</v>
      </c>
      <c r="G42" t="s">
        <v>1709</v>
      </c>
      <c r="H42">
        <v>7</v>
      </c>
      <c r="I42">
        <v>3721.37</v>
      </c>
      <c r="J42">
        <v>26049.59</v>
      </c>
      <c r="AA42">
        <v>44956</v>
      </c>
      <c r="AB42" t="str">
        <v>Ananya</v>
      </c>
      <c r="AC42" t="str">
        <v>Dwarka</v>
      </c>
      <c r="AD42" t="str">
        <v>Delhi</v>
      </c>
      <c r="AE42" t="str">
        <v>North</v>
      </c>
      <c r="AF42" t="str">
        <v>Furniture</v>
      </c>
      <c r="AG42" t="str">
        <v>Sofa</v>
      </c>
      <c r="AH42">
        <v>3</v>
      </c>
      <c r="AI42">
        <v>1105.46</v>
      </c>
      <c r="AJ42">
        <v>3316.38</v>
      </c>
      <c r="AM42">
        <v>45126</v>
      </c>
      <c r="AN42" t="str">
        <v>Meera</v>
      </c>
      <c r="AO42" t="str">
        <v>Bengaluru</v>
      </c>
      <c r="AP42" t="str">
        <v>Karnataka</v>
      </c>
      <c r="AQ42" t="str">
        <v>South</v>
      </c>
      <c r="AR42" t="str">
        <v>Furniture</v>
      </c>
      <c r="AS42" t="str">
        <v>Table</v>
      </c>
      <c r="AT42">
        <v>3</v>
      </c>
      <c r="AU42">
        <v>559.70000000000005</v>
      </c>
      <c r="AV42">
        <v>1679.1</v>
      </c>
    </row>
    <row r="43" spans="1:48">
      <c r="A43" s="25">
        <v>44951</v>
      </c>
      <c r="B43" t="s">
        <v>1705</v>
      </c>
      <c r="C43" t="s">
        <v>1695</v>
      </c>
      <c r="D43" t="s">
        <v>1696</v>
      </c>
      <c r="E43" t="s">
        <v>1674</v>
      </c>
      <c r="F43" t="s">
        <v>101</v>
      </c>
      <c r="G43" t="s">
        <v>1709</v>
      </c>
      <c r="H43">
        <v>11</v>
      </c>
      <c r="I43">
        <v>1788.39</v>
      </c>
      <c r="J43">
        <v>19672.29</v>
      </c>
      <c r="AA43">
        <v>45200</v>
      </c>
      <c r="AB43" t="str">
        <v>Riya</v>
      </c>
      <c r="AC43" t="str">
        <v>Dwarka</v>
      </c>
      <c r="AD43" t="str">
        <v>Delhi</v>
      </c>
      <c r="AE43" t="str">
        <v>North</v>
      </c>
      <c r="AF43" t="str">
        <v>Furniture</v>
      </c>
      <c r="AG43" t="str">
        <v>Table</v>
      </c>
      <c r="AH43">
        <v>7</v>
      </c>
      <c r="AI43">
        <v>405.27</v>
      </c>
      <c r="AJ43">
        <v>2836.89</v>
      </c>
      <c r="AM43">
        <v>45224</v>
      </c>
      <c r="AN43" t="str">
        <v>Ananya</v>
      </c>
      <c r="AO43" t="str">
        <v>Bengaluru</v>
      </c>
      <c r="AP43" t="str">
        <v>Karnataka</v>
      </c>
      <c r="AQ43" t="str">
        <v>South</v>
      </c>
      <c r="AR43" t="str">
        <v>Groceries</v>
      </c>
      <c r="AS43" t="str">
        <v>Sugar</v>
      </c>
      <c r="AT43">
        <v>16</v>
      </c>
      <c r="AU43">
        <v>4684.8599999999997</v>
      </c>
      <c r="AV43">
        <v>74957.759999999995</v>
      </c>
    </row>
    <row r="44" spans="1:48">
      <c r="A44" s="25">
        <v>45005</v>
      </c>
      <c r="B44" t="s">
        <v>1689</v>
      </c>
      <c r="C44" t="s">
        <v>1695</v>
      </c>
      <c r="D44" t="s">
        <v>1696</v>
      </c>
      <c r="E44" t="s">
        <v>1674</v>
      </c>
      <c r="F44" t="s">
        <v>101</v>
      </c>
      <c r="G44" t="s">
        <v>1709</v>
      </c>
      <c r="H44">
        <v>16</v>
      </c>
      <c r="I44">
        <v>1018.83</v>
      </c>
      <c r="J44">
        <v>16301.28</v>
      </c>
      <c r="AA44">
        <v>45242</v>
      </c>
      <c r="AB44" t="str">
        <v>Riya</v>
      </c>
      <c r="AC44" t="str">
        <v>Dwarka</v>
      </c>
      <c r="AD44" t="str">
        <v>Delhi</v>
      </c>
      <c r="AE44" t="str">
        <v>North</v>
      </c>
      <c r="AF44" t="str">
        <v>Furniture</v>
      </c>
      <c r="AG44" t="str">
        <v>Sofa</v>
      </c>
      <c r="AH44">
        <v>3</v>
      </c>
      <c r="AI44">
        <v>672.84</v>
      </c>
      <c r="AJ44">
        <v>2018.52</v>
      </c>
      <c r="AM44">
        <v>45027</v>
      </c>
      <c r="AN44" t="str">
        <v>Riya</v>
      </c>
      <c r="AO44" t="str">
        <v>Bengaluru</v>
      </c>
      <c r="AP44" t="str">
        <v>Karnataka</v>
      </c>
      <c r="AQ44" t="str">
        <v>South</v>
      </c>
      <c r="AR44" t="str">
        <v>Groceries</v>
      </c>
      <c r="AS44" t="str">
        <v>Sugar</v>
      </c>
      <c r="AT44">
        <v>17</v>
      </c>
      <c r="AU44">
        <v>3973.87</v>
      </c>
      <c r="AV44">
        <v>67555.789999999994</v>
      </c>
    </row>
    <row r="45" spans="1:48">
      <c r="A45" s="25">
        <v>45213</v>
      </c>
      <c r="B45" t="s">
        <v>1676</v>
      </c>
      <c r="C45" t="s">
        <v>1695</v>
      </c>
      <c r="D45" t="s">
        <v>1696</v>
      </c>
      <c r="E45" t="s">
        <v>1674</v>
      </c>
      <c r="F45" t="s">
        <v>101</v>
      </c>
      <c r="G45" t="s">
        <v>1715</v>
      </c>
      <c r="H45">
        <v>13</v>
      </c>
      <c r="I45">
        <v>956.49</v>
      </c>
      <c r="J45">
        <v>12434.37</v>
      </c>
      <c r="AA45">
        <v>45122</v>
      </c>
      <c r="AB45" t="str">
        <v>Aarav</v>
      </c>
      <c r="AC45" t="str">
        <v>Dwarka</v>
      </c>
      <c r="AD45" t="str">
        <v>Delhi</v>
      </c>
      <c r="AE45" t="str">
        <v>North</v>
      </c>
      <c r="AF45" t="str">
        <v>Groceries</v>
      </c>
      <c r="AG45" t="str">
        <v>Sugar</v>
      </c>
      <c r="AH45">
        <v>20</v>
      </c>
      <c r="AI45">
        <v>4711.51</v>
      </c>
      <c r="AJ45">
        <v>94230.2</v>
      </c>
      <c r="AM45">
        <v>45170</v>
      </c>
      <c r="AN45" t="str">
        <v>Riya</v>
      </c>
      <c r="AO45" t="str">
        <v>Bengaluru</v>
      </c>
      <c r="AP45" t="str">
        <v>Karnataka</v>
      </c>
      <c r="AQ45" t="str">
        <v>South</v>
      </c>
      <c r="AR45" t="str">
        <v>Groceries</v>
      </c>
      <c r="AS45" t="str">
        <v>Sugar</v>
      </c>
      <c r="AT45">
        <v>17</v>
      </c>
      <c r="AU45">
        <v>2920.06</v>
      </c>
      <c r="AV45">
        <v>49641.02</v>
      </c>
    </row>
    <row r="46" spans="1:48">
      <c r="A46" s="25">
        <v>45159</v>
      </c>
      <c r="B46" t="s">
        <v>1694</v>
      </c>
      <c r="C46" t="s">
        <v>1695</v>
      </c>
      <c r="D46" t="s">
        <v>1696</v>
      </c>
      <c r="E46" t="s">
        <v>1674</v>
      </c>
      <c r="F46" t="s">
        <v>101</v>
      </c>
      <c r="G46" t="s">
        <v>1709</v>
      </c>
      <c r="H46">
        <v>10</v>
      </c>
      <c r="I46">
        <v>1097.83</v>
      </c>
      <c r="J46">
        <v>10978.3</v>
      </c>
      <c r="AA46">
        <v>45103</v>
      </c>
      <c r="AB46" t="str">
        <v>Ananya</v>
      </c>
      <c r="AC46" t="str">
        <v>Dwarka</v>
      </c>
      <c r="AD46" t="str">
        <v>Delhi</v>
      </c>
      <c r="AE46" t="str">
        <v>North</v>
      </c>
      <c r="AF46" t="str">
        <v>Groceries</v>
      </c>
      <c r="AG46" t="str">
        <v>Oil</v>
      </c>
      <c r="AH46">
        <v>14</v>
      </c>
      <c r="AI46">
        <v>3829.68</v>
      </c>
      <c r="AJ46">
        <v>53615.519999999997</v>
      </c>
      <c r="AM46">
        <v>45000</v>
      </c>
      <c r="AN46" t="str">
        <v>Aditi</v>
      </c>
      <c r="AO46" t="str">
        <v>Bengaluru</v>
      </c>
      <c r="AP46" t="str">
        <v>Karnataka</v>
      </c>
      <c r="AQ46" t="str">
        <v>South</v>
      </c>
      <c r="AR46" t="str">
        <v>Groceries</v>
      </c>
      <c r="AS46" t="str">
        <v>Sugar</v>
      </c>
      <c r="AT46">
        <v>20</v>
      </c>
      <c r="AU46">
        <v>2409.6799999999998</v>
      </c>
      <c r="AV46">
        <v>48193.599999999999</v>
      </c>
    </row>
    <row r="47" spans="1:48">
      <c r="A47" s="25">
        <v>44979</v>
      </c>
      <c r="B47" t="s">
        <v>1686</v>
      </c>
      <c r="C47" t="s">
        <v>1695</v>
      </c>
      <c r="D47" t="s">
        <v>1696</v>
      </c>
      <c r="E47" t="s">
        <v>1674</v>
      </c>
      <c r="F47" t="s">
        <v>101</v>
      </c>
      <c r="G47" t="s">
        <v>1709</v>
      </c>
      <c r="H47">
        <v>11</v>
      </c>
      <c r="I47">
        <v>575.73</v>
      </c>
      <c r="J47">
        <v>6333.03</v>
      </c>
      <c r="AA47">
        <v>45034</v>
      </c>
      <c r="AB47" t="str">
        <v>Aarav</v>
      </c>
      <c r="AC47" t="str">
        <v>Dwarka</v>
      </c>
      <c r="AD47" t="str">
        <v>Delhi</v>
      </c>
      <c r="AE47" t="str">
        <v>North</v>
      </c>
      <c r="AF47" t="str">
        <v>Groceries</v>
      </c>
      <c r="AG47" t="str">
        <v>Lentils</v>
      </c>
      <c r="AH47">
        <v>5</v>
      </c>
      <c r="AI47">
        <v>3199.14</v>
      </c>
      <c r="AJ47">
        <v>15995.7</v>
      </c>
      <c r="AM47">
        <v>45137</v>
      </c>
      <c r="AN47" t="str">
        <v>Aarav</v>
      </c>
      <c r="AO47" t="str">
        <v>Bengaluru</v>
      </c>
      <c r="AP47" t="str">
        <v>Karnataka</v>
      </c>
      <c r="AQ47" t="str">
        <v>South</v>
      </c>
      <c r="AR47" t="str">
        <v>Groceries</v>
      </c>
      <c r="AS47" t="str">
        <v>Oil</v>
      </c>
      <c r="AT47">
        <v>15</v>
      </c>
      <c r="AU47">
        <v>3100.61</v>
      </c>
      <c r="AV47">
        <v>46509.15</v>
      </c>
    </row>
    <row r="48" spans="1:48">
      <c r="A48" s="25">
        <v>45029</v>
      </c>
      <c r="B48" t="s">
        <v>1676</v>
      </c>
      <c r="C48" t="s">
        <v>1695</v>
      </c>
      <c r="D48" t="s">
        <v>1696</v>
      </c>
      <c r="E48" t="s">
        <v>1674</v>
      </c>
      <c r="F48" t="s">
        <v>101</v>
      </c>
      <c r="G48" t="s">
        <v>1719</v>
      </c>
      <c r="H48">
        <v>3</v>
      </c>
      <c r="I48">
        <v>1270.1500000000001</v>
      </c>
      <c r="J48">
        <v>3810.45</v>
      </c>
      <c r="AA48">
        <v>45286</v>
      </c>
      <c r="AB48" t="str">
        <v>Nishant</v>
      </c>
      <c r="AC48" t="str">
        <v>Dwarka</v>
      </c>
      <c r="AD48" t="str">
        <v>Delhi</v>
      </c>
      <c r="AE48" t="str">
        <v>North</v>
      </c>
      <c r="AF48" t="str">
        <v>Groceries</v>
      </c>
      <c r="AG48" t="str">
        <v>Oil</v>
      </c>
      <c r="AH48">
        <v>18</v>
      </c>
      <c r="AI48">
        <v>330.49</v>
      </c>
      <c r="AJ48">
        <v>5948.82</v>
      </c>
      <c r="AM48">
        <v>45052</v>
      </c>
      <c r="AN48" t="str">
        <v>Nishant</v>
      </c>
      <c r="AO48" t="str">
        <v>Bengaluru</v>
      </c>
      <c r="AP48" t="str">
        <v>Karnataka</v>
      </c>
      <c r="AQ48" t="str">
        <v>South</v>
      </c>
      <c r="AR48" t="str">
        <v>Groceries</v>
      </c>
      <c r="AS48" t="str">
        <v>Sugar</v>
      </c>
      <c r="AT48">
        <v>8</v>
      </c>
      <c r="AU48">
        <v>4612.53</v>
      </c>
      <c r="AV48">
        <v>36900.239999999998</v>
      </c>
    </row>
    <row r="49" spans="1:48">
      <c r="A49" s="25">
        <v>45214</v>
      </c>
      <c r="B49" t="s">
        <v>1692</v>
      </c>
      <c r="C49" t="s">
        <v>1695</v>
      </c>
      <c r="D49" t="s">
        <v>1696</v>
      </c>
      <c r="E49" t="s">
        <v>1674</v>
      </c>
      <c r="F49" t="s">
        <v>101</v>
      </c>
      <c r="G49" t="s">
        <v>1709</v>
      </c>
      <c r="H49">
        <v>5</v>
      </c>
      <c r="I49">
        <v>606.49</v>
      </c>
      <c r="J49">
        <v>3032.45</v>
      </c>
      <c r="AA49">
        <v>45214</v>
      </c>
      <c r="AB49" t="str">
        <v>Riya</v>
      </c>
      <c r="AC49" t="str">
        <v>Dwarka</v>
      </c>
      <c r="AD49" t="str">
        <v>Delhi</v>
      </c>
      <c r="AE49" t="str">
        <v>North</v>
      </c>
      <c r="AF49" t="str">
        <v>Groceries</v>
      </c>
      <c r="AG49" t="str">
        <v>Sugar</v>
      </c>
      <c r="AH49">
        <v>6</v>
      </c>
      <c r="AI49">
        <v>830.82</v>
      </c>
      <c r="AJ49">
        <v>4984.92</v>
      </c>
      <c r="AM49">
        <v>45043</v>
      </c>
      <c r="AN49" t="str">
        <v>Aarav</v>
      </c>
      <c r="AO49" t="str">
        <v>Bengaluru</v>
      </c>
      <c r="AP49" t="str">
        <v>Karnataka</v>
      </c>
      <c r="AQ49" t="str">
        <v>South</v>
      </c>
      <c r="AR49" t="str">
        <v>Groceries</v>
      </c>
      <c r="AS49" t="str">
        <v>Sugar</v>
      </c>
      <c r="AT49">
        <v>7</v>
      </c>
      <c r="AU49">
        <v>4898.57</v>
      </c>
      <c r="AV49">
        <v>34289.99</v>
      </c>
    </row>
    <row r="50" spans="1:48">
      <c r="A50" s="25">
        <v>44978</v>
      </c>
      <c r="B50" t="s">
        <v>1705</v>
      </c>
      <c r="C50" t="s">
        <v>1695</v>
      </c>
      <c r="D50" t="s">
        <v>1696</v>
      </c>
      <c r="E50" t="s">
        <v>1674</v>
      </c>
      <c r="F50" t="s">
        <v>101</v>
      </c>
      <c r="G50" t="s">
        <v>1709</v>
      </c>
      <c r="H50">
        <v>1</v>
      </c>
      <c r="I50">
        <v>2333.7800000000002</v>
      </c>
      <c r="J50">
        <v>2333.7800000000002</v>
      </c>
      <c r="AA50">
        <v>45034</v>
      </c>
      <c r="AB50" t="str">
        <v>Nishant</v>
      </c>
      <c r="AC50" t="str">
        <v>Dwarka</v>
      </c>
      <c r="AD50" t="str">
        <v>Delhi</v>
      </c>
      <c r="AE50" t="str">
        <v>North</v>
      </c>
      <c r="AF50" t="str">
        <v>Groceries</v>
      </c>
      <c r="AG50" t="str">
        <v>Oil</v>
      </c>
      <c r="AH50">
        <v>2</v>
      </c>
      <c r="AI50">
        <v>2338.61</v>
      </c>
      <c r="AJ50">
        <v>4677.22</v>
      </c>
      <c r="AM50">
        <v>45204</v>
      </c>
      <c r="AN50" t="str">
        <v>Aryan</v>
      </c>
      <c r="AO50" t="str">
        <v>Bengaluru</v>
      </c>
      <c r="AP50" t="str">
        <v>Karnataka</v>
      </c>
      <c r="AQ50" t="str">
        <v>South</v>
      </c>
      <c r="AR50" t="str">
        <v>Groceries</v>
      </c>
      <c r="AS50" t="str">
        <v>Rice</v>
      </c>
      <c r="AT50">
        <v>16</v>
      </c>
      <c r="AU50">
        <v>1880.67</v>
      </c>
      <c r="AV50">
        <v>30090.720000000001</v>
      </c>
    </row>
    <row r="51" spans="1:48">
      <c r="A51" s="25">
        <v>45035</v>
      </c>
      <c r="B51" t="s">
        <v>1692</v>
      </c>
      <c r="C51" t="s">
        <v>1695</v>
      </c>
      <c r="D51" t="s">
        <v>1696</v>
      </c>
      <c r="E51" t="s">
        <v>1674</v>
      </c>
      <c r="F51" t="s">
        <v>1687</v>
      </c>
      <c r="G51" t="s">
        <v>1688</v>
      </c>
      <c r="H51">
        <v>20</v>
      </c>
      <c r="I51">
        <v>4856.17</v>
      </c>
      <c r="J51">
        <v>97123.4</v>
      </c>
      <c r="AA51">
        <v>45089</v>
      </c>
      <c r="AB51" t="str">
        <v>Aarav</v>
      </c>
      <c r="AC51" t="str">
        <v>Dwarka</v>
      </c>
      <c r="AD51" t="str">
        <v>Delhi</v>
      </c>
      <c r="AE51" t="str">
        <v>North</v>
      </c>
      <c r="AF51" t="str">
        <v>Groceries</v>
      </c>
      <c r="AG51" t="str">
        <v>Sugar</v>
      </c>
      <c r="AH51">
        <v>7</v>
      </c>
      <c r="AI51">
        <v>256.57</v>
      </c>
      <c r="AJ51">
        <v>1795.99</v>
      </c>
      <c r="AM51">
        <v>45232</v>
      </c>
      <c r="AN51" t="str">
        <v>Meera</v>
      </c>
      <c r="AO51" t="str">
        <v>Bengaluru</v>
      </c>
      <c r="AP51" t="str">
        <v>Karnataka</v>
      </c>
      <c r="AQ51" t="str">
        <v>South</v>
      </c>
      <c r="AR51" t="str">
        <v>Groceries</v>
      </c>
      <c r="AS51" t="str">
        <v>Oil</v>
      </c>
      <c r="AT51">
        <v>12</v>
      </c>
      <c r="AU51">
        <v>1837.2</v>
      </c>
      <c r="AV51">
        <v>22046.400000000001</v>
      </c>
    </row>
    <row r="52" spans="1:48">
      <c r="A52" s="25">
        <v>45118</v>
      </c>
      <c r="B52" t="s">
        <v>1681</v>
      </c>
      <c r="C52" t="s">
        <v>1695</v>
      </c>
      <c r="D52" t="s">
        <v>1696</v>
      </c>
      <c r="E52" t="s">
        <v>1674</v>
      </c>
      <c r="F52" t="s">
        <v>1687</v>
      </c>
      <c r="G52" t="s">
        <v>1710</v>
      </c>
      <c r="H52">
        <v>14</v>
      </c>
      <c r="I52">
        <v>4566.12</v>
      </c>
      <c r="J52">
        <v>63925.68</v>
      </c>
      <c r="AA52">
        <v>44977</v>
      </c>
      <c r="AB52" t="str">
        <v>Ishita</v>
      </c>
      <c r="AC52" t="str">
        <v>Dwarka</v>
      </c>
      <c r="AD52" t="str">
        <v>Delhi</v>
      </c>
      <c r="AE52" t="str">
        <v>North</v>
      </c>
      <c r="AF52" t="str">
        <v>Stationery</v>
      </c>
      <c r="AG52" t="str">
        <v>Eraser</v>
      </c>
      <c r="AH52">
        <v>19</v>
      </c>
      <c r="AI52">
        <v>4528.95</v>
      </c>
      <c r="AJ52">
        <v>86050.05</v>
      </c>
      <c r="AM52">
        <v>45096</v>
      </c>
      <c r="AN52" t="str">
        <v>Kabir</v>
      </c>
      <c r="AO52" t="str">
        <v>Bengaluru</v>
      </c>
      <c r="AP52" t="str">
        <v>Karnataka</v>
      </c>
      <c r="AQ52" t="str">
        <v>South</v>
      </c>
      <c r="AR52" t="str">
        <v>Groceries</v>
      </c>
      <c r="AS52" t="str">
        <v>Oil</v>
      </c>
      <c r="AT52">
        <v>9</v>
      </c>
      <c r="AU52">
        <v>1765.86</v>
      </c>
      <c r="AV52">
        <v>15892.74</v>
      </c>
    </row>
    <row r="53" spans="1:48">
      <c r="A53" s="25">
        <v>45166</v>
      </c>
      <c r="B53" t="s">
        <v>1676</v>
      </c>
      <c r="C53" t="s">
        <v>1695</v>
      </c>
      <c r="D53" t="s">
        <v>1696</v>
      </c>
      <c r="E53" t="s">
        <v>1674</v>
      </c>
      <c r="F53" t="s">
        <v>1687</v>
      </c>
      <c r="G53" t="s">
        <v>1688</v>
      </c>
      <c r="H53">
        <v>20</v>
      </c>
      <c r="I53">
        <v>3184.86</v>
      </c>
      <c r="J53">
        <v>63697.2</v>
      </c>
      <c r="AA53">
        <v>45071</v>
      </c>
      <c r="AB53" t="str">
        <v>Meera</v>
      </c>
      <c r="AC53" t="str">
        <v>Dwarka</v>
      </c>
      <c r="AD53" t="str">
        <v>Delhi</v>
      </c>
      <c r="AE53" t="str">
        <v>North</v>
      </c>
      <c r="AF53" t="str">
        <v>Stationery</v>
      </c>
      <c r="AG53" t="str">
        <v>Pen</v>
      </c>
      <c r="AH53">
        <v>20</v>
      </c>
      <c r="AI53">
        <v>3393.01</v>
      </c>
      <c r="AJ53">
        <v>67860.2</v>
      </c>
      <c r="AM53">
        <v>45201</v>
      </c>
      <c r="AN53" t="str">
        <v>Aarav</v>
      </c>
      <c r="AO53" t="str">
        <v>Bengaluru</v>
      </c>
      <c r="AP53" t="str">
        <v>Karnataka</v>
      </c>
      <c r="AQ53" t="str">
        <v>South</v>
      </c>
      <c r="AR53" t="str">
        <v>Groceries</v>
      </c>
      <c r="AS53" t="str">
        <v>Oil</v>
      </c>
      <c r="AT53">
        <v>19</v>
      </c>
      <c r="AU53">
        <v>797.02</v>
      </c>
      <c r="AV53">
        <v>15143.38</v>
      </c>
    </row>
    <row r="54" spans="1:48">
      <c r="A54" s="25">
        <v>44994</v>
      </c>
      <c r="B54" t="s">
        <v>1692</v>
      </c>
      <c r="C54" t="s">
        <v>1695</v>
      </c>
      <c r="D54" t="s">
        <v>1696</v>
      </c>
      <c r="E54" t="s">
        <v>1674</v>
      </c>
      <c r="F54" t="s">
        <v>1687</v>
      </c>
      <c r="G54" t="s">
        <v>1710</v>
      </c>
      <c r="H54">
        <v>11</v>
      </c>
      <c r="I54">
        <v>4209.66</v>
      </c>
      <c r="J54">
        <v>46306.26</v>
      </c>
      <c r="AA54">
        <v>45055</v>
      </c>
      <c r="AB54" t="str">
        <v>Nishant</v>
      </c>
      <c r="AC54" t="str">
        <v>Dwarka</v>
      </c>
      <c r="AD54" t="str">
        <v>Delhi</v>
      </c>
      <c r="AE54" t="str">
        <v>North</v>
      </c>
      <c r="AF54" t="str">
        <v>Stationery</v>
      </c>
      <c r="AG54" t="str">
        <v>Eraser</v>
      </c>
      <c r="AH54">
        <v>18</v>
      </c>
      <c r="AI54">
        <v>3093.44</v>
      </c>
      <c r="AJ54">
        <v>55681.919999999998</v>
      </c>
      <c r="AM54">
        <v>45257</v>
      </c>
      <c r="AN54" t="str">
        <v>Meera</v>
      </c>
      <c r="AO54" t="str">
        <v>Bengaluru</v>
      </c>
      <c r="AP54" t="str">
        <v>Karnataka</v>
      </c>
      <c r="AQ54" t="str">
        <v>South</v>
      </c>
      <c r="AR54" t="str">
        <v>Groceries</v>
      </c>
      <c r="AS54" t="str">
        <v>Rice</v>
      </c>
      <c r="AT54">
        <v>4</v>
      </c>
      <c r="AU54">
        <v>3762.47</v>
      </c>
      <c r="AV54">
        <v>15049.88</v>
      </c>
    </row>
    <row r="55" spans="1:48">
      <c r="A55" s="25">
        <v>45277</v>
      </c>
      <c r="B55" t="s">
        <v>1705</v>
      </c>
      <c r="C55" t="s">
        <v>1695</v>
      </c>
      <c r="D55" t="s">
        <v>1696</v>
      </c>
      <c r="E55" t="s">
        <v>1674</v>
      </c>
      <c r="F55" t="s">
        <v>1687</v>
      </c>
      <c r="G55" t="s">
        <v>1704</v>
      </c>
      <c r="H55">
        <v>10</v>
      </c>
      <c r="I55">
        <v>4507.62</v>
      </c>
      <c r="J55">
        <v>45076.2</v>
      </c>
      <c r="AA55">
        <v>45043</v>
      </c>
      <c r="AB55" t="str">
        <v>Meera</v>
      </c>
      <c r="AC55" t="str">
        <v>Dwarka</v>
      </c>
      <c r="AD55" t="str">
        <v>Delhi</v>
      </c>
      <c r="AE55" t="str">
        <v>North</v>
      </c>
      <c r="AF55" t="str">
        <v>Stationery</v>
      </c>
      <c r="AG55" t="str">
        <v>Notebook</v>
      </c>
      <c r="AH55">
        <v>19</v>
      </c>
      <c r="AI55">
        <v>2816.52</v>
      </c>
      <c r="AJ55">
        <v>53513.88</v>
      </c>
      <c r="AM55">
        <v>45064</v>
      </c>
      <c r="AN55" t="str">
        <v>Nishant</v>
      </c>
      <c r="AO55" t="str">
        <v>Bengaluru</v>
      </c>
      <c r="AP55" t="str">
        <v>Karnataka</v>
      </c>
      <c r="AQ55" t="str">
        <v>South</v>
      </c>
      <c r="AR55" t="str">
        <v>Groceries</v>
      </c>
      <c r="AS55" t="str">
        <v>Sugar</v>
      </c>
      <c r="AT55">
        <v>8</v>
      </c>
      <c r="AU55">
        <v>1762.43</v>
      </c>
      <c r="AV55">
        <v>14099.44</v>
      </c>
    </row>
    <row r="56" spans="1:48">
      <c r="A56" s="25">
        <v>45116</v>
      </c>
      <c r="B56" t="s">
        <v>1705</v>
      </c>
      <c r="C56" t="s">
        <v>1695</v>
      </c>
      <c r="D56" t="s">
        <v>1696</v>
      </c>
      <c r="E56" t="s">
        <v>1674</v>
      </c>
      <c r="F56" t="s">
        <v>1687</v>
      </c>
      <c r="G56" t="s">
        <v>1708</v>
      </c>
      <c r="H56">
        <v>20</v>
      </c>
      <c r="I56">
        <v>1580.59</v>
      </c>
      <c r="J56">
        <v>31611.8</v>
      </c>
      <c r="AA56">
        <v>45043</v>
      </c>
      <c r="AB56" t="str">
        <v>Kabir</v>
      </c>
      <c r="AC56" t="str">
        <v>Dwarka</v>
      </c>
      <c r="AD56" t="str">
        <v>Delhi</v>
      </c>
      <c r="AE56" t="str">
        <v>North</v>
      </c>
      <c r="AF56" t="str">
        <v>Stationery</v>
      </c>
      <c r="AG56" t="str">
        <v>Ruler</v>
      </c>
      <c r="AH56">
        <v>12</v>
      </c>
      <c r="AI56">
        <v>4298</v>
      </c>
      <c r="AJ56">
        <v>51576</v>
      </c>
      <c r="AM56">
        <v>45118</v>
      </c>
      <c r="AN56" t="str">
        <v>Ananya</v>
      </c>
      <c r="AO56" t="str">
        <v>Bengaluru</v>
      </c>
      <c r="AP56" t="str">
        <v>Karnataka</v>
      </c>
      <c r="AQ56" t="str">
        <v>South</v>
      </c>
      <c r="AR56" t="str">
        <v>Groceries</v>
      </c>
      <c r="AS56" t="str">
        <v>Sugar</v>
      </c>
      <c r="AT56">
        <v>3</v>
      </c>
      <c r="AU56">
        <v>4234</v>
      </c>
      <c r="AV56">
        <v>12702</v>
      </c>
    </row>
    <row r="57" spans="1:48">
      <c r="A57" s="25">
        <v>45114</v>
      </c>
      <c r="B57" t="s">
        <v>1671</v>
      </c>
      <c r="C57" t="s">
        <v>1695</v>
      </c>
      <c r="D57" t="s">
        <v>1696</v>
      </c>
      <c r="E57" t="s">
        <v>1674</v>
      </c>
      <c r="F57" t="s">
        <v>1687</v>
      </c>
      <c r="G57" t="s">
        <v>1704</v>
      </c>
      <c r="H57">
        <v>8</v>
      </c>
      <c r="I57">
        <v>3069.86</v>
      </c>
      <c r="J57">
        <v>24558.880000000001</v>
      </c>
      <c r="AA57">
        <v>45171</v>
      </c>
      <c r="AB57" t="str">
        <v>Meera</v>
      </c>
      <c r="AC57" t="str">
        <v>Dwarka</v>
      </c>
      <c r="AD57" t="str">
        <v>Delhi</v>
      </c>
      <c r="AE57" t="str">
        <v>North</v>
      </c>
      <c r="AF57" t="str">
        <v>Stationery</v>
      </c>
      <c r="AG57" t="str">
        <v>Ruler</v>
      </c>
      <c r="AH57">
        <v>12</v>
      </c>
      <c r="AI57">
        <v>3040.08</v>
      </c>
      <c r="AJ57">
        <v>36480.959999999999</v>
      </c>
      <c r="AM57">
        <v>45057</v>
      </c>
      <c r="AN57" t="str">
        <v>Riya</v>
      </c>
      <c r="AO57" t="str">
        <v>Bengaluru</v>
      </c>
      <c r="AP57" t="str">
        <v>Karnataka</v>
      </c>
      <c r="AQ57" t="str">
        <v>South</v>
      </c>
      <c r="AR57" t="str">
        <v>Groceries</v>
      </c>
      <c r="AS57" t="str">
        <v>Lentils</v>
      </c>
      <c r="AT57">
        <v>3</v>
      </c>
      <c r="AU57">
        <v>3107.88</v>
      </c>
      <c r="AV57">
        <v>9323.64</v>
      </c>
    </row>
    <row r="58" spans="1:48">
      <c r="A58" s="25">
        <v>45218</v>
      </c>
      <c r="B58" t="s">
        <v>1676</v>
      </c>
      <c r="C58" t="s">
        <v>1695</v>
      </c>
      <c r="D58" t="s">
        <v>1696</v>
      </c>
      <c r="E58" t="s">
        <v>1674</v>
      </c>
      <c r="F58" t="s">
        <v>1687</v>
      </c>
      <c r="G58" t="s">
        <v>1710</v>
      </c>
      <c r="H58">
        <v>12</v>
      </c>
      <c r="I58">
        <v>548.36</v>
      </c>
      <c r="J58">
        <v>6580.32</v>
      </c>
      <c r="AA58">
        <v>45280</v>
      </c>
      <c r="AB58" t="str">
        <v>Ananya</v>
      </c>
      <c r="AC58" t="str">
        <v>Dwarka</v>
      </c>
      <c r="AD58" t="str">
        <v>Delhi</v>
      </c>
      <c r="AE58" t="str">
        <v>North</v>
      </c>
      <c r="AF58" t="str">
        <v>Stationery</v>
      </c>
      <c r="AG58" t="str">
        <v>Eraser</v>
      </c>
      <c r="AH58">
        <v>7</v>
      </c>
      <c r="AI58">
        <v>4673.3100000000004</v>
      </c>
      <c r="AJ58">
        <v>32713.17</v>
      </c>
      <c r="AM58">
        <v>45167</v>
      </c>
      <c r="AN58" t="str">
        <v>Riya</v>
      </c>
      <c r="AO58" t="str">
        <v>Bengaluru</v>
      </c>
      <c r="AP58" t="str">
        <v>Karnataka</v>
      </c>
      <c r="AQ58" t="str">
        <v>South</v>
      </c>
      <c r="AR58" t="str">
        <v>Groceries</v>
      </c>
      <c r="AS58" t="str">
        <v>Rice</v>
      </c>
      <c r="AT58">
        <v>8</v>
      </c>
      <c r="AU58">
        <v>1011.67</v>
      </c>
      <c r="AV58">
        <v>8093.36</v>
      </c>
    </row>
    <row r="59" spans="1:48">
      <c r="A59" s="25">
        <v>45060</v>
      </c>
      <c r="B59" t="s">
        <v>1676</v>
      </c>
      <c r="C59" t="s">
        <v>1695</v>
      </c>
      <c r="D59" t="s">
        <v>1696</v>
      </c>
      <c r="E59" t="s">
        <v>1674</v>
      </c>
      <c r="F59" t="s">
        <v>1687</v>
      </c>
      <c r="G59" t="s">
        <v>1708</v>
      </c>
      <c r="H59">
        <v>1</v>
      </c>
      <c r="I59">
        <v>403.2</v>
      </c>
      <c r="J59">
        <v>403.2</v>
      </c>
      <c r="AA59">
        <v>45229</v>
      </c>
      <c r="AB59" t="str">
        <v>Kabir</v>
      </c>
      <c r="AC59" t="str">
        <v>Dwarka</v>
      </c>
      <c r="AD59" t="str">
        <v>Delhi</v>
      </c>
      <c r="AE59" t="str">
        <v>North</v>
      </c>
      <c r="AF59" t="str">
        <v>Stationery</v>
      </c>
      <c r="AG59" t="str">
        <v>Ruler</v>
      </c>
      <c r="AH59">
        <v>13</v>
      </c>
      <c r="AI59">
        <v>1782.01</v>
      </c>
      <c r="AJ59">
        <v>23166.13</v>
      </c>
      <c r="AM59">
        <v>45221</v>
      </c>
      <c r="AN59" t="str">
        <v>Meera</v>
      </c>
      <c r="AO59" t="str">
        <v>Bengaluru</v>
      </c>
      <c r="AP59" t="str">
        <v>Karnataka</v>
      </c>
      <c r="AQ59" t="str">
        <v>South</v>
      </c>
      <c r="AR59" t="str">
        <v>Groceries</v>
      </c>
      <c r="AS59" t="str">
        <v>Sugar</v>
      </c>
      <c r="AT59">
        <v>11</v>
      </c>
      <c r="AU59">
        <v>735.74</v>
      </c>
      <c r="AV59">
        <v>8093.14</v>
      </c>
    </row>
    <row r="60" spans="1:48">
      <c r="A60" s="25">
        <v>45016</v>
      </c>
      <c r="B60" t="s">
        <v>1681</v>
      </c>
      <c r="C60" t="s">
        <v>1695</v>
      </c>
      <c r="D60" t="s">
        <v>1696</v>
      </c>
      <c r="E60" t="s">
        <v>1674</v>
      </c>
      <c r="F60" t="s">
        <v>114</v>
      </c>
      <c r="G60" t="s">
        <v>1712</v>
      </c>
      <c r="H60">
        <v>17</v>
      </c>
      <c r="I60">
        <v>3844.7</v>
      </c>
      <c r="J60">
        <v>65359.9</v>
      </c>
      <c r="AA60">
        <v>45228</v>
      </c>
      <c r="AB60" t="str">
        <v>Kabir</v>
      </c>
      <c r="AC60" t="str">
        <v>Dwarka</v>
      </c>
      <c r="AD60" t="str">
        <v>Delhi</v>
      </c>
      <c r="AE60" t="str">
        <v>North</v>
      </c>
      <c r="AF60" t="str">
        <v>Stationery</v>
      </c>
      <c r="AG60" t="str">
        <v>Ruler</v>
      </c>
      <c r="AH60">
        <v>9</v>
      </c>
      <c r="AI60">
        <v>2304.23</v>
      </c>
      <c r="AJ60">
        <v>20738.07</v>
      </c>
      <c r="AM60">
        <v>45256</v>
      </c>
      <c r="AN60" t="str">
        <v>Vihaan</v>
      </c>
      <c r="AO60" t="str">
        <v>Bengaluru</v>
      </c>
      <c r="AP60" t="str">
        <v>Karnataka</v>
      </c>
      <c r="AQ60" t="str">
        <v>South</v>
      </c>
      <c r="AR60" t="str">
        <v>Groceries</v>
      </c>
      <c r="AS60" t="str">
        <v>Sugar</v>
      </c>
      <c r="AT60">
        <v>1</v>
      </c>
      <c r="AU60">
        <v>4555.42</v>
      </c>
      <c r="AV60">
        <v>4555.42</v>
      </c>
    </row>
    <row r="61" spans="1:48">
      <c r="A61" s="25">
        <v>44975</v>
      </c>
      <c r="B61" t="s">
        <v>1694</v>
      </c>
      <c r="C61" t="s">
        <v>1695</v>
      </c>
      <c r="D61" t="s">
        <v>1696</v>
      </c>
      <c r="E61" t="s">
        <v>1674</v>
      </c>
      <c r="F61" t="s">
        <v>114</v>
      </c>
      <c r="G61" t="s">
        <v>1691</v>
      </c>
      <c r="H61">
        <v>14</v>
      </c>
      <c r="I61">
        <v>2452.98</v>
      </c>
      <c r="J61">
        <v>34341.72</v>
      </c>
      <c r="AA61">
        <v>45116</v>
      </c>
      <c r="AB61" t="str">
        <v>Nishant</v>
      </c>
      <c r="AC61" t="str">
        <v>Dwarka</v>
      </c>
      <c r="AD61" t="str">
        <v>Delhi</v>
      </c>
      <c r="AE61" t="str">
        <v>North</v>
      </c>
      <c r="AF61" t="str">
        <v>Stationery</v>
      </c>
      <c r="AG61" t="str">
        <v>Eraser</v>
      </c>
      <c r="AH61">
        <v>7</v>
      </c>
      <c r="AI61">
        <v>2861.67</v>
      </c>
      <c r="AJ61">
        <v>20031.689999999999</v>
      </c>
      <c r="AM61">
        <v>45018</v>
      </c>
      <c r="AN61" t="str">
        <v>Vihaan</v>
      </c>
      <c r="AO61" t="str">
        <v>Bengaluru</v>
      </c>
      <c r="AP61" t="str">
        <v>Karnataka</v>
      </c>
      <c r="AQ61" t="str">
        <v>South</v>
      </c>
      <c r="AR61" t="str">
        <v>Groceries</v>
      </c>
      <c r="AS61" t="str">
        <v>Sugar</v>
      </c>
      <c r="AT61">
        <v>3</v>
      </c>
      <c r="AU61">
        <v>1435.01</v>
      </c>
      <c r="AV61">
        <v>4305.03</v>
      </c>
    </row>
    <row r="62" spans="1:48">
      <c r="A62" s="25">
        <v>45110</v>
      </c>
      <c r="B62" t="s">
        <v>1676</v>
      </c>
      <c r="C62" t="s">
        <v>1695</v>
      </c>
      <c r="D62" t="s">
        <v>1696</v>
      </c>
      <c r="E62" t="s">
        <v>1674</v>
      </c>
      <c r="F62" t="s">
        <v>114</v>
      </c>
      <c r="G62" t="s">
        <v>1712</v>
      </c>
      <c r="H62">
        <v>11</v>
      </c>
      <c r="I62">
        <v>2416.1799999999998</v>
      </c>
      <c r="J62">
        <v>26577.98</v>
      </c>
      <c r="AA62">
        <v>44930</v>
      </c>
      <c r="AB62" t="str">
        <v>Kabir</v>
      </c>
      <c r="AC62" t="str">
        <v>Dwarka</v>
      </c>
      <c r="AD62" t="str">
        <v>Delhi</v>
      </c>
      <c r="AE62" t="str">
        <v>North</v>
      </c>
      <c r="AF62" t="str">
        <v>Stationery</v>
      </c>
      <c r="AG62" t="str">
        <v>Eraser</v>
      </c>
      <c r="AH62">
        <v>18</v>
      </c>
      <c r="AI62">
        <v>1042.99</v>
      </c>
      <c r="AJ62">
        <v>18773.82</v>
      </c>
      <c r="AM62">
        <v>45088</v>
      </c>
      <c r="AN62" t="str">
        <v>Ananya</v>
      </c>
      <c r="AO62" t="str">
        <v>Bengaluru</v>
      </c>
      <c r="AP62" t="str">
        <v>Karnataka</v>
      </c>
      <c r="AQ62" t="str">
        <v>South</v>
      </c>
      <c r="AR62" t="str">
        <v>Groceries</v>
      </c>
      <c r="AS62" t="str">
        <v>Lentils</v>
      </c>
      <c r="AT62">
        <v>1</v>
      </c>
      <c r="AU62">
        <v>2777.22</v>
      </c>
      <c r="AV62">
        <v>2777.22</v>
      </c>
    </row>
    <row r="63" spans="1:48">
      <c r="A63" s="25">
        <v>45138</v>
      </c>
      <c r="B63" t="s">
        <v>1700</v>
      </c>
      <c r="C63" t="s">
        <v>1695</v>
      </c>
      <c r="D63" t="s">
        <v>1696</v>
      </c>
      <c r="E63" t="s">
        <v>1674</v>
      </c>
      <c r="F63" t="s">
        <v>114</v>
      </c>
      <c r="G63" t="s">
        <v>1680</v>
      </c>
      <c r="H63">
        <v>6</v>
      </c>
      <c r="I63">
        <v>3847.76</v>
      </c>
      <c r="J63">
        <v>23086.560000000001</v>
      </c>
      <c r="AA63">
        <v>45105</v>
      </c>
      <c r="AB63" t="str">
        <v>Riya</v>
      </c>
      <c r="AC63" t="str">
        <v>Dwarka</v>
      </c>
      <c r="AD63" t="str">
        <v>Delhi</v>
      </c>
      <c r="AE63" t="str">
        <v>North</v>
      </c>
      <c r="AF63" t="str">
        <v>Stationery</v>
      </c>
      <c r="AG63" t="str">
        <v>Pen</v>
      </c>
      <c r="AH63">
        <v>13</v>
      </c>
      <c r="AI63">
        <v>1367.15</v>
      </c>
      <c r="AJ63">
        <v>17772.95</v>
      </c>
      <c r="AM63">
        <v>45222</v>
      </c>
      <c r="AN63" t="str">
        <v>Meera</v>
      </c>
      <c r="AO63" t="str">
        <v>Bengaluru</v>
      </c>
      <c r="AP63" t="str">
        <v>Karnataka</v>
      </c>
      <c r="AQ63" t="str">
        <v>South</v>
      </c>
      <c r="AR63" t="str">
        <v>Groceries</v>
      </c>
      <c r="AS63" t="str">
        <v>Oil</v>
      </c>
      <c r="AT63">
        <v>9</v>
      </c>
      <c r="AU63">
        <v>209.57</v>
      </c>
      <c r="AV63">
        <v>1886.13</v>
      </c>
    </row>
    <row r="64" spans="1:48">
      <c r="A64" s="25">
        <v>45102</v>
      </c>
      <c r="B64" t="s">
        <v>1689</v>
      </c>
      <c r="C64" t="s">
        <v>1695</v>
      </c>
      <c r="D64" t="s">
        <v>1696</v>
      </c>
      <c r="E64" t="s">
        <v>1674</v>
      </c>
      <c r="F64" t="s">
        <v>114</v>
      </c>
      <c r="G64" t="s">
        <v>1691</v>
      </c>
      <c r="H64">
        <v>12</v>
      </c>
      <c r="I64">
        <v>1554.75</v>
      </c>
      <c r="J64">
        <v>18657</v>
      </c>
      <c r="AA64">
        <v>45086</v>
      </c>
      <c r="AB64" t="str">
        <v>Ananya</v>
      </c>
      <c r="AC64" t="str">
        <v>Dwarka</v>
      </c>
      <c r="AD64" t="str">
        <v>Delhi</v>
      </c>
      <c r="AE64" t="str">
        <v>North</v>
      </c>
      <c r="AF64" t="str">
        <v>Stationery</v>
      </c>
      <c r="AG64" t="str">
        <v>Ruler</v>
      </c>
      <c r="AH64">
        <v>14</v>
      </c>
      <c r="AI64">
        <v>630.45000000000005</v>
      </c>
      <c r="AJ64">
        <v>8826.2999999999993</v>
      </c>
      <c r="AM64">
        <v>45150</v>
      </c>
      <c r="AN64" t="str">
        <v>Kabir</v>
      </c>
      <c r="AO64" t="str">
        <v>Bengaluru</v>
      </c>
      <c r="AP64" t="str">
        <v>Karnataka</v>
      </c>
      <c r="AQ64" t="str">
        <v>South</v>
      </c>
      <c r="AR64" t="str">
        <v>Groceries</v>
      </c>
      <c r="AS64" t="str">
        <v>Lentils</v>
      </c>
      <c r="AT64">
        <v>6</v>
      </c>
      <c r="AU64">
        <v>203.88</v>
      </c>
      <c r="AV64">
        <v>1223.28</v>
      </c>
    </row>
    <row r="65" spans="1:48">
      <c r="A65" s="25">
        <v>45097</v>
      </c>
      <c r="B65" t="s">
        <v>1681</v>
      </c>
      <c r="C65" t="s">
        <v>1695</v>
      </c>
      <c r="D65" t="s">
        <v>1696</v>
      </c>
      <c r="E65" t="s">
        <v>1674</v>
      </c>
      <c r="F65" t="s">
        <v>114</v>
      </c>
      <c r="G65" t="s">
        <v>1691</v>
      </c>
      <c r="H65">
        <v>17</v>
      </c>
      <c r="I65">
        <v>1037.05</v>
      </c>
      <c r="J65">
        <v>17629.849999999999</v>
      </c>
      <c r="AA65">
        <v>45011</v>
      </c>
      <c r="AB65" t="str">
        <v>Aryan</v>
      </c>
      <c r="AC65" t="str">
        <v>Dwarka</v>
      </c>
      <c r="AD65" t="str">
        <v>Delhi</v>
      </c>
      <c r="AE65" t="str">
        <v>North</v>
      </c>
      <c r="AF65" t="str">
        <v>Stationery</v>
      </c>
      <c r="AG65" t="str">
        <v>Pen</v>
      </c>
      <c r="AH65">
        <v>5</v>
      </c>
      <c r="AI65">
        <v>355.6</v>
      </c>
      <c r="AJ65">
        <v>1778</v>
      </c>
      <c r="AM65">
        <v>45107</v>
      </c>
      <c r="AN65" t="str">
        <v>Nishant</v>
      </c>
      <c r="AO65" t="str">
        <v>Bengaluru</v>
      </c>
      <c r="AP65" t="str">
        <v>Karnataka</v>
      </c>
      <c r="AQ65" t="str">
        <v>South</v>
      </c>
      <c r="AR65" t="str">
        <v>Stationery</v>
      </c>
      <c r="AS65" t="str">
        <v>Pen</v>
      </c>
      <c r="AT65">
        <v>19</v>
      </c>
      <c r="AU65">
        <v>4364.6400000000003</v>
      </c>
      <c r="AV65">
        <v>82928.160000000003</v>
      </c>
    </row>
    <row r="66" spans="1:48">
      <c r="A66" s="25">
        <v>45237</v>
      </c>
      <c r="B66" t="s">
        <v>1686</v>
      </c>
      <c r="C66" t="s">
        <v>1695</v>
      </c>
      <c r="D66" t="s">
        <v>1696</v>
      </c>
      <c r="E66" t="s">
        <v>1674</v>
      </c>
      <c r="F66" t="s">
        <v>114</v>
      </c>
      <c r="G66" t="s">
        <v>1712</v>
      </c>
      <c r="H66">
        <v>2</v>
      </c>
      <c r="I66">
        <v>4050.46</v>
      </c>
      <c r="J66">
        <v>8100.92</v>
      </c>
      <c r="AA66">
        <v>45068</v>
      </c>
      <c r="AB66" t="str">
        <v>Aryan</v>
      </c>
      <c r="AC66" t="str">
        <v>Karol Bagh</v>
      </c>
      <c r="AD66" t="str">
        <v>Delhi</v>
      </c>
      <c r="AE66" t="str">
        <v>North</v>
      </c>
      <c r="AF66" t="str">
        <v>Clothing</v>
      </c>
      <c r="AG66" t="str">
        <v>Pants</v>
      </c>
      <c r="AH66">
        <v>19</v>
      </c>
      <c r="AI66">
        <v>3485.85</v>
      </c>
      <c r="AJ66">
        <v>66231.149999999994</v>
      </c>
      <c r="AM66">
        <v>45091</v>
      </c>
      <c r="AN66" t="str">
        <v>Kabir</v>
      </c>
      <c r="AO66" t="str">
        <v>Bengaluru</v>
      </c>
      <c r="AP66" t="str">
        <v>Karnataka</v>
      </c>
      <c r="AQ66" t="str">
        <v>South</v>
      </c>
      <c r="AR66" t="str">
        <v>Stationery</v>
      </c>
      <c r="AS66" t="str">
        <v>Pen</v>
      </c>
      <c r="AT66">
        <v>13</v>
      </c>
      <c r="AU66">
        <v>4621.13</v>
      </c>
      <c r="AV66">
        <v>60074.69</v>
      </c>
    </row>
    <row r="67" spans="1:48">
      <c r="A67" s="25">
        <v>44968</v>
      </c>
      <c r="B67" t="s">
        <v>1700</v>
      </c>
      <c r="C67" t="s">
        <v>1695</v>
      </c>
      <c r="D67" t="s">
        <v>1696</v>
      </c>
      <c r="E67" t="s">
        <v>1674</v>
      </c>
      <c r="F67" t="s">
        <v>114</v>
      </c>
      <c r="G67" t="s">
        <v>1680</v>
      </c>
      <c r="H67">
        <v>4</v>
      </c>
      <c r="I67">
        <v>1139.74</v>
      </c>
      <c r="J67">
        <v>4558.96</v>
      </c>
      <c r="AA67">
        <v>45087</v>
      </c>
      <c r="AB67" t="str">
        <v>Ananya</v>
      </c>
      <c r="AC67" t="str">
        <v>Karol Bagh</v>
      </c>
      <c r="AD67" t="str">
        <v>Delhi</v>
      </c>
      <c r="AE67" t="str">
        <v>North</v>
      </c>
      <c r="AF67" t="str">
        <v>Clothing</v>
      </c>
      <c r="AG67" t="str">
        <v>Shirt</v>
      </c>
      <c r="AH67">
        <v>20</v>
      </c>
      <c r="AI67">
        <v>2721.24</v>
      </c>
      <c r="AJ67">
        <v>54424.800000000003</v>
      </c>
      <c r="AM67">
        <v>45036</v>
      </c>
      <c r="AN67" t="str">
        <v>Kabir</v>
      </c>
      <c r="AO67" t="str">
        <v>Bengaluru</v>
      </c>
      <c r="AP67" t="str">
        <v>Karnataka</v>
      </c>
      <c r="AQ67" t="str">
        <v>South</v>
      </c>
      <c r="AR67" t="str">
        <v>Stationery</v>
      </c>
      <c r="AS67" t="str">
        <v>Eraser</v>
      </c>
      <c r="AT67">
        <v>16</v>
      </c>
      <c r="AU67">
        <v>2580.42</v>
      </c>
      <c r="AV67">
        <v>41286.720000000001</v>
      </c>
    </row>
    <row r="68" spans="1:48">
      <c r="A68" s="25">
        <v>44941</v>
      </c>
      <c r="B68" t="s">
        <v>1692</v>
      </c>
      <c r="C68" t="s">
        <v>1695</v>
      </c>
      <c r="D68" t="s">
        <v>1696</v>
      </c>
      <c r="E68" t="s">
        <v>1674</v>
      </c>
      <c r="F68" t="s">
        <v>114</v>
      </c>
      <c r="G68" t="s">
        <v>1712</v>
      </c>
      <c r="H68">
        <v>1</v>
      </c>
      <c r="I68">
        <v>549.14</v>
      </c>
      <c r="J68">
        <v>549.14</v>
      </c>
      <c r="AA68">
        <v>45207</v>
      </c>
      <c r="AB68" t="str">
        <v>Nishant</v>
      </c>
      <c r="AC68" t="str">
        <v>Karol Bagh</v>
      </c>
      <c r="AD68" t="str">
        <v>Delhi</v>
      </c>
      <c r="AE68" t="str">
        <v>North</v>
      </c>
      <c r="AF68" t="str">
        <v>Clothing</v>
      </c>
      <c r="AG68" t="str">
        <v>Dress</v>
      </c>
      <c r="AH68">
        <v>19</v>
      </c>
      <c r="AI68">
        <v>2862.47</v>
      </c>
      <c r="AJ68">
        <v>54386.93</v>
      </c>
      <c r="AM68">
        <v>45054</v>
      </c>
      <c r="AN68" t="str">
        <v>Ishita</v>
      </c>
      <c r="AO68" t="str">
        <v>Bengaluru</v>
      </c>
      <c r="AP68" t="str">
        <v>Karnataka</v>
      </c>
      <c r="AQ68" t="str">
        <v>South</v>
      </c>
      <c r="AR68" t="str">
        <v>Stationery</v>
      </c>
      <c r="AS68" t="str">
        <v>Pen</v>
      </c>
      <c r="AT68">
        <v>17</v>
      </c>
      <c r="AU68">
        <v>2339.5700000000002</v>
      </c>
      <c r="AV68">
        <v>39772.69</v>
      </c>
    </row>
    <row r="69" spans="1:48">
      <c r="A69" s="25">
        <v>45070</v>
      </c>
      <c r="B69" t="s">
        <v>1698</v>
      </c>
      <c r="C69" t="s">
        <v>1682</v>
      </c>
      <c r="D69" t="s">
        <v>1683</v>
      </c>
      <c r="E69" t="s">
        <v>1679</v>
      </c>
      <c r="F69" t="s">
        <v>97</v>
      </c>
      <c r="G69" t="s">
        <v>1699</v>
      </c>
      <c r="H69">
        <v>17</v>
      </c>
      <c r="I69">
        <v>3381.75</v>
      </c>
      <c r="J69">
        <v>57489.75</v>
      </c>
      <c r="AA69">
        <v>44940</v>
      </c>
      <c r="AB69" t="str">
        <v>Ishita</v>
      </c>
      <c r="AC69" t="str">
        <v>Karol Bagh</v>
      </c>
      <c r="AD69" t="str">
        <v>Delhi</v>
      </c>
      <c r="AE69" t="str">
        <v>North</v>
      </c>
      <c r="AF69" t="str">
        <v>Clothing</v>
      </c>
      <c r="AG69" t="str">
        <v>Jacket</v>
      </c>
      <c r="AH69">
        <v>16</v>
      </c>
      <c r="AI69">
        <v>2995.01</v>
      </c>
      <c r="AJ69">
        <v>47920.160000000003</v>
      </c>
      <c r="AM69">
        <v>45022</v>
      </c>
      <c r="AN69" t="str">
        <v>Nishant</v>
      </c>
      <c r="AO69" t="str">
        <v>Bengaluru</v>
      </c>
      <c r="AP69" t="str">
        <v>Karnataka</v>
      </c>
      <c r="AQ69" t="str">
        <v>South</v>
      </c>
      <c r="AR69" t="str">
        <v>Stationery</v>
      </c>
      <c r="AS69" t="str">
        <v>Ruler</v>
      </c>
      <c r="AT69">
        <v>11</v>
      </c>
      <c r="AU69">
        <v>3594.07</v>
      </c>
      <c r="AV69">
        <v>39534.769999999997</v>
      </c>
    </row>
    <row r="70" spans="1:48">
      <c r="A70" s="25">
        <v>45259</v>
      </c>
      <c r="B70" t="s">
        <v>1705</v>
      </c>
      <c r="C70" t="s">
        <v>1682</v>
      </c>
      <c r="D70" t="s">
        <v>1683</v>
      </c>
      <c r="E70" t="s">
        <v>1679</v>
      </c>
      <c r="F70" t="s">
        <v>97</v>
      </c>
      <c r="G70" t="s">
        <v>1685</v>
      </c>
      <c r="H70">
        <v>10</v>
      </c>
      <c r="I70">
        <v>3803.22</v>
      </c>
      <c r="J70">
        <v>38032.199999999997</v>
      </c>
      <c r="AA70">
        <v>45033</v>
      </c>
      <c r="AB70" t="str">
        <v>Aditi</v>
      </c>
      <c r="AC70" t="str">
        <v>Karol Bagh</v>
      </c>
      <c r="AD70" t="str">
        <v>Delhi</v>
      </c>
      <c r="AE70" t="str">
        <v>North</v>
      </c>
      <c r="AF70" t="str">
        <v>Clothing</v>
      </c>
      <c r="AG70" t="str">
        <v>Dress</v>
      </c>
      <c r="AH70">
        <v>19</v>
      </c>
      <c r="AI70">
        <v>2253.92</v>
      </c>
      <c r="AJ70">
        <v>42824.480000000003</v>
      </c>
      <c r="AM70">
        <v>44932</v>
      </c>
      <c r="AN70" t="str">
        <v>Aditi</v>
      </c>
      <c r="AO70" t="str">
        <v>Bengaluru</v>
      </c>
      <c r="AP70" t="str">
        <v>Karnataka</v>
      </c>
      <c r="AQ70" t="str">
        <v>South</v>
      </c>
      <c r="AR70" t="str">
        <v>Stationery</v>
      </c>
      <c r="AS70" t="str">
        <v>Notebook</v>
      </c>
      <c r="AT70">
        <v>8</v>
      </c>
      <c r="AU70">
        <v>4786.4799999999996</v>
      </c>
      <c r="AV70">
        <v>38291.839999999997</v>
      </c>
    </row>
    <row r="71" spans="1:48">
      <c r="A71" s="25">
        <v>44976</v>
      </c>
      <c r="B71" t="s">
        <v>1676</v>
      </c>
      <c r="C71" t="s">
        <v>1682</v>
      </c>
      <c r="D71" t="s">
        <v>1683</v>
      </c>
      <c r="E71" t="s">
        <v>1679</v>
      </c>
      <c r="F71" t="s">
        <v>97</v>
      </c>
      <c r="G71" t="s">
        <v>1685</v>
      </c>
      <c r="H71">
        <v>15</v>
      </c>
      <c r="I71">
        <v>2093.0300000000002</v>
      </c>
      <c r="J71">
        <v>31395.45</v>
      </c>
      <c r="AA71">
        <v>45110</v>
      </c>
      <c r="AB71" t="str">
        <v>Ananya</v>
      </c>
      <c r="AC71" t="str">
        <v>Karol Bagh</v>
      </c>
      <c r="AD71" t="str">
        <v>Delhi</v>
      </c>
      <c r="AE71" t="str">
        <v>North</v>
      </c>
      <c r="AF71" t="str">
        <v>Clothing</v>
      </c>
      <c r="AG71" t="str">
        <v>Shirt</v>
      </c>
      <c r="AH71">
        <v>14</v>
      </c>
      <c r="AI71">
        <v>2441.0700000000002</v>
      </c>
      <c r="AJ71">
        <v>34174.980000000003</v>
      </c>
      <c r="AM71">
        <v>45286</v>
      </c>
      <c r="AN71" t="str">
        <v>Ishita</v>
      </c>
      <c r="AO71" t="str">
        <v>Bengaluru</v>
      </c>
      <c r="AP71" t="str">
        <v>Karnataka</v>
      </c>
      <c r="AQ71" t="str">
        <v>South</v>
      </c>
      <c r="AR71" t="str">
        <v>Stationery</v>
      </c>
      <c r="AS71" t="str">
        <v>Pen</v>
      </c>
      <c r="AT71">
        <v>8</v>
      </c>
      <c r="AU71">
        <v>4216.03</v>
      </c>
      <c r="AV71">
        <v>33728.239999999998</v>
      </c>
    </row>
    <row r="72" spans="1:48">
      <c r="A72" s="25">
        <v>45157</v>
      </c>
      <c r="B72" t="s">
        <v>1698</v>
      </c>
      <c r="C72" t="s">
        <v>1682</v>
      </c>
      <c r="D72" t="s">
        <v>1683</v>
      </c>
      <c r="E72" t="s">
        <v>1679</v>
      </c>
      <c r="F72" t="s">
        <v>97</v>
      </c>
      <c r="G72" t="s">
        <v>1711</v>
      </c>
      <c r="H72">
        <v>14</v>
      </c>
      <c r="I72">
        <v>1729.16</v>
      </c>
      <c r="J72">
        <v>24208.240000000002</v>
      </c>
      <c r="AA72">
        <v>45128</v>
      </c>
      <c r="AB72" t="str">
        <v>Aditi</v>
      </c>
      <c r="AC72" t="str">
        <v>Karol Bagh</v>
      </c>
      <c r="AD72" t="str">
        <v>Delhi</v>
      </c>
      <c r="AE72" t="str">
        <v>North</v>
      </c>
      <c r="AF72" t="str">
        <v>Clothing</v>
      </c>
      <c r="AG72" t="str">
        <v>Pants</v>
      </c>
      <c r="AH72">
        <v>4</v>
      </c>
      <c r="AI72">
        <v>4373.75</v>
      </c>
      <c r="AJ72">
        <v>17495</v>
      </c>
      <c r="AM72">
        <v>44928</v>
      </c>
      <c r="AN72" t="str">
        <v>Ananya</v>
      </c>
      <c r="AO72" t="str">
        <v>Bengaluru</v>
      </c>
      <c r="AP72" t="str">
        <v>Karnataka</v>
      </c>
      <c r="AQ72" t="str">
        <v>South</v>
      </c>
      <c r="AR72" t="str">
        <v>Stationery</v>
      </c>
      <c r="AS72" t="str">
        <v>Notebook</v>
      </c>
      <c r="AT72">
        <v>15</v>
      </c>
      <c r="AU72">
        <v>1853</v>
      </c>
      <c r="AV72">
        <v>27795</v>
      </c>
    </row>
    <row r="73" spans="1:48">
      <c r="A73" s="25">
        <v>45086</v>
      </c>
      <c r="B73" t="s">
        <v>1694</v>
      </c>
      <c r="C73" t="s">
        <v>1682</v>
      </c>
      <c r="D73" t="s">
        <v>1683</v>
      </c>
      <c r="E73" t="s">
        <v>1679</v>
      </c>
      <c r="F73" t="s">
        <v>97</v>
      </c>
      <c r="G73" t="s">
        <v>1685</v>
      </c>
      <c r="H73">
        <v>6</v>
      </c>
      <c r="I73">
        <v>3931.61</v>
      </c>
      <c r="J73">
        <v>23589.66</v>
      </c>
      <c r="AA73">
        <v>45072</v>
      </c>
      <c r="AB73" t="str">
        <v>Meera</v>
      </c>
      <c r="AC73" t="str">
        <v>Karol Bagh</v>
      </c>
      <c r="AD73" t="str">
        <v>Delhi</v>
      </c>
      <c r="AE73" t="str">
        <v>North</v>
      </c>
      <c r="AF73" t="str">
        <v>Clothing</v>
      </c>
      <c r="AG73" t="str">
        <v>Dress</v>
      </c>
      <c r="AH73">
        <v>4</v>
      </c>
      <c r="AI73">
        <v>1178.71</v>
      </c>
      <c r="AJ73">
        <v>4714.84</v>
      </c>
      <c r="AM73">
        <v>45259</v>
      </c>
      <c r="AN73" t="str">
        <v>Aarav</v>
      </c>
      <c r="AO73" t="str">
        <v>Bengaluru</v>
      </c>
      <c r="AP73" t="str">
        <v>Karnataka</v>
      </c>
      <c r="AQ73" t="str">
        <v>South</v>
      </c>
      <c r="AR73" t="str">
        <v>Stationery</v>
      </c>
      <c r="AS73" t="str">
        <v>Ruler</v>
      </c>
      <c r="AT73">
        <v>17</v>
      </c>
      <c r="AU73">
        <v>1294.56</v>
      </c>
      <c r="AV73">
        <v>22007.52</v>
      </c>
    </row>
    <row r="74" spans="1:48">
      <c r="A74" s="25">
        <v>45227</v>
      </c>
      <c r="B74" t="s">
        <v>1705</v>
      </c>
      <c r="C74" t="s">
        <v>1682</v>
      </c>
      <c r="D74" t="s">
        <v>1683</v>
      </c>
      <c r="E74" t="s">
        <v>1679</v>
      </c>
      <c r="F74" t="s">
        <v>97</v>
      </c>
      <c r="G74" t="s">
        <v>1697</v>
      </c>
      <c r="H74">
        <v>11</v>
      </c>
      <c r="I74">
        <v>1817.43</v>
      </c>
      <c r="J74">
        <v>19991.73</v>
      </c>
      <c r="AA74">
        <v>45077</v>
      </c>
      <c r="AB74" t="str">
        <v>Aditi</v>
      </c>
      <c r="AC74" t="str">
        <v>Karol Bagh</v>
      </c>
      <c r="AD74" t="str">
        <v>Delhi</v>
      </c>
      <c r="AE74" t="str">
        <v>North</v>
      </c>
      <c r="AF74" t="str">
        <v>Clothing</v>
      </c>
      <c r="AG74" t="str">
        <v>Dress</v>
      </c>
      <c r="AH74">
        <v>1</v>
      </c>
      <c r="AI74">
        <v>3041.26</v>
      </c>
      <c r="AJ74">
        <v>3041.26</v>
      </c>
      <c r="AM74">
        <v>45248</v>
      </c>
      <c r="AN74" t="str">
        <v>Ishita</v>
      </c>
      <c r="AO74" t="str">
        <v>Bengaluru</v>
      </c>
      <c r="AP74" t="str">
        <v>Karnataka</v>
      </c>
      <c r="AQ74" t="str">
        <v>South</v>
      </c>
      <c r="AR74" t="str">
        <v>Stationery</v>
      </c>
      <c r="AS74" t="str">
        <v>Ruler</v>
      </c>
      <c r="AT74">
        <v>5</v>
      </c>
      <c r="AU74">
        <v>4252.84</v>
      </c>
      <c r="AV74">
        <v>21264.2</v>
      </c>
    </row>
    <row r="75" spans="1:48">
      <c r="A75" s="25">
        <v>45188</v>
      </c>
      <c r="B75" t="s">
        <v>1692</v>
      </c>
      <c r="C75" t="s">
        <v>1682</v>
      </c>
      <c r="D75" t="s">
        <v>1683</v>
      </c>
      <c r="E75" t="s">
        <v>1679</v>
      </c>
      <c r="F75" t="s">
        <v>97</v>
      </c>
      <c r="G75" t="s">
        <v>1697</v>
      </c>
      <c r="H75">
        <v>15</v>
      </c>
      <c r="I75">
        <v>1299.55</v>
      </c>
      <c r="J75">
        <v>19493.25</v>
      </c>
      <c r="AA75">
        <v>45050</v>
      </c>
      <c r="AB75" t="str">
        <v>Kabir</v>
      </c>
      <c r="AC75" t="str">
        <v>Karol Bagh</v>
      </c>
      <c r="AD75" t="str">
        <v>Delhi</v>
      </c>
      <c r="AE75" t="str">
        <v>North</v>
      </c>
      <c r="AF75" t="str">
        <v>Electronics</v>
      </c>
      <c r="AG75" t="str">
        <v>Smartphone</v>
      </c>
      <c r="AH75">
        <v>17</v>
      </c>
      <c r="AI75">
        <v>3259.21</v>
      </c>
      <c r="AJ75">
        <v>55406.57</v>
      </c>
      <c r="AM75">
        <v>45194</v>
      </c>
      <c r="AN75" t="str">
        <v>Ananya</v>
      </c>
      <c r="AO75" t="str">
        <v>Bengaluru</v>
      </c>
      <c r="AP75" t="str">
        <v>Karnataka</v>
      </c>
      <c r="AQ75" t="str">
        <v>South</v>
      </c>
      <c r="AR75" t="str">
        <v>Stationery</v>
      </c>
      <c r="AS75" t="str">
        <v>Ruler</v>
      </c>
      <c r="AT75">
        <v>4</v>
      </c>
      <c r="AU75">
        <v>4837.17</v>
      </c>
      <c r="AV75">
        <v>19348.68</v>
      </c>
    </row>
    <row r="76" spans="1:48">
      <c r="A76" s="25">
        <v>44932</v>
      </c>
      <c r="B76" t="s">
        <v>1694</v>
      </c>
      <c r="C76" t="s">
        <v>1682</v>
      </c>
      <c r="D76" t="s">
        <v>1683</v>
      </c>
      <c r="E76" t="s">
        <v>1679</v>
      </c>
      <c r="F76" t="s">
        <v>97</v>
      </c>
      <c r="G76" t="s">
        <v>1699</v>
      </c>
      <c r="H76">
        <v>17</v>
      </c>
      <c r="I76">
        <v>828.26</v>
      </c>
      <c r="J76">
        <v>14080.42</v>
      </c>
      <c r="AA76">
        <v>45192</v>
      </c>
      <c r="AB76" t="str">
        <v>Aryan</v>
      </c>
      <c r="AC76" t="str">
        <v>Karol Bagh</v>
      </c>
      <c r="AD76" t="str">
        <v>Delhi</v>
      </c>
      <c r="AE76" t="str">
        <v>North</v>
      </c>
      <c r="AF76" t="str">
        <v>Electronics</v>
      </c>
      <c r="AG76" t="str">
        <v>Tablet</v>
      </c>
      <c r="AH76">
        <v>13</v>
      </c>
      <c r="AI76">
        <v>4121.8</v>
      </c>
      <c r="AJ76">
        <v>53583.4</v>
      </c>
      <c r="AM76">
        <v>44959</v>
      </c>
      <c r="AN76" t="str">
        <v>Ananya</v>
      </c>
      <c r="AO76" t="str">
        <v>Bengaluru</v>
      </c>
      <c r="AP76" t="str">
        <v>Karnataka</v>
      </c>
      <c r="AQ76" t="str">
        <v>South</v>
      </c>
      <c r="AR76" t="str">
        <v>Stationery</v>
      </c>
      <c r="AS76" t="str">
        <v>Ruler</v>
      </c>
      <c r="AT76">
        <v>5</v>
      </c>
      <c r="AU76">
        <v>3770.1</v>
      </c>
      <c r="AV76">
        <v>18850.5</v>
      </c>
    </row>
    <row r="77" spans="1:48">
      <c r="A77" s="25">
        <v>45000</v>
      </c>
      <c r="B77" t="s">
        <v>1689</v>
      </c>
      <c r="C77" t="s">
        <v>1682</v>
      </c>
      <c r="D77" t="s">
        <v>1683</v>
      </c>
      <c r="E77" t="s">
        <v>1679</v>
      </c>
      <c r="F77" t="s">
        <v>97</v>
      </c>
      <c r="G77" t="s">
        <v>1699</v>
      </c>
      <c r="H77">
        <v>4</v>
      </c>
      <c r="I77">
        <v>2563.65</v>
      </c>
      <c r="J77">
        <v>10254.6</v>
      </c>
      <c r="AA77">
        <v>45272</v>
      </c>
      <c r="AB77" t="str">
        <v>Vihaan</v>
      </c>
      <c r="AC77" t="str">
        <v>Karol Bagh</v>
      </c>
      <c r="AD77" t="str">
        <v>Delhi</v>
      </c>
      <c r="AE77" t="str">
        <v>North</v>
      </c>
      <c r="AF77" t="str">
        <v>Electronics</v>
      </c>
      <c r="AG77" t="str">
        <v>Smartphone</v>
      </c>
      <c r="AH77">
        <v>12</v>
      </c>
      <c r="AI77">
        <v>3695.68</v>
      </c>
      <c r="AJ77">
        <v>44348.160000000003</v>
      </c>
      <c r="AM77">
        <v>45250</v>
      </c>
      <c r="AN77" t="str">
        <v>Kabir</v>
      </c>
      <c r="AO77" t="str">
        <v>Bengaluru</v>
      </c>
      <c r="AP77" t="str">
        <v>Karnataka</v>
      </c>
      <c r="AQ77" t="str">
        <v>South</v>
      </c>
      <c r="AR77" t="str">
        <v>Stationery</v>
      </c>
      <c r="AS77" t="str">
        <v>Eraser</v>
      </c>
      <c r="AT77">
        <v>5</v>
      </c>
      <c r="AU77">
        <v>1593.02</v>
      </c>
      <c r="AV77">
        <v>7965.1</v>
      </c>
    </row>
    <row r="78" spans="1:48">
      <c r="A78" s="25">
        <v>44963</v>
      </c>
      <c r="B78" t="s">
        <v>1694</v>
      </c>
      <c r="C78" t="s">
        <v>1682</v>
      </c>
      <c r="D78" t="s">
        <v>1683</v>
      </c>
      <c r="E78" t="s">
        <v>1679</v>
      </c>
      <c r="F78" t="s">
        <v>97</v>
      </c>
      <c r="G78" t="s">
        <v>1699</v>
      </c>
      <c r="H78">
        <v>3</v>
      </c>
      <c r="I78">
        <v>2263.4699999999998</v>
      </c>
      <c r="J78">
        <v>6790.41</v>
      </c>
      <c r="AA78">
        <v>45148</v>
      </c>
      <c r="AB78" t="str">
        <v>Aarav</v>
      </c>
      <c r="AC78" t="str">
        <v>Karol Bagh</v>
      </c>
      <c r="AD78" t="str">
        <v>Delhi</v>
      </c>
      <c r="AE78" t="str">
        <v>North</v>
      </c>
      <c r="AF78" t="str">
        <v>Electronics</v>
      </c>
      <c r="AG78" t="str">
        <v>Tablet</v>
      </c>
      <c r="AH78">
        <v>9</v>
      </c>
      <c r="AI78">
        <v>4726.68</v>
      </c>
      <c r="AJ78">
        <v>42540.12</v>
      </c>
      <c r="AM78">
        <v>45017</v>
      </c>
      <c r="AN78" t="str">
        <v>Nishant</v>
      </c>
      <c r="AO78" t="str">
        <v>Bengaluru</v>
      </c>
      <c r="AP78" t="str">
        <v>Karnataka</v>
      </c>
      <c r="AQ78" t="str">
        <v>South</v>
      </c>
      <c r="AR78" t="str">
        <v>Stationery</v>
      </c>
      <c r="AS78" t="str">
        <v>Notebook</v>
      </c>
      <c r="AT78">
        <v>13</v>
      </c>
      <c r="AU78">
        <v>513.05999999999995</v>
      </c>
      <c r="AV78">
        <v>6669.78</v>
      </c>
    </row>
    <row r="79" spans="1:48">
      <c r="A79" s="25">
        <v>45005</v>
      </c>
      <c r="B79" t="s">
        <v>1705</v>
      </c>
      <c r="C79" t="s">
        <v>1682</v>
      </c>
      <c r="D79" t="s">
        <v>1683</v>
      </c>
      <c r="E79" t="s">
        <v>1679</v>
      </c>
      <c r="F79" t="s">
        <v>97</v>
      </c>
      <c r="G79" t="s">
        <v>1685</v>
      </c>
      <c r="H79">
        <v>20</v>
      </c>
      <c r="I79">
        <v>239.35</v>
      </c>
      <c r="J79">
        <v>4787</v>
      </c>
      <c r="AA79">
        <v>45266</v>
      </c>
      <c r="AB79" t="str">
        <v>Riya</v>
      </c>
      <c r="AC79" t="str">
        <v>Karol Bagh</v>
      </c>
      <c r="AD79" t="str">
        <v>Delhi</v>
      </c>
      <c r="AE79" t="str">
        <v>North</v>
      </c>
      <c r="AF79" t="str">
        <v>Electronics</v>
      </c>
      <c r="AG79" t="str">
        <v>Laptop</v>
      </c>
      <c r="AH79">
        <v>9</v>
      </c>
      <c r="AI79">
        <v>4618.59</v>
      </c>
      <c r="AJ79">
        <v>41567.31</v>
      </c>
      <c r="AM79">
        <v>45108</v>
      </c>
      <c r="AN79" t="str">
        <v>Ananya</v>
      </c>
      <c r="AO79" t="str">
        <v>Bengaluru</v>
      </c>
      <c r="AP79" t="str">
        <v>Karnataka</v>
      </c>
      <c r="AQ79" t="str">
        <v>South</v>
      </c>
      <c r="AR79" t="str">
        <v>Stationery</v>
      </c>
      <c r="AS79" t="str">
        <v>Eraser</v>
      </c>
      <c r="AT79">
        <v>1</v>
      </c>
      <c r="AU79">
        <v>1915.3</v>
      </c>
      <c r="AV79">
        <v>1915.3</v>
      </c>
    </row>
    <row r="80" spans="1:48">
      <c r="A80" s="25">
        <v>45007</v>
      </c>
      <c r="B80" t="s">
        <v>1686</v>
      </c>
      <c r="C80" t="s">
        <v>1682</v>
      </c>
      <c r="D80" t="s">
        <v>1683</v>
      </c>
      <c r="E80" t="s">
        <v>1679</v>
      </c>
      <c r="F80" t="s">
        <v>97</v>
      </c>
      <c r="G80" t="s">
        <v>1685</v>
      </c>
      <c r="H80">
        <v>15</v>
      </c>
      <c r="I80">
        <v>211.9</v>
      </c>
      <c r="J80">
        <v>3178.5</v>
      </c>
      <c r="AA80">
        <v>45205</v>
      </c>
      <c r="AB80" t="str">
        <v>Ishita</v>
      </c>
      <c r="AC80" t="str">
        <v>Karol Bagh</v>
      </c>
      <c r="AD80" t="str">
        <v>Delhi</v>
      </c>
      <c r="AE80" t="str">
        <v>North</v>
      </c>
      <c r="AF80" t="str">
        <v>Electronics</v>
      </c>
      <c r="AG80" t="str">
        <v>Tablet</v>
      </c>
      <c r="AH80">
        <v>11</v>
      </c>
      <c r="AI80">
        <v>3424.45</v>
      </c>
      <c r="AJ80">
        <v>37668.949999999997</v>
      </c>
    </row>
    <row r="81" spans="1:36">
      <c r="A81" s="25">
        <v>45190</v>
      </c>
      <c r="B81" t="s">
        <v>1698</v>
      </c>
      <c r="C81" t="s">
        <v>1682</v>
      </c>
      <c r="D81" t="s">
        <v>1683</v>
      </c>
      <c r="E81" t="s">
        <v>1679</v>
      </c>
      <c r="F81" t="s">
        <v>97</v>
      </c>
      <c r="G81" t="s">
        <v>1685</v>
      </c>
      <c r="H81">
        <v>6</v>
      </c>
      <c r="I81">
        <v>470.36</v>
      </c>
      <c r="J81">
        <v>2822.16</v>
      </c>
      <c r="AA81">
        <v>45006</v>
      </c>
      <c r="AB81" t="str">
        <v>Aryan</v>
      </c>
      <c r="AC81" t="str">
        <v>Karol Bagh</v>
      </c>
      <c r="AD81" t="str">
        <v>Delhi</v>
      </c>
      <c r="AE81" t="str">
        <v>North</v>
      </c>
      <c r="AF81" t="str">
        <v>Electronics</v>
      </c>
      <c r="AG81" t="str">
        <v>Smartphone</v>
      </c>
      <c r="AH81">
        <v>10</v>
      </c>
      <c r="AI81">
        <v>3048.2</v>
      </c>
      <c r="AJ81">
        <v>30482</v>
      </c>
    </row>
    <row r="82" spans="1:36">
      <c r="A82" s="25">
        <v>45281</v>
      </c>
      <c r="B82" t="s">
        <v>1694</v>
      </c>
      <c r="C82" t="s">
        <v>1682</v>
      </c>
      <c r="D82" t="s">
        <v>1683</v>
      </c>
      <c r="E82" t="s">
        <v>1679</v>
      </c>
      <c r="F82" t="s">
        <v>97</v>
      </c>
      <c r="G82" t="s">
        <v>1699</v>
      </c>
      <c r="H82">
        <v>2</v>
      </c>
      <c r="I82">
        <v>339.56</v>
      </c>
      <c r="J82">
        <v>679.12</v>
      </c>
      <c r="AA82">
        <v>45275</v>
      </c>
      <c r="AB82" t="str">
        <v>Kabir</v>
      </c>
      <c r="AC82" t="str">
        <v>Karol Bagh</v>
      </c>
      <c r="AD82" t="str">
        <v>Delhi</v>
      </c>
      <c r="AE82" t="str">
        <v>North</v>
      </c>
      <c r="AF82" t="str">
        <v>Electronics</v>
      </c>
      <c r="AG82" t="str">
        <v>Headphones</v>
      </c>
      <c r="AH82">
        <v>6</v>
      </c>
      <c r="AI82">
        <v>4751.7700000000004</v>
      </c>
      <c r="AJ82">
        <v>28510.62</v>
      </c>
    </row>
    <row r="83" spans="1:36">
      <c r="A83" s="25">
        <v>45094</v>
      </c>
      <c r="B83" t="s">
        <v>1692</v>
      </c>
      <c r="C83" t="s">
        <v>1682</v>
      </c>
      <c r="D83" t="s">
        <v>1683</v>
      </c>
      <c r="E83" t="s">
        <v>1679</v>
      </c>
      <c r="F83" t="s">
        <v>89</v>
      </c>
      <c r="G83" t="s">
        <v>1713</v>
      </c>
      <c r="H83">
        <v>19</v>
      </c>
      <c r="I83">
        <v>2750.97</v>
      </c>
      <c r="J83">
        <v>52268.43</v>
      </c>
      <c r="AA83">
        <v>45247</v>
      </c>
      <c r="AB83" t="str">
        <v>Vihaan</v>
      </c>
      <c r="AC83" t="str">
        <v>Karol Bagh</v>
      </c>
      <c r="AD83" t="str">
        <v>Delhi</v>
      </c>
      <c r="AE83" t="str">
        <v>North</v>
      </c>
      <c r="AF83" t="str">
        <v>Electronics</v>
      </c>
      <c r="AG83" t="str">
        <v>Tablet</v>
      </c>
      <c r="AH83">
        <v>6</v>
      </c>
      <c r="AI83">
        <v>4707.38</v>
      </c>
      <c r="AJ83">
        <v>28244.28</v>
      </c>
    </row>
    <row r="84" spans="1:36">
      <c r="A84" s="25">
        <v>44992</v>
      </c>
      <c r="B84" t="s">
        <v>1689</v>
      </c>
      <c r="C84" t="s">
        <v>1682</v>
      </c>
      <c r="D84" t="s">
        <v>1683</v>
      </c>
      <c r="E84" t="s">
        <v>1679</v>
      </c>
      <c r="F84" t="s">
        <v>89</v>
      </c>
      <c r="G84" t="s">
        <v>1713</v>
      </c>
      <c r="H84">
        <v>17</v>
      </c>
      <c r="I84">
        <v>2460.73</v>
      </c>
      <c r="J84">
        <v>41832.410000000003</v>
      </c>
      <c r="AA84">
        <v>45242</v>
      </c>
      <c r="AB84" t="str">
        <v>Riya</v>
      </c>
      <c r="AC84" t="str">
        <v>Karol Bagh</v>
      </c>
      <c r="AD84" t="str">
        <v>Delhi</v>
      </c>
      <c r="AE84" t="str">
        <v>North</v>
      </c>
      <c r="AF84" t="str">
        <v>Electronics</v>
      </c>
      <c r="AG84" t="str">
        <v>Smartphone</v>
      </c>
      <c r="AH84">
        <v>16</v>
      </c>
      <c r="AI84">
        <v>1598.06</v>
      </c>
      <c r="AJ84">
        <v>25568.959999999999</v>
      </c>
    </row>
    <row r="85" spans="1:36">
      <c r="A85" s="25">
        <v>45065</v>
      </c>
      <c r="B85" t="s">
        <v>1689</v>
      </c>
      <c r="C85" t="s">
        <v>1682</v>
      </c>
      <c r="D85" t="s">
        <v>1683</v>
      </c>
      <c r="E85" t="s">
        <v>1679</v>
      </c>
      <c r="F85" t="s">
        <v>89</v>
      </c>
      <c r="G85" t="s">
        <v>1106</v>
      </c>
      <c r="H85">
        <v>15</v>
      </c>
      <c r="I85">
        <v>1669.04</v>
      </c>
      <c r="J85">
        <v>25035.599999999999</v>
      </c>
      <c r="AA85">
        <v>45258</v>
      </c>
      <c r="AB85" t="str">
        <v>Riya</v>
      </c>
      <c r="AC85" t="str">
        <v>Karol Bagh</v>
      </c>
      <c r="AD85" t="str">
        <v>Delhi</v>
      </c>
      <c r="AE85" t="str">
        <v>North</v>
      </c>
      <c r="AF85" t="str">
        <v>Electronics</v>
      </c>
      <c r="AG85" t="str">
        <v>Smartphone</v>
      </c>
      <c r="AH85">
        <v>5</v>
      </c>
      <c r="AI85">
        <v>3572.02</v>
      </c>
      <c r="AJ85">
        <v>17860.099999999999</v>
      </c>
    </row>
    <row r="86" spans="1:36">
      <c r="A86" s="25">
        <v>45092</v>
      </c>
      <c r="B86" t="s">
        <v>1689</v>
      </c>
      <c r="C86" t="s">
        <v>1682</v>
      </c>
      <c r="D86" t="s">
        <v>1683</v>
      </c>
      <c r="E86" t="s">
        <v>1679</v>
      </c>
      <c r="F86" t="s">
        <v>89</v>
      </c>
      <c r="G86" t="s">
        <v>1105</v>
      </c>
      <c r="H86">
        <v>7</v>
      </c>
      <c r="I86">
        <v>2538.4299999999998</v>
      </c>
      <c r="J86">
        <v>17769.009999999998</v>
      </c>
      <c r="AA86">
        <v>45079</v>
      </c>
      <c r="AB86" t="str">
        <v>Aarav</v>
      </c>
      <c r="AC86" t="str">
        <v>Karol Bagh</v>
      </c>
      <c r="AD86" t="str">
        <v>Delhi</v>
      </c>
      <c r="AE86" t="str">
        <v>North</v>
      </c>
      <c r="AF86" t="str">
        <v>Electronics</v>
      </c>
      <c r="AG86" t="str">
        <v>Tablet</v>
      </c>
      <c r="AH86">
        <v>20</v>
      </c>
      <c r="AI86">
        <v>652.87</v>
      </c>
      <c r="AJ86">
        <v>13057.4</v>
      </c>
    </row>
    <row r="87" spans="1:36">
      <c r="A87" s="25">
        <v>45241</v>
      </c>
      <c r="B87" t="s">
        <v>1686</v>
      </c>
      <c r="C87" t="s">
        <v>1682</v>
      </c>
      <c r="D87" t="s">
        <v>1683</v>
      </c>
      <c r="E87" t="s">
        <v>1679</v>
      </c>
      <c r="F87" t="s">
        <v>89</v>
      </c>
      <c r="G87" t="s">
        <v>1714</v>
      </c>
      <c r="H87">
        <v>3</v>
      </c>
      <c r="I87">
        <v>4324.88</v>
      </c>
      <c r="J87">
        <v>12974.64</v>
      </c>
      <c r="AA87">
        <v>45192</v>
      </c>
      <c r="AB87" t="str">
        <v>Meera</v>
      </c>
      <c r="AC87" t="str">
        <v>Karol Bagh</v>
      </c>
      <c r="AD87" t="str">
        <v>Delhi</v>
      </c>
      <c r="AE87" t="str">
        <v>North</v>
      </c>
      <c r="AF87" t="str">
        <v>Electronics</v>
      </c>
      <c r="AG87" t="str">
        <v>Laptop</v>
      </c>
      <c r="AH87">
        <v>20</v>
      </c>
      <c r="AI87">
        <v>598.97</v>
      </c>
      <c r="AJ87">
        <v>11979.4</v>
      </c>
    </row>
    <row r="88" spans="1:36">
      <c r="A88" s="25">
        <v>45142</v>
      </c>
      <c r="B88" t="s">
        <v>1671</v>
      </c>
      <c r="C88" t="s">
        <v>1682</v>
      </c>
      <c r="D88" t="s">
        <v>1683</v>
      </c>
      <c r="E88" t="s">
        <v>1679</v>
      </c>
      <c r="F88" t="s">
        <v>89</v>
      </c>
      <c r="G88" t="s">
        <v>1105</v>
      </c>
      <c r="H88">
        <v>16</v>
      </c>
      <c r="I88">
        <v>695.96</v>
      </c>
      <c r="J88">
        <v>11135.36</v>
      </c>
      <c r="AA88">
        <v>45020</v>
      </c>
      <c r="AB88" t="str">
        <v>Ishita</v>
      </c>
      <c r="AC88" t="str">
        <v>Karol Bagh</v>
      </c>
      <c r="AD88" t="str">
        <v>Delhi</v>
      </c>
      <c r="AE88" t="str">
        <v>North</v>
      </c>
      <c r="AF88" t="str">
        <v>Electronics</v>
      </c>
      <c r="AG88" t="str">
        <v>Smartphone</v>
      </c>
      <c r="AH88">
        <v>7</v>
      </c>
      <c r="AI88">
        <v>1160.3499999999999</v>
      </c>
      <c r="AJ88">
        <v>8122.45</v>
      </c>
    </row>
    <row r="89" spans="1:36">
      <c r="A89" s="25">
        <v>45289</v>
      </c>
      <c r="B89" t="s">
        <v>1705</v>
      </c>
      <c r="C89" t="s">
        <v>1682</v>
      </c>
      <c r="D89" t="s">
        <v>1683</v>
      </c>
      <c r="E89" t="s">
        <v>1679</v>
      </c>
      <c r="F89" t="s">
        <v>89</v>
      </c>
      <c r="G89" t="s">
        <v>1105</v>
      </c>
      <c r="H89">
        <v>7</v>
      </c>
      <c r="I89">
        <v>1294.31</v>
      </c>
      <c r="J89">
        <v>9060.17</v>
      </c>
      <c r="AA89">
        <v>45248</v>
      </c>
      <c r="AB89" t="str">
        <v>Kabir</v>
      </c>
      <c r="AC89" t="str">
        <v>Karol Bagh</v>
      </c>
      <c r="AD89" t="str">
        <v>Delhi</v>
      </c>
      <c r="AE89" t="str">
        <v>North</v>
      </c>
      <c r="AF89" t="str">
        <v>Electronics</v>
      </c>
      <c r="AG89" t="str">
        <v>Headphones</v>
      </c>
      <c r="AH89">
        <v>4</v>
      </c>
      <c r="AI89">
        <v>1555.9</v>
      </c>
      <c r="AJ89">
        <v>6223.6</v>
      </c>
    </row>
    <row r="90" spans="1:36">
      <c r="A90" s="25">
        <v>45029</v>
      </c>
      <c r="B90" t="s">
        <v>1705</v>
      </c>
      <c r="C90" t="s">
        <v>1682</v>
      </c>
      <c r="D90" t="s">
        <v>1683</v>
      </c>
      <c r="E90" t="s">
        <v>1679</v>
      </c>
      <c r="F90" t="s">
        <v>89</v>
      </c>
      <c r="G90" t="s">
        <v>1106</v>
      </c>
      <c r="H90">
        <v>5</v>
      </c>
      <c r="I90">
        <v>1413.03</v>
      </c>
      <c r="J90">
        <v>7065.15</v>
      </c>
      <c r="AA90">
        <v>45061</v>
      </c>
      <c r="AB90" t="str">
        <v>Aditi</v>
      </c>
      <c r="AC90" t="str">
        <v>Karol Bagh</v>
      </c>
      <c r="AD90" t="str">
        <v>Delhi</v>
      </c>
      <c r="AE90" t="str">
        <v>North</v>
      </c>
      <c r="AF90" t="str">
        <v>Electronics</v>
      </c>
      <c r="AG90" t="str">
        <v>Smartphone</v>
      </c>
      <c r="AH90">
        <v>18</v>
      </c>
      <c r="AI90">
        <v>214.47</v>
      </c>
      <c r="AJ90">
        <v>3860.46</v>
      </c>
    </row>
    <row r="91" spans="1:36">
      <c r="A91" s="25">
        <v>45255</v>
      </c>
      <c r="B91" t="s">
        <v>1689</v>
      </c>
      <c r="C91" t="s">
        <v>1682</v>
      </c>
      <c r="D91" t="s">
        <v>1683</v>
      </c>
      <c r="E91" t="s">
        <v>1679</v>
      </c>
      <c r="F91" t="s">
        <v>89</v>
      </c>
      <c r="G91" t="s">
        <v>1713</v>
      </c>
      <c r="H91">
        <v>1</v>
      </c>
      <c r="I91">
        <v>4966.8599999999997</v>
      </c>
      <c r="J91">
        <v>4966.8599999999997</v>
      </c>
      <c r="AA91">
        <v>44976</v>
      </c>
      <c r="AB91" t="str">
        <v>Kabir</v>
      </c>
      <c r="AC91" t="str">
        <v>Karol Bagh</v>
      </c>
      <c r="AD91" t="str">
        <v>Delhi</v>
      </c>
      <c r="AE91" t="str">
        <v>North</v>
      </c>
      <c r="AF91" t="str">
        <v>Electronics</v>
      </c>
      <c r="AG91" t="str">
        <v>Laptop</v>
      </c>
      <c r="AH91">
        <v>6</v>
      </c>
      <c r="AI91">
        <v>623.22</v>
      </c>
      <c r="AJ91">
        <v>3739.32</v>
      </c>
    </row>
    <row r="92" spans="1:36">
      <c r="A92" s="25">
        <v>45014</v>
      </c>
      <c r="B92" t="s">
        <v>1676</v>
      </c>
      <c r="C92" t="s">
        <v>1682</v>
      </c>
      <c r="D92" t="s">
        <v>1683</v>
      </c>
      <c r="E92" t="s">
        <v>1679</v>
      </c>
      <c r="F92" t="s">
        <v>89</v>
      </c>
      <c r="G92" t="s">
        <v>1713</v>
      </c>
      <c r="H92">
        <v>5</v>
      </c>
      <c r="I92">
        <v>568.87</v>
      </c>
      <c r="J92">
        <v>2844.35</v>
      </c>
      <c r="AA92">
        <v>44954</v>
      </c>
      <c r="AB92" t="str">
        <v>Aarav</v>
      </c>
      <c r="AC92" t="str">
        <v>Karol Bagh</v>
      </c>
      <c r="AD92" t="str">
        <v>Delhi</v>
      </c>
      <c r="AE92" t="str">
        <v>North</v>
      </c>
      <c r="AF92" t="str">
        <v>Furniture</v>
      </c>
      <c r="AG92" t="str">
        <v>Sofa</v>
      </c>
      <c r="AH92">
        <v>14</v>
      </c>
      <c r="AI92">
        <v>4816.3900000000003</v>
      </c>
      <c r="AJ92">
        <v>67429.460000000006</v>
      </c>
    </row>
    <row r="93" spans="1:36">
      <c r="A93" s="25">
        <v>45182</v>
      </c>
      <c r="B93" t="s">
        <v>1689</v>
      </c>
      <c r="C93" t="s">
        <v>1682</v>
      </c>
      <c r="D93" t="s">
        <v>1683</v>
      </c>
      <c r="E93" t="s">
        <v>1679</v>
      </c>
      <c r="F93" t="s">
        <v>89</v>
      </c>
      <c r="G93" t="s">
        <v>1106</v>
      </c>
      <c r="H93">
        <v>3</v>
      </c>
      <c r="I93">
        <v>916.53</v>
      </c>
      <c r="J93">
        <v>2749.59</v>
      </c>
      <c r="AA93">
        <v>45011</v>
      </c>
      <c r="AB93" t="str">
        <v>Kabir</v>
      </c>
      <c r="AC93" t="str">
        <v>Karol Bagh</v>
      </c>
      <c r="AD93" t="str">
        <v>Delhi</v>
      </c>
      <c r="AE93" t="str">
        <v>North</v>
      </c>
      <c r="AF93" t="str">
        <v>Furniture</v>
      </c>
      <c r="AG93" t="str">
        <v>Bed</v>
      </c>
      <c r="AH93">
        <v>17</v>
      </c>
      <c r="AI93">
        <v>2805.45</v>
      </c>
      <c r="AJ93">
        <v>47692.65</v>
      </c>
    </row>
    <row r="94" spans="1:36">
      <c r="A94" s="25">
        <v>45147</v>
      </c>
      <c r="B94" t="s">
        <v>1686</v>
      </c>
      <c r="C94" t="s">
        <v>1682</v>
      </c>
      <c r="D94" t="s">
        <v>1683</v>
      </c>
      <c r="E94" t="s">
        <v>1679</v>
      </c>
      <c r="F94" t="s">
        <v>89</v>
      </c>
      <c r="G94" t="s">
        <v>1713</v>
      </c>
      <c r="H94">
        <v>5</v>
      </c>
      <c r="I94">
        <v>194.7</v>
      </c>
      <c r="J94">
        <v>973.5</v>
      </c>
      <c r="AA94">
        <v>45239</v>
      </c>
      <c r="AB94" t="str">
        <v>Aditi</v>
      </c>
      <c r="AC94" t="str">
        <v>Karol Bagh</v>
      </c>
      <c r="AD94" t="str">
        <v>Delhi</v>
      </c>
      <c r="AE94" t="str">
        <v>North</v>
      </c>
      <c r="AF94" t="str">
        <v>Furniture</v>
      </c>
      <c r="AG94" t="str">
        <v>Table</v>
      </c>
      <c r="AH94">
        <v>8</v>
      </c>
      <c r="AI94">
        <v>4175.5600000000004</v>
      </c>
      <c r="AJ94">
        <v>33404.480000000003</v>
      </c>
    </row>
    <row r="95" spans="1:36">
      <c r="A95" s="25">
        <v>45283</v>
      </c>
      <c r="B95" t="s">
        <v>1681</v>
      </c>
      <c r="C95" t="s">
        <v>1682</v>
      </c>
      <c r="D95" t="s">
        <v>1683</v>
      </c>
      <c r="E95" t="s">
        <v>1679</v>
      </c>
      <c r="F95" t="s">
        <v>101</v>
      </c>
      <c r="G95" t="s">
        <v>1709</v>
      </c>
      <c r="H95">
        <v>17</v>
      </c>
      <c r="I95">
        <v>4156.25</v>
      </c>
      <c r="J95">
        <v>70656.25</v>
      </c>
      <c r="AA95">
        <v>45258</v>
      </c>
      <c r="AB95" t="str">
        <v>Aryan</v>
      </c>
      <c r="AC95" t="str">
        <v>Karol Bagh</v>
      </c>
      <c r="AD95" t="str">
        <v>Delhi</v>
      </c>
      <c r="AE95" t="str">
        <v>North</v>
      </c>
      <c r="AF95" t="str">
        <v>Furniture</v>
      </c>
      <c r="AG95" t="str">
        <v>Table</v>
      </c>
      <c r="AH95">
        <v>16</v>
      </c>
      <c r="AI95">
        <v>1628.19</v>
      </c>
      <c r="AJ95">
        <v>26051.040000000001</v>
      </c>
    </row>
    <row r="96" spans="1:36">
      <c r="A96" s="25">
        <v>44956</v>
      </c>
      <c r="B96" t="s">
        <v>1681</v>
      </c>
      <c r="C96" t="s">
        <v>1682</v>
      </c>
      <c r="D96" t="s">
        <v>1683</v>
      </c>
      <c r="E96" t="s">
        <v>1679</v>
      </c>
      <c r="F96" t="s">
        <v>101</v>
      </c>
      <c r="G96" t="s">
        <v>1709</v>
      </c>
      <c r="H96">
        <v>19</v>
      </c>
      <c r="I96">
        <v>3575.92</v>
      </c>
      <c r="J96">
        <v>67942.48</v>
      </c>
      <c r="AA96">
        <v>45129</v>
      </c>
      <c r="AB96" t="str">
        <v>Kabir</v>
      </c>
      <c r="AC96" t="str">
        <v>Karol Bagh</v>
      </c>
      <c r="AD96" t="str">
        <v>Delhi</v>
      </c>
      <c r="AE96" t="str">
        <v>North</v>
      </c>
      <c r="AF96" t="str">
        <v>Furniture</v>
      </c>
      <c r="AG96" t="str">
        <v>Chair</v>
      </c>
      <c r="AH96">
        <v>6</v>
      </c>
      <c r="AI96">
        <v>3080.25</v>
      </c>
      <c r="AJ96">
        <v>18481.5</v>
      </c>
    </row>
    <row r="97" spans="1:36">
      <c r="A97" s="25">
        <v>45279</v>
      </c>
      <c r="B97" t="s">
        <v>1676</v>
      </c>
      <c r="C97" t="s">
        <v>1682</v>
      </c>
      <c r="D97" t="s">
        <v>1683</v>
      </c>
      <c r="E97" t="s">
        <v>1679</v>
      </c>
      <c r="F97" t="s">
        <v>101</v>
      </c>
      <c r="G97" t="s">
        <v>1709</v>
      </c>
      <c r="H97">
        <v>13</v>
      </c>
      <c r="I97">
        <v>4318.62</v>
      </c>
      <c r="J97">
        <v>56142.06</v>
      </c>
      <c r="AA97">
        <v>45181</v>
      </c>
      <c r="AB97" t="str">
        <v>Meera</v>
      </c>
      <c r="AC97" t="str">
        <v>Karol Bagh</v>
      </c>
      <c r="AD97" t="str">
        <v>Delhi</v>
      </c>
      <c r="AE97" t="str">
        <v>North</v>
      </c>
      <c r="AF97" t="str">
        <v>Furniture</v>
      </c>
      <c r="AG97" t="str">
        <v>Table</v>
      </c>
      <c r="AH97">
        <v>7</v>
      </c>
      <c r="AI97">
        <v>2286.4</v>
      </c>
      <c r="AJ97">
        <v>16004.8</v>
      </c>
    </row>
    <row r="98" spans="1:36">
      <c r="A98" s="25">
        <v>44965</v>
      </c>
      <c r="B98" t="s">
        <v>1681</v>
      </c>
      <c r="C98" t="s">
        <v>1682</v>
      </c>
      <c r="D98" t="s">
        <v>1683</v>
      </c>
      <c r="E98" t="s">
        <v>1679</v>
      </c>
      <c r="F98" t="s">
        <v>101</v>
      </c>
      <c r="G98" t="s">
        <v>1675</v>
      </c>
      <c r="H98">
        <v>12</v>
      </c>
      <c r="I98">
        <v>3700.23</v>
      </c>
      <c r="J98">
        <v>44402.76</v>
      </c>
      <c r="AA98">
        <v>45157</v>
      </c>
      <c r="AB98" t="str">
        <v>Aryan</v>
      </c>
      <c r="AC98" t="str">
        <v>Karol Bagh</v>
      </c>
      <c r="AD98" t="str">
        <v>Delhi</v>
      </c>
      <c r="AE98" t="str">
        <v>North</v>
      </c>
      <c r="AF98" t="str">
        <v>Furniture</v>
      </c>
      <c r="AG98" t="str">
        <v>Table</v>
      </c>
      <c r="AH98">
        <v>9</v>
      </c>
      <c r="AI98">
        <v>1720.47</v>
      </c>
      <c r="AJ98">
        <v>15484.23</v>
      </c>
    </row>
    <row r="99" spans="1:36">
      <c r="A99" s="25">
        <v>45082</v>
      </c>
      <c r="B99" t="s">
        <v>1705</v>
      </c>
      <c r="C99" t="s">
        <v>1682</v>
      </c>
      <c r="D99" t="s">
        <v>1683</v>
      </c>
      <c r="E99" t="s">
        <v>1679</v>
      </c>
      <c r="F99" t="s">
        <v>101</v>
      </c>
      <c r="G99" t="s">
        <v>1709</v>
      </c>
      <c r="H99">
        <v>16</v>
      </c>
      <c r="I99">
        <v>2724.77</v>
      </c>
      <c r="J99">
        <v>43596.32</v>
      </c>
      <c r="AA99">
        <v>45137</v>
      </c>
      <c r="AB99" t="str">
        <v>Kabir</v>
      </c>
      <c r="AC99" t="str">
        <v>Karol Bagh</v>
      </c>
      <c r="AD99" t="str">
        <v>Delhi</v>
      </c>
      <c r="AE99" t="str">
        <v>North</v>
      </c>
      <c r="AF99" t="str">
        <v>Furniture</v>
      </c>
      <c r="AG99" t="str">
        <v>Sofa</v>
      </c>
      <c r="AH99">
        <v>4</v>
      </c>
      <c r="AI99">
        <v>3015.93</v>
      </c>
      <c r="AJ99">
        <v>12063.72</v>
      </c>
    </row>
    <row r="100" spans="1:36">
      <c r="A100" s="25">
        <v>45205</v>
      </c>
      <c r="B100" t="s">
        <v>1705</v>
      </c>
      <c r="C100" t="s">
        <v>1682</v>
      </c>
      <c r="D100" t="s">
        <v>1683</v>
      </c>
      <c r="E100" t="s">
        <v>1679</v>
      </c>
      <c r="F100" t="s">
        <v>101</v>
      </c>
      <c r="G100" t="s">
        <v>1715</v>
      </c>
      <c r="H100">
        <v>20</v>
      </c>
      <c r="I100">
        <v>1710.93</v>
      </c>
      <c r="J100">
        <v>34218.6</v>
      </c>
      <c r="AA100">
        <v>45024</v>
      </c>
      <c r="AB100" t="str">
        <v>Aarav</v>
      </c>
      <c r="AC100" t="str">
        <v>Karol Bagh</v>
      </c>
      <c r="AD100" t="str">
        <v>Delhi</v>
      </c>
      <c r="AE100" t="str">
        <v>North</v>
      </c>
      <c r="AF100" t="str">
        <v>Furniture</v>
      </c>
      <c r="AG100" t="str">
        <v>Chair</v>
      </c>
      <c r="AH100">
        <v>6</v>
      </c>
      <c r="AI100">
        <v>1912.36</v>
      </c>
      <c r="AJ100">
        <v>11474.16</v>
      </c>
    </row>
    <row r="101" spans="1:36">
      <c r="A101" s="25">
        <v>45002</v>
      </c>
      <c r="B101" t="s">
        <v>1692</v>
      </c>
      <c r="C101" t="s">
        <v>1682</v>
      </c>
      <c r="D101" t="s">
        <v>1683</v>
      </c>
      <c r="E101" t="s">
        <v>1679</v>
      </c>
      <c r="F101" t="s">
        <v>101</v>
      </c>
      <c r="G101" t="s">
        <v>1719</v>
      </c>
      <c r="H101">
        <v>8</v>
      </c>
      <c r="I101">
        <v>3628.65</v>
      </c>
      <c r="J101">
        <v>29029.200000000001</v>
      </c>
      <c r="AA101">
        <v>44943</v>
      </c>
      <c r="AB101" t="str">
        <v>Kabir</v>
      </c>
      <c r="AC101" t="str">
        <v>Karol Bagh</v>
      </c>
      <c r="AD101" t="str">
        <v>Delhi</v>
      </c>
      <c r="AE101" t="str">
        <v>North</v>
      </c>
      <c r="AF101" t="str">
        <v>Furniture</v>
      </c>
      <c r="AG101" t="str">
        <v>Table</v>
      </c>
      <c r="AH101">
        <v>6</v>
      </c>
      <c r="AI101">
        <v>1847.42</v>
      </c>
      <c r="AJ101">
        <v>11084.52</v>
      </c>
    </row>
    <row r="102" spans="1:36">
      <c r="A102" s="25">
        <v>45012</v>
      </c>
      <c r="B102" t="s">
        <v>1698</v>
      </c>
      <c r="C102" t="s">
        <v>1682</v>
      </c>
      <c r="D102" t="s">
        <v>1683</v>
      </c>
      <c r="E102" t="s">
        <v>1679</v>
      </c>
      <c r="F102" t="s">
        <v>101</v>
      </c>
      <c r="G102" t="s">
        <v>1675</v>
      </c>
      <c r="H102">
        <v>7</v>
      </c>
      <c r="I102">
        <v>3836.77</v>
      </c>
      <c r="J102">
        <v>26857.39</v>
      </c>
      <c r="AA102">
        <v>45181</v>
      </c>
      <c r="AB102" t="str">
        <v>Vihaan</v>
      </c>
      <c r="AC102" t="str">
        <v>Karol Bagh</v>
      </c>
      <c r="AD102" t="str">
        <v>Delhi</v>
      </c>
      <c r="AE102" t="str">
        <v>North</v>
      </c>
      <c r="AF102" t="str">
        <v>Groceries</v>
      </c>
      <c r="AG102" t="str">
        <v>Lentils</v>
      </c>
      <c r="AH102">
        <v>16</v>
      </c>
      <c r="AI102">
        <v>4826.2</v>
      </c>
      <c r="AJ102">
        <v>77219.199999999997</v>
      </c>
    </row>
    <row r="103" spans="1:36">
      <c r="A103" s="25">
        <v>45240</v>
      </c>
      <c r="B103" t="s">
        <v>1681</v>
      </c>
      <c r="C103" t="s">
        <v>1682</v>
      </c>
      <c r="D103" t="s">
        <v>1683</v>
      </c>
      <c r="E103" t="s">
        <v>1679</v>
      </c>
      <c r="F103" t="s">
        <v>101</v>
      </c>
      <c r="G103" t="s">
        <v>1675</v>
      </c>
      <c r="H103">
        <v>5</v>
      </c>
      <c r="I103">
        <v>4759.1899999999996</v>
      </c>
      <c r="J103">
        <v>23795.95</v>
      </c>
      <c r="AA103">
        <v>45051</v>
      </c>
      <c r="AB103" t="str">
        <v>Kabir</v>
      </c>
      <c r="AC103" t="str">
        <v>Karol Bagh</v>
      </c>
      <c r="AD103" t="str">
        <v>Delhi</v>
      </c>
      <c r="AE103" t="str">
        <v>North</v>
      </c>
      <c r="AF103" t="str">
        <v>Groceries</v>
      </c>
      <c r="AG103" t="str">
        <v>Rice</v>
      </c>
      <c r="AH103">
        <v>14</v>
      </c>
      <c r="AI103">
        <v>4728.4399999999996</v>
      </c>
      <c r="AJ103">
        <v>66198.16</v>
      </c>
    </row>
    <row r="104" spans="1:36">
      <c r="A104" s="25">
        <v>45249</v>
      </c>
      <c r="B104" t="s">
        <v>1700</v>
      </c>
      <c r="C104" t="s">
        <v>1682</v>
      </c>
      <c r="D104" t="s">
        <v>1683</v>
      </c>
      <c r="E104" t="s">
        <v>1679</v>
      </c>
      <c r="F104" t="s">
        <v>101</v>
      </c>
      <c r="G104" t="s">
        <v>1675</v>
      </c>
      <c r="H104">
        <v>5</v>
      </c>
      <c r="I104">
        <v>4402.72</v>
      </c>
      <c r="J104">
        <v>22013.599999999999</v>
      </c>
      <c r="AA104">
        <v>45279</v>
      </c>
      <c r="AB104" t="str">
        <v>Vihaan</v>
      </c>
      <c r="AC104" t="str">
        <v>Karol Bagh</v>
      </c>
      <c r="AD104" t="str">
        <v>Delhi</v>
      </c>
      <c r="AE104" t="str">
        <v>North</v>
      </c>
      <c r="AF104" t="str">
        <v>Groceries</v>
      </c>
      <c r="AG104" t="str">
        <v>Rice</v>
      </c>
      <c r="AH104">
        <v>15</v>
      </c>
      <c r="AI104">
        <v>3875.6</v>
      </c>
      <c r="AJ104">
        <v>58134</v>
      </c>
    </row>
    <row r="105" spans="1:36">
      <c r="A105" s="25">
        <v>45009</v>
      </c>
      <c r="B105" t="s">
        <v>1689</v>
      </c>
      <c r="C105" t="s">
        <v>1682</v>
      </c>
      <c r="D105" t="s">
        <v>1683</v>
      </c>
      <c r="E105" t="s">
        <v>1679</v>
      </c>
      <c r="F105" t="s">
        <v>101</v>
      </c>
      <c r="G105" t="s">
        <v>1719</v>
      </c>
      <c r="H105">
        <v>5</v>
      </c>
      <c r="I105">
        <v>2411.33</v>
      </c>
      <c r="J105">
        <v>12056.65</v>
      </c>
      <c r="AA105">
        <v>45037</v>
      </c>
      <c r="AB105" t="str">
        <v>Kabir</v>
      </c>
      <c r="AC105" t="str">
        <v>Karol Bagh</v>
      </c>
      <c r="AD105" t="str">
        <v>Delhi</v>
      </c>
      <c r="AE105" t="str">
        <v>North</v>
      </c>
      <c r="AF105" t="str">
        <v>Groceries</v>
      </c>
      <c r="AG105" t="str">
        <v>Lentils</v>
      </c>
      <c r="AH105">
        <v>16</v>
      </c>
      <c r="AI105">
        <v>3263.65</v>
      </c>
      <c r="AJ105">
        <v>52218.400000000001</v>
      </c>
    </row>
    <row r="106" spans="1:36">
      <c r="A106" s="25">
        <v>45081</v>
      </c>
      <c r="B106" t="s">
        <v>1681</v>
      </c>
      <c r="C106" t="s">
        <v>1682</v>
      </c>
      <c r="D106" t="s">
        <v>1683</v>
      </c>
      <c r="E106" t="s">
        <v>1679</v>
      </c>
      <c r="F106" t="s">
        <v>101</v>
      </c>
      <c r="G106" t="s">
        <v>1715</v>
      </c>
      <c r="H106">
        <v>20</v>
      </c>
      <c r="I106">
        <v>473.23</v>
      </c>
      <c r="J106">
        <v>9464.6</v>
      </c>
      <c r="AA106">
        <v>44969</v>
      </c>
      <c r="AB106" t="str">
        <v>Vihaan</v>
      </c>
      <c r="AC106" t="str">
        <v>Karol Bagh</v>
      </c>
      <c r="AD106" t="str">
        <v>Delhi</v>
      </c>
      <c r="AE106" t="str">
        <v>North</v>
      </c>
      <c r="AF106" t="str">
        <v>Groceries</v>
      </c>
      <c r="AG106" t="str">
        <v>Rice</v>
      </c>
      <c r="AH106">
        <v>18</v>
      </c>
      <c r="AI106">
        <v>2584.0700000000002</v>
      </c>
      <c r="AJ106">
        <v>46513.26</v>
      </c>
    </row>
    <row r="107" spans="1:36">
      <c r="A107" s="25">
        <v>44981</v>
      </c>
      <c r="B107" t="s">
        <v>1694</v>
      </c>
      <c r="C107" t="s">
        <v>1682</v>
      </c>
      <c r="D107" t="s">
        <v>1683</v>
      </c>
      <c r="E107" t="s">
        <v>1679</v>
      </c>
      <c r="F107" t="s">
        <v>101</v>
      </c>
      <c r="G107" t="s">
        <v>1709</v>
      </c>
      <c r="H107">
        <v>2</v>
      </c>
      <c r="I107">
        <v>1927.02</v>
      </c>
      <c r="J107">
        <v>3854.04</v>
      </c>
      <c r="AA107">
        <v>45095</v>
      </c>
      <c r="AB107" t="str">
        <v>Ishita</v>
      </c>
      <c r="AC107" t="str">
        <v>Karol Bagh</v>
      </c>
      <c r="AD107" t="str">
        <v>Delhi</v>
      </c>
      <c r="AE107" t="str">
        <v>North</v>
      </c>
      <c r="AF107" t="str">
        <v>Groceries</v>
      </c>
      <c r="AG107" t="str">
        <v>Rice</v>
      </c>
      <c r="AH107">
        <v>9</v>
      </c>
      <c r="AI107">
        <v>2819.87</v>
      </c>
      <c r="AJ107">
        <v>25378.83</v>
      </c>
    </row>
    <row r="108" spans="1:36">
      <c r="A108" s="25">
        <v>45064</v>
      </c>
      <c r="B108" t="s">
        <v>1681</v>
      </c>
      <c r="C108" t="s">
        <v>1682</v>
      </c>
      <c r="D108" t="s">
        <v>1683</v>
      </c>
      <c r="E108" t="s">
        <v>1679</v>
      </c>
      <c r="F108" t="s">
        <v>101</v>
      </c>
      <c r="G108" t="s">
        <v>1715</v>
      </c>
      <c r="H108">
        <v>3</v>
      </c>
      <c r="I108">
        <v>953.26</v>
      </c>
      <c r="J108">
        <v>2859.78</v>
      </c>
      <c r="AA108">
        <v>44993</v>
      </c>
      <c r="AB108" t="str">
        <v>Aryan</v>
      </c>
      <c r="AC108" t="str">
        <v>Karol Bagh</v>
      </c>
      <c r="AD108" t="str">
        <v>Delhi</v>
      </c>
      <c r="AE108" t="str">
        <v>North</v>
      </c>
      <c r="AF108" t="str">
        <v>Groceries</v>
      </c>
      <c r="AG108" t="str">
        <v>Sugar</v>
      </c>
      <c r="AH108">
        <v>6</v>
      </c>
      <c r="AI108">
        <v>3918.07</v>
      </c>
      <c r="AJ108">
        <v>23508.42</v>
      </c>
    </row>
    <row r="109" spans="1:36">
      <c r="A109" s="25">
        <v>45126</v>
      </c>
      <c r="B109" t="s">
        <v>1671</v>
      </c>
      <c r="C109" t="s">
        <v>1682</v>
      </c>
      <c r="D109" t="s">
        <v>1683</v>
      </c>
      <c r="E109" t="s">
        <v>1679</v>
      </c>
      <c r="F109" t="s">
        <v>101</v>
      </c>
      <c r="G109" t="s">
        <v>1675</v>
      </c>
      <c r="H109">
        <v>3</v>
      </c>
      <c r="I109">
        <v>559.70000000000005</v>
      </c>
      <c r="J109">
        <v>1679.1</v>
      </c>
      <c r="AA109">
        <v>45110</v>
      </c>
      <c r="AB109" t="str">
        <v>Aryan</v>
      </c>
      <c r="AC109" t="str">
        <v>Karol Bagh</v>
      </c>
      <c r="AD109" t="str">
        <v>Delhi</v>
      </c>
      <c r="AE109" t="str">
        <v>North</v>
      </c>
      <c r="AF109" t="str">
        <v>Groceries</v>
      </c>
      <c r="AG109" t="str">
        <v>Lentils</v>
      </c>
      <c r="AH109">
        <v>3</v>
      </c>
      <c r="AI109">
        <v>4637.38</v>
      </c>
      <c r="AJ109">
        <v>13912.14</v>
      </c>
    </row>
    <row r="110" spans="1:36">
      <c r="A110" s="25">
        <v>45224</v>
      </c>
      <c r="B110" t="s">
        <v>1700</v>
      </c>
      <c r="C110" t="s">
        <v>1682</v>
      </c>
      <c r="D110" t="s">
        <v>1683</v>
      </c>
      <c r="E110" t="s">
        <v>1679</v>
      </c>
      <c r="F110" t="s">
        <v>1687</v>
      </c>
      <c r="G110" t="s">
        <v>1708</v>
      </c>
      <c r="H110">
        <v>16</v>
      </c>
      <c r="I110">
        <v>4684.8599999999997</v>
      </c>
      <c r="J110">
        <v>74957.759999999995</v>
      </c>
      <c r="AA110">
        <v>45169</v>
      </c>
      <c r="AB110" t="str">
        <v>Riya</v>
      </c>
      <c r="AC110" t="str">
        <v>Karol Bagh</v>
      </c>
      <c r="AD110" t="str">
        <v>Delhi</v>
      </c>
      <c r="AE110" t="str">
        <v>North</v>
      </c>
      <c r="AF110" t="str">
        <v>Groceries</v>
      </c>
      <c r="AG110" t="str">
        <v>Rice</v>
      </c>
      <c r="AH110">
        <v>7</v>
      </c>
      <c r="AI110">
        <v>1830.46</v>
      </c>
      <c r="AJ110">
        <v>12813.22</v>
      </c>
    </row>
    <row r="111" spans="1:36">
      <c r="A111" s="25">
        <v>45027</v>
      </c>
      <c r="B111" t="s">
        <v>1694</v>
      </c>
      <c r="C111" t="s">
        <v>1682</v>
      </c>
      <c r="D111" t="s">
        <v>1683</v>
      </c>
      <c r="E111" t="s">
        <v>1679</v>
      </c>
      <c r="F111" t="s">
        <v>1687</v>
      </c>
      <c r="G111" t="s">
        <v>1708</v>
      </c>
      <c r="H111">
        <v>17</v>
      </c>
      <c r="I111">
        <v>3973.87</v>
      </c>
      <c r="J111">
        <v>67555.789999999994</v>
      </c>
      <c r="AA111">
        <v>44967</v>
      </c>
      <c r="AB111" t="str">
        <v>Vihaan</v>
      </c>
      <c r="AC111" t="str">
        <v>Karol Bagh</v>
      </c>
      <c r="AD111" t="str">
        <v>Delhi</v>
      </c>
      <c r="AE111" t="str">
        <v>North</v>
      </c>
      <c r="AF111" t="str">
        <v>Groceries</v>
      </c>
      <c r="AG111" t="str">
        <v>Sugar</v>
      </c>
      <c r="AH111">
        <v>12</v>
      </c>
      <c r="AI111">
        <v>1020.42</v>
      </c>
      <c r="AJ111">
        <v>12245.04</v>
      </c>
    </row>
    <row r="112" spans="1:36">
      <c r="A112" s="25">
        <v>45170</v>
      </c>
      <c r="B112" t="s">
        <v>1694</v>
      </c>
      <c r="C112" t="s">
        <v>1682</v>
      </c>
      <c r="D112" t="s">
        <v>1683</v>
      </c>
      <c r="E112" t="s">
        <v>1679</v>
      </c>
      <c r="F112" t="s">
        <v>1687</v>
      </c>
      <c r="G112" t="s">
        <v>1708</v>
      </c>
      <c r="H112">
        <v>17</v>
      </c>
      <c r="I112">
        <v>2920.06</v>
      </c>
      <c r="J112">
        <v>49641.02</v>
      </c>
      <c r="AA112">
        <v>45271</v>
      </c>
      <c r="AB112" t="str">
        <v>Aarav</v>
      </c>
      <c r="AC112" t="str">
        <v>Karol Bagh</v>
      </c>
      <c r="AD112" t="str">
        <v>Delhi</v>
      </c>
      <c r="AE112" t="str">
        <v>North</v>
      </c>
      <c r="AF112" t="str">
        <v>Groceries</v>
      </c>
      <c r="AG112" t="str">
        <v>Lentils</v>
      </c>
      <c r="AH112">
        <v>2</v>
      </c>
      <c r="AI112">
        <v>3747.71</v>
      </c>
      <c r="AJ112">
        <v>7495.42</v>
      </c>
    </row>
    <row r="113" spans="1:36">
      <c r="A113" s="25">
        <v>45000</v>
      </c>
      <c r="B113" t="s">
        <v>1686</v>
      </c>
      <c r="C113" t="s">
        <v>1682</v>
      </c>
      <c r="D113" t="s">
        <v>1683</v>
      </c>
      <c r="E113" t="s">
        <v>1679</v>
      </c>
      <c r="F113" t="s">
        <v>1687</v>
      </c>
      <c r="G113" t="s">
        <v>1708</v>
      </c>
      <c r="H113">
        <v>20</v>
      </c>
      <c r="I113">
        <v>2409.6799999999998</v>
      </c>
      <c r="J113">
        <v>48193.599999999999</v>
      </c>
      <c r="AA113">
        <v>45078</v>
      </c>
      <c r="AB113" t="str">
        <v>Meera</v>
      </c>
      <c r="AC113" t="str">
        <v>Karol Bagh</v>
      </c>
      <c r="AD113" t="str">
        <v>Delhi</v>
      </c>
      <c r="AE113" t="str">
        <v>North</v>
      </c>
      <c r="AF113" t="str">
        <v>Groceries</v>
      </c>
      <c r="AG113" t="str">
        <v>Lentils</v>
      </c>
      <c r="AH113">
        <v>2</v>
      </c>
      <c r="AI113">
        <v>3439.47</v>
      </c>
      <c r="AJ113">
        <v>6878.94</v>
      </c>
    </row>
    <row r="114" spans="1:36">
      <c r="A114" s="25">
        <v>45137</v>
      </c>
      <c r="B114" t="s">
        <v>1692</v>
      </c>
      <c r="C114" t="s">
        <v>1682</v>
      </c>
      <c r="D114" t="s">
        <v>1683</v>
      </c>
      <c r="E114" t="s">
        <v>1679</v>
      </c>
      <c r="F114" t="s">
        <v>1687</v>
      </c>
      <c r="G114" t="s">
        <v>1710</v>
      </c>
      <c r="H114">
        <v>15</v>
      </c>
      <c r="I114">
        <v>3100.61</v>
      </c>
      <c r="J114">
        <v>46509.15</v>
      </c>
      <c r="AA114">
        <v>44989</v>
      </c>
      <c r="AB114" t="str">
        <v>Nishant</v>
      </c>
      <c r="AC114" t="str">
        <v>Karol Bagh</v>
      </c>
      <c r="AD114" t="str">
        <v>Delhi</v>
      </c>
      <c r="AE114" t="str">
        <v>North</v>
      </c>
      <c r="AF114" t="str">
        <v>Groceries</v>
      </c>
      <c r="AG114" t="str">
        <v>Rice</v>
      </c>
      <c r="AH114">
        <v>7</v>
      </c>
      <c r="AI114">
        <v>217.04</v>
      </c>
      <c r="AJ114">
        <v>1519.28</v>
      </c>
    </row>
    <row r="115" spans="1:36">
      <c r="A115" s="25">
        <v>45052</v>
      </c>
      <c r="B115" t="s">
        <v>1681</v>
      </c>
      <c r="C115" t="s">
        <v>1682</v>
      </c>
      <c r="D115" t="s">
        <v>1683</v>
      </c>
      <c r="E115" t="s">
        <v>1679</v>
      </c>
      <c r="F115" t="s">
        <v>1687</v>
      </c>
      <c r="G115" t="s">
        <v>1708</v>
      </c>
      <c r="H115">
        <v>8</v>
      </c>
      <c r="I115">
        <v>4612.53</v>
      </c>
      <c r="J115">
        <v>36900.239999999998</v>
      </c>
      <c r="AA115">
        <v>44954</v>
      </c>
      <c r="AB115" t="str">
        <v>Vihaan</v>
      </c>
      <c r="AC115" t="str">
        <v>Karol Bagh</v>
      </c>
      <c r="AD115" t="str">
        <v>Delhi</v>
      </c>
      <c r="AE115" t="str">
        <v>North</v>
      </c>
      <c r="AF115" t="str">
        <v>Stationery</v>
      </c>
      <c r="AG115" t="str">
        <v>Notebook</v>
      </c>
      <c r="AH115">
        <v>19</v>
      </c>
      <c r="AI115">
        <v>3901.75</v>
      </c>
      <c r="AJ115">
        <v>74133.25</v>
      </c>
    </row>
    <row r="116" spans="1:36">
      <c r="A116" s="25">
        <v>45043</v>
      </c>
      <c r="B116" t="s">
        <v>1692</v>
      </c>
      <c r="C116" t="s">
        <v>1682</v>
      </c>
      <c r="D116" t="s">
        <v>1683</v>
      </c>
      <c r="E116" t="s">
        <v>1679</v>
      </c>
      <c r="F116" t="s">
        <v>1687</v>
      </c>
      <c r="G116" t="s">
        <v>1708</v>
      </c>
      <c r="H116">
        <v>7</v>
      </c>
      <c r="I116">
        <v>4898.57</v>
      </c>
      <c r="J116">
        <v>34289.99</v>
      </c>
      <c r="AA116">
        <v>45283</v>
      </c>
      <c r="AB116" t="str">
        <v>Ananya</v>
      </c>
      <c r="AC116" t="str">
        <v>Karol Bagh</v>
      </c>
      <c r="AD116" t="str">
        <v>Delhi</v>
      </c>
      <c r="AE116" t="str">
        <v>North</v>
      </c>
      <c r="AF116" t="str">
        <v>Stationery</v>
      </c>
      <c r="AG116" t="str">
        <v>Pen</v>
      </c>
      <c r="AH116">
        <v>17</v>
      </c>
      <c r="AI116">
        <v>2655.23</v>
      </c>
      <c r="AJ116">
        <v>45138.91</v>
      </c>
    </row>
    <row r="117" spans="1:36">
      <c r="A117" s="25">
        <v>45204</v>
      </c>
      <c r="B117" t="s">
        <v>1698</v>
      </c>
      <c r="C117" t="s">
        <v>1682</v>
      </c>
      <c r="D117" t="s">
        <v>1683</v>
      </c>
      <c r="E117" t="s">
        <v>1679</v>
      </c>
      <c r="F117" t="s">
        <v>1687</v>
      </c>
      <c r="G117" t="s">
        <v>1704</v>
      </c>
      <c r="H117">
        <v>16</v>
      </c>
      <c r="I117">
        <v>1880.67</v>
      </c>
      <c r="J117">
        <v>30090.720000000001</v>
      </c>
      <c r="AA117">
        <v>45016</v>
      </c>
      <c r="AB117" t="str">
        <v>Aarav</v>
      </c>
      <c r="AC117" t="str">
        <v>Karol Bagh</v>
      </c>
      <c r="AD117" t="str">
        <v>Delhi</v>
      </c>
      <c r="AE117" t="str">
        <v>North</v>
      </c>
      <c r="AF117" t="str">
        <v>Stationery</v>
      </c>
      <c r="AG117" t="str">
        <v>Ruler</v>
      </c>
      <c r="AH117">
        <v>9</v>
      </c>
      <c r="AI117">
        <v>3727.82</v>
      </c>
      <c r="AJ117">
        <v>33550.379999999997</v>
      </c>
    </row>
    <row r="118" spans="1:36">
      <c r="A118" s="25">
        <v>45232</v>
      </c>
      <c r="B118" t="s">
        <v>1671</v>
      </c>
      <c r="C118" t="s">
        <v>1682</v>
      </c>
      <c r="D118" t="s">
        <v>1683</v>
      </c>
      <c r="E118" t="s">
        <v>1679</v>
      </c>
      <c r="F118" t="s">
        <v>1687</v>
      </c>
      <c r="G118" t="s">
        <v>1710</v>
      </c>
      <c r="H118">
        <v>12</v>
      </c>
      <c r="I118">
        <v>1837.2</v>
      </c>
      <c r="J118">
        <v>22046.400000000001</v>
      </c>
      <c r="AA118">
        <v>45051</v>
      </c>
      <c r="AB118" t="str">
        <v>Aditi</v>
      </c>
      <c r="AC118" t="str">
        <v>Karol Bagh</v>
      </c>
      <c r="AD118" t="str">
        <v>Delhi</v>
      </c>
      <c r="AE118" t="str">
        <v>North</v>
      </c>
      <c r="AF118" t="str">
        <v>Stationery</v>
      </c>
      <c r="AG118" t="str">
        <v>Pen</v>
      </c>
      <c r="AH118">
        <v>16</v>
      </c>
      <c r="AI118">
        <v>981</v>
      </c>
      <c r="AJ118">
        <v>15696</v>
      </c>
    </row>
    <row r="119" spans="1:36">
      <c r="A119" s="25">
        <v>45096</v>
      </c>
      <c r="B119" t="s">
        <v>1705</v>
      </c>
      <c r="C119" t="s">
        <v>1682</v>
      </c>
      <c r="D119" t="s">
        <v>1683</v>
      </c>
      <c r="E119" t="s">
        <v>1679</v>
      </c>
      <c r="F119" t="s">
        <v>1687</v>
      </c>
      <c r="G119" t="s">
        <v>1710</v>
      </c>
      <c r="H119">
        <v>9</v>
      </c>
      <c r="I119">
        <v>1765.86</v>
      </c>
      <c r="J119">
        <v>15892.74</v>
      </c>
      <c r="AA119">
        <v>45080</v>
      </c>
      <c r="AB119" t="str">
        <v>Ananya</v>
      </c>
      <c r="AC119" t="str">
        <v>Karol Bagh</v>
      </c>
      <c r="AD119" t="str">
        <v>Delhi</v>
      </c>
      <c r="AE119" t="str">
        <v>North</v>
      </c>
      <c r="AF119" t="str">
        <v>Stationery</v>
      </c>
      <c r="AG119" t="str">
        <v>Eraser</v>
      </c>
      <c r="AH119">
        <v>16</v>
      </c>
      <c r="AI119">
        <v>665.83</v>
      </c>
      <c r="AJ119">
        <v>10653.28</v>
      </c>
    </row>
    <row r="120" spans="1:36">
      <c r="A120" s="25">
        <v>45201</v>
      </c>
      <c r="B120" t="s">
        <v>1692</v>
      </c>
      <c r="C120" t="s">
        <v>1682</v>
      </c>
      <c r="D120" t="s">
        <v>1683</v>
      </c>
      <c r="E120" t="s">
        <v>1679</v>
      </c>
      <c r="F120" t="s">
        <v>1687</v>
      </c>
      <c r="G120" t="s">
        <v>1710</v>
      </c>
      <c r="H120">
        <v>19</v>
      </c>
      <c r="I120">
        <v>797.02</v>
      </c>
      <c r="J120">
        <v>15143.38</v>
      </c>
      <c r="AA120">
        <v>44945</v>
      </c>
      <c r="AB120" t="str">
        <v>Riya</v>
      </c>
      <c r="AC120" t="str">
        <v>Karol Bagh</v>
      </c>
      <c r="AD120" t="str">
        <v>Delhi</v>
      </c>
      <c r="AE120" t="str">
        <v>North</v>
      </c>
      <c r="AF120" t="str">
        <v>Stationery</v>
      </c>
      <c r="AG120" t="str">
        <v>Ruler</v>
      </c>
      <c r="AH120">
        <v>17</v>
      </c>
      <c r="AI120">
        <v>500.54</v>
      </c>
      <c r="AJ120">
        <v>8509.18</v>
      </c>
    </row>
    <row r="121" spans="1:36">
      <c r="A121" s="25">
        <v>45257</v>
      </c>
      <c r="B121" t="s">
        <v>1671</v>
      </c>
      <c r="C121" t="s">
        <v>1682</v>
      </c>
      <c r="D121" t="s">
        <v>1683</v>
      </c>
      <c r="E121" t="s">
        <v>1679</v>
      </c>
      <c r="F121" t="s">
        <v>1687</v>
      </c>
      <c r="G121" t="s">
        <v>1704</v>
      </c>
      <c r="H121">
        <v>4</v>
      </c>
      <c r="I121">
        <v>3762.47</v>
      </c>
      <c r="J121">
        <v>15049.88</v>
      </c>
      <c r="AA121">
        <v>45153</v>
      </c>
      <c r="AB121" t="str">
        <v>Ananya</v>
      </c>
      <c r="AC121" t="str">
        <v>Karol Bagh</v>
      </c>
      <c r="AD121" t="str">
        <v>Delhi</v>
      </c>
      <c r="AE121" t="str">
        <v>North</v>
      </c>
      <c r="AF121" t="str">
        <v>Stationery</v>
      </c>
      <c r="AG121" t="str">
        <v>Pen</v>
      </c>
      <c r="AH121">
        <v>3</v>
      </c>
      <c r="AI121">
        <v>2792.38</v>
      </c>
      <c r="AJ121">
        <v>8377.14</v>
      </c>
    </row>
    <row r="122" spans="1:36">
      <c r="A122" s="25">
        <v>45064</v>
      </c>
      <c r="B122" t="s">
        <v>1681</v>
      </c>
      <c r="C122" t="s">
        <v>1682</v>
      </c>
      <c r="D122" t="s">
        <v>1683</v>
      </c>
      <c r="E122" t="s">
        <v>1679</v>
      </c>
      <c r="F122" t="s">
        <v>1687</v>
      </c>
      <c r="G122" t="s">
        <v>1708</v>
      </c>
      <c r="H122">
        <v>8</v>
      </c>
      <c r="I122">
        <v>1762.43</v>
      </c>
      <c r="J122">
        <v>14099.44</v>
      </c>
      <c r="AA122">
        <v>45195</v>
      </c>
      <c r="AB122" t="str">
        <v>Nishant</v>
      </c>
      <c r="AC122" t="str">
        <v>Karol Bagh</v>
      </c>
      <c r="AD122" t="str">
        <v>Delhi</v>
      </c>
      <c r="AE122" t="str">
        <v>North</v>
      </c>
      <c r="AF122" t="str">
        <v>Stationery</v>
      </c>
      <c r="AG122" t="str">
        <v>Ruler</v>
      </c>
      <c r="AH122">
        <v>2</v>
      </c>
      <c r="AI122">
        <v>2851.64</v>
      </c>
      <c r="AJ122">
        <v>5703.28</v>
      </c>
    </row>
    <row r="123" spans="1:36">
      <c r="A123" s="25">
        <v>45118</v>
      </c>
      <c r="B123" t="s">
        <v>1700</v>
      </c>
      <c r="C123" t="s">
        <v>1682</v>
      </c>
      <c r="D123" t="s">
        <v>1683</v>
      </c>
      <c r="E123" t="s">
        <v>1679</v>
      </c>
      <c r="F123" t="s">
        <v>1687</v>
      </c>
      <c r="G123" t="s">
        <v>1708</v>
      </c>
      <c r="H123">
        <v>3</v>
      </c>
      <c r="I123">
        <v>4234</v>
      </c>
      <c r="J123">
        <v>12702</v>
      </c>
      <c r="AA123">
        <v>45203</v>
      </c>
      <c r="AB123" t="str">
        <v>Riya</v>
      </c>
      <c r="AC123" t="str">
        <v>Karol Bagh</v>
      </c>
      <c r="AD123" t="str">
        <v>Delhi</v>
      </c>
      <c r="AE123" t="str">
        <v>North</v>
      </c>
      <c r="AF123" t="str">
        <v>Stationery</v>
      </c>
      <c r="AG123" t="str">
        <v>Ruler</v>
      </c>
      <c r="AH123">
        <v>1</v>
      </c>
      <c r="AI123">
        <v>4813.2299999999996</v>
      </c>
      <c r="AJ123">
        <v>4813.2299999999996</v>
      </c>
    </row>
    <row r="124" spans="1:36">
      <c r="A124" s="25">
        <v>45057</v>
      </c>
      <c r="B124" t="s">
        <v>1694</v>
      </c>
      <c r="C124" t="s">
        <v>1682</v>
      </c>
      <c r="D124" t="s">
        <v>1683</v>
      </c>
      <c r="E124" t="s">
        <v>1679</v>
      </c>
      <c r="F124" t="s">
        <v>1687</v>
      </c>
      <c r="G124" t="s">
        <v>1688</v>
      </c>
      <c r="H124">
        <v>3</v>
      </c>
      <c r="I124">
        <v>3107.88</v>
      </c>
      <c r="J124">
        <v>9323.64</v>
      </c>
      <c r="AA124">
        <v>45129</v>
      </c>
      <c r="AB124" t="str">
        <v>Ananya</v>
      </c>
      <c r="AC124" t="str">
        <v>Karol Bagh</v>
      </c>
      <c r="AD124" t="str">
        <v>Delhi</v>
      </c>
      <c r="AE124" t="str">
        <v>North</v>
      </c>
      <c r="AF124" t="str">
        <v>Stationery</v>
      </c>
      <c r="AG124" t="str">
        <v>Pen</v>
      </c>
      <c r="AH124">
        <v>4</v>
      </c>
      <c r="AI124">
        <v>1009.78</v>
      </c>
      <c r="AJ124">
        <v>4039.12</v>
      </c>
    </row>
    <row r="125" spans="1:36">
      <c r="A125" s="25">
        <v>45167</v>
      </c>
      <c r="B125" t="s">
        <v>1694</v>
      </c>
      <c r="C125" t="s">
        <v>1682</v>
      </c>
      <c r="D125" t="s">
        <v>1683</v>
      </c>
      <c r="E125" t="s">
        <v>1679</v>
      </c>
      <c r="F125" t="s">
        <v>1687</v>
      </c>
      <c r="G125" t="s">
        <v>1704</v>
      </c>
      <c r="H125">
        <v>8</v>
      </c>
      <c r="I125">
        <v>1011.67</v>
      </c>
      <c r="J125">
        <v>8093.36</v>
      </c>
      <c r="AA125">
        <v>45277</v>
      </c>
      <c r="AB125" t="str">
        <v>Meera</v>
      </c>
      <c r="AC125" t="str">
        <v>Karol Bagh</v>
      </c>
      <c r="AD125" t="str">
        <v>Delhi</v>
      </c>
      <c r="AE125" t="str">
        <v>North</v>
      </c>
      <c r="AF125" t="str">
        <v>Stationery</v>
      </c>
      <c r="AG125" t="str">
        <v>Pen</v>
      </c>
      <c r="AH125">
        <v>14</v>
      </c>
      <c r="AI125">
        <v>264.77</v>
      </c>
      <c r="AJ125">
        <v>3706.78</v>
      </c>
    </row>
    <row r="126" spans="1:36">
      <c r="A126" s="25">
        <v>45221</v>
      </c>
      <c r="B126" t="s">
        <v>1671</v>
      </c>
      <c r="C126" t="s">
        <v>1682</v>
      </c>
      <c r="D126" t="s">
        <v>1683</v>
      </c>
      <c r="E126" t="s">
        <v>1679</v>
      </c>
      <c r="F126" t="s">
        <v>1687</v>
      </c>
      <c r="G126" t="s">
        <v>1708</v>
      </c>
      <c r="H126">
        <v>11</v>
      </c>
      <c r="I126">
        <v>735.74</v>
      </c>
      <c r="J126">
        <v>8093.14</v>
      </c>
      <c r="AA126">
        <v>44971</v>
      </c>
      <c r="AB126" t="str">
        <v>Meera</v>
      </c>
      <c r="AC126" t="str">
        <v>Karol Bagh</v>
      </c>
      <c r="AD126" t="str">
        <v>Delhi</v>
      </c>
      <c r="AE126" t="str">
        <v>North</v>
      </c>
      <c r="AF126" t="str">
        <v>Stationery</v>
      </c>
      <c r="AG126" t="str">
        <v>Eraser</v>
      </c>
      <c r="AH126">
        <v>2</v>
      </c>
      <c r="AI126">
        <v>1189.6500000000001</v>
      </c>
      <c r="AJ126">
        <v>2379.3000000000002</v>
      </c>
    </row>
    <row r="127" spans="1:36">
      <c r="A127" s="25">
        <v>45256</v>
      </c>
      <c r="B127" t="s">
        <v>1676</v>
      </c>
      <c r="C127" t="s">
        <v>1682</v>
      </c>
      <c r="D127" t="s">
        <v>1683</v>
      </c>
      <c r="E127" t="s">
        <v>1679</v>
      </c>
      <c r="F127" t="s">
        <v>1687</v>
      </c>
      <c r="G127" t="s">
        <v>1708</v>
      </c>
      <c r="H127">
        <v>1</v>
      </c>
      <c r="I127">
        <v>4555.42</v>
      </c>
      <c r="J127">
        <v>4555.42</v>
      </c>
      <c r="AA127">
        <v>45143</v>
      </c>
      <c r="AB127" t="str">
        <v>Nishant</v>
      </c>
      <c r="AC127" t="str">
        <v>Karol Bagh</v>
      </c>
      <c r="AD127" t="str">
        <v>Delhi</v>
      </c>
      <c r="AE127" t="str">
        <v>North</v>
      </c>
      <c r="AF127" t="str">
        <v>Stationery</v>
      </c>
      <c r="AG127" t="str">
        <v>Pen</v>
      </c>
      <c r="AH127">
        <v>1</v>
      </c>
      <c r="AI127">
        <v>2366.64</v>
      </c>
      <c r="AJ127">
        <v>2366.64</v>
      </c>
    </row>
    <row r="128" spans="1:36">
      <c r="A128" s="25">
        <v>45018</v>
      </c>
      <c r="B128" t="s">
        <v>1676</v>
      </c>
      <c r="C128" t="s">
        <v>1682</v>
      </c>
      <c r="D128" t="s">
        <v>1683</v>
      </c>
      <c r="E128" t="s">
        <v>1679</v>
      </c>
      <c r="F128" t="s">
        <v>1687</v>
      </c>
      <c r="G128" t="s">
        <v>1708</v>
      </c>
      <c r="H128">
        <v>3</v>
      </c>
      <c r="I128">
        <v>1435.01</v>
      </c>
      <c r="J128">
        <v>4305.03</v>
      </c>
      <c r="AA128">
        <v>45124</v>
      </c>
      <c r="AB128" t="str">
        <v>Aarav</v>
      </c>
      <c r="AC128" t="str">
        <v>Karol Bagh</v>
      </c>
      <c r="AD128" t="str">
        <v>Delhi</v>
      </c>
      <c r="AE128" t="str">
        <v>North</v>
      </c>
      <c r="AF128" t="str">
        <v>Stationery</v>
      </c>
      <c r="AG128" t="str">
        <v>Eraser</v>
      </c>
      <c r="AH128">
        <v>1</v>
      </c>
      <c r="AI128">
        <v>1323.63</v>
      </c>
      <c r="AJ128">
        <v>1323.63</v>
      </c>
    </row>
    <row r="129" spans="1:36">
      <c r="A129" s="25">
        <v>45088</v>
      </c>
      <c r="B129" t="s">
        <v>1700</v>
      </c>
      <c r="C129" t="s">
        <v>1682</v>
      </c>
      <c r="D129" t="s">
        <v>1683</v>
      </c>
      <c r="E129" t="s">
        <v>1679</v>
      </c>
      <c r="F129" t="s">
        <v>1687</v>
      </c>
      <c r="G129" t="s">
        <v>1688</v>
      </c>
      <c r="H129">
        <v>1</v>
      </c>
      <c r="I129">
        <v>2777.22</v>
      </c>
      <c r="J129">
        <v>2777.22</v>
      </c>
      <c r="AA129">
        <v>45153</v>
      </c>
      <c r="AB129" t="str">
        <v>Vihaan</v>
      </c>
      <c r="AC129" t="str">
        <v>New Delhi</v>
      </c>
      <c r="AD129" t="str">
        <v>Delhi</v>
      </c>
      <c r="AE129" t="str">
        <v>North</v>
      </c>
      <c r="AF129" t="str">
        <v>Clothing</v>
      </c>
      <c r="AG129" t="str">
        <v>Shirt</v>
      </c>
      <c r="AH129">
        <v>19</v>
      </c>
      <c r="AI129">
        <v>3822.54</v>
      </c>
      <c r="AJ129">
        <v>72628.259999999995</v>
      </c>
    </row>
    <row r="130" spans="1:36">
      <c r="A130" s="25">
        <v>45222</v>
      </c>
      <c r="B130" t="s">
        <v>1671</v>
      </c>
      <c r="C130" t="s">
        <v>1682</v>
      </c>
      <c r="D130" t="s">
        <v>1683</v>
      </c>
      <c r="E130" t="s">
        <v>1679</v>
      </c>
      <c r="F130" t="s">
        <v>1687</v>
      </c>
      <c r="G130" t="s">
        <v>1710</v>
      </c>
      <c r="H130">
        <v>9</v>
      </c>
      <c r="I130">
        <v>209.57</v>
      </c>
      <c r="J130">
        <v>1886.13</v>
      </c>
      <c r="AA130">
        <v>44929</v>
      </c>
      <c r="AB130" t="str">
        <v>Aarav</v>
      </c>
      <c r="AC130" t="str">
        <v>New Delhi</v>
      </c>
      <c r="AD130" t="str">
        <v>Delhi</v>
      </c>
      <c r="AE130" t="str">
        <v>North</v>
      </c>
      <c r="AF130" t="str">
        <v>Clothing</v>
      </c>
      <c r="AG130" t="str">
        <v>Shirt</v>
      </c>
      <c r="AH130">
        <v>20</v>
      </c>
      <c r="AI130">
        <v>3463.6</v>
      </c>
      <c r="AJ130">
        <v>69272</v>
      </c>
    </row>
    <row r="131" spans="1:36">
      <c r="A131" s="25">
        <v>45150</v>
      </c>
      <c r="B131" t="s">
        <v>1705</v>
      </c>
      <c r="C131" t="s">
        <v>1682</v>
      </c>
      <c r="D131" t="s">
        <v>1683</v>
      </c>
      <c r="E131" t="s">
        <v>1679</v>
      </c>
      <c r="F131" t="s">
        <v>1687</v>
      </c>
      <c r="G131" t="s">
        <v>1688</v>
      </c>
      <c r="H131">
        <v>6</v>
      </c>
      <c r="I131">
        <v>203.88</v>
      </c>
      <c r="J131">
        <v>1223.28</v>
      </c>
      <c r="AA131">
        <v>44996</v>
      </c>
      <c r="AB131" t="str">
        <v>Vihaan</v>
      </c>
      <c r="AC131" t="str">
        <v>New Delhi</v>
      </c>
      <c r="AD131" t="str">
        <v>Delhi</v>
      </c>
      <c r="AE131" t="str">
        <v>North</v>
      </c>
      <c r="AF131" t="str">
        <v>Clothing</v>
      </c>
      <c r="AG131" t="str">
        <v>Jacket</v>
      </c>
      <c r="AH131">
        <v>15</v>
      </c>
      <c r="AI131">
        <v>3946.23</v>
      </c>
      <c r="AJ131">
        <v>59193.45</v>
      </c>
    </row>
    <row r="132" spans="1:36">
      <c r="A132" s="25">
        <v>45107</v>
      </c>
      <c r="B132" t="s">
        <v>1681</v>
      </c>
      <c r="C132" t="s">
        <v>1682</v>
      </c>
      <c r="D132" t="s">
        <v>1683</v>
      </c>
      <c r="E132" t="s">
        <v>1679</v>
      </c>
      <c r="F132" t="s">
        <v>114</v>
      </c>
      <c r="G132" t="s">
        <v>1712</v>
      </c>
      <c r="H132">
        <v>19</v>
      </c>
      <c r="I132">
        <v>4364.6400000000003</v>
      </c>
      <c r="J132">
        <v>82928.160000000003</v>
      </c>
      <c r="AA132">
        <v>45051</v>
      </c>
      <c r="AB132" t="str">
        <v>Aryan</v>
      </c>
      <c r="AC132" t="str">
        <v>New Delhi</v>
      </c>
      <c r="AD132" t="str">
        <v>Delhi</v>
      </c>
      <c r="AE132" t="str">
        <v>North</v>
      </c>
      <c r="AF132" t="str">
        <v>Clothing</v>
      </c>
      <c r="AG132" t="str">
        <v>Jacket</v>
      </c>
      <c r="AH132">
        <v>11</v>
      </c>
      <c r="AI132">
        <v>4740.79</v>
      </c>
      <c r="AJ132">
        <v>52148.69</v>
      </c>
    </row>
    <row r="133" spans="1:36">
      <c r="A133" s="25">
        <v>45091</v>
      </c>
      <c r="B133" t="s">
        <v>1705</v>
      </c>
      <c r="C133" t="s">
        <v>1682</v>
      </c>
      <c r="D133" t="s">
        <v>1683</v>
      </c>
      <c r="E133" t="s">
        <v>1679</v>
      </c>
      <c r="F133" t="s">
        <v>114</v>
      </c>
      <c r="G133" t="s">
        <v>1712</v>
      </c>
      <c r="H133">
        <v>13</v>
      </c>
      <c r="I133">
        <v>4621.13</v>
      </c>
      <c r="J133">
        <v>60074.69</v>
      </c>
      <c r="AA133">
        <v>45007</v>
      </c>
      <c r="AB133" t="str">
        <v>Nishant</v>
      </c>
      <c r="AC133" t="str">
        <v>New Delhi</v>
      </c>
      <c r="AD133" t="str">
        <v>Delhi</v>
      </c>
      <c r="AE133" t="str">
        <v>North</v>
      </c>
      <c r="AF133" t="str">
        <v>Clothing</v>
      </c>
      <c r="AG133" t="str">
        <v>Pants</v>
      </c>
      <c r="AH133">
        <v>8</v>
      </c>
      <c r="AI133">
        <v>4663.82</v>
      </c>
      <c r="AJ133">
        <v>37310.559999999998</v>
      </c>
    </row>
    <row r="134" spans="1:36">
      <c r="A134" s="25">
        <v>45036</v>
      </c>
      <c r="B134" t="s">
        <v>1705</v>
      </c>
      <c r="C134" t="s">
        <v>1682</v>
      </c>
      <c r="D134" t="s">
        <v>1683</v>
      </c>
      <c r="E134" t="s">
        <v>1679</v>
      </c>
      <c r="F134" t="s">
        <v>114</v>
      </c>
      <c r="G134" t="s">
        <v>1691</v>
      </c>
      <c r="H134">
        <v>16</v>
      </c>
      <c r="I134">
        <v>2580.42</v>
      </c>
      <c r="J134">
        <v>41286.720000000001</v>
      </c>
      <c r="AA134">
        <v>45046</v>
      </c>
      <c r="AB134" t="str">
        <v>Kabir</v>
      </c>
      <c r="AC134" t="str">
        <v>New Delhi</v>
      </c>
      <c r="AD134" t="str">
        <v>Delhi</v>
      </c>
      <c r="AE134" t="str">
        <v>North</v>
      </c>
      <c r="AF134" t="str">
        <v>Clothing</v>
      </c>
      <c r="AG134" t="str">
        <v>Jacket</v>
      </c>
      <c r="AH134">
        <v>10</v>
      </c>
      <c r="AI134">
        <v>2682.33</v>
      </c>
      <c r="AJ134">
        <v>26823.3</v>
      </c>
    </row>
    <row r="135" spans="1:36">
      <c r="A135" s="25">
        <v>45054</v>
      </c>
      <c r="B135" t="s">
        <v>1689</v>
      </c>
      <c r="C135" t="s">
        <v>1682</v>
      </c>
      <c r="D135" t="s">
        <v>1683</v>
      </c>
      <c r="E135" t="s">
        <v>1679</v>
      </c>
      <c r="F135" t="s">
        <v>114</v>
      </c>
      <c r="G135" t="s">
        <v>1712</v>
      </c>
      <c r="H135">
        <v>17</v>
      </c>
      <c r="I135">
        <v>2339.5700000000002</v>
      </c>
      <c r="J135">
        <v>39772.69</v>
      </c>
      <c r="AA135">
        <v>44964</v>
      </c>
      <c r="AB135" t="str">
        <v>Ishita</v>
      </c>
      <c r="AC135" t="str">
        <v>New Delhi</v>
      </c>
      <c r="AD135" t="str">
        <v>Delhi</v>
      </c>
      <c r="AE135" t="str">
        <v>North</v>
      </c>
      <c r="AF135" t="str">
        <v>Clothing</v>
      </c>
      <c r="AG135" t="str">
        <v>Jacket</v>
      </c>
      <c r="AH135">
        <v>12</v>
      </c>
      <c r="AI135">
        <v>1819.46</v>
      </c>
      <c r="AJ135">
        <v>21833.52</v>
      </c>
    </row>
    <row r="136" spans="1:36">
      <c r="A136" s="25">
        <v>45022</v>
      </c>
      <c r="B136" t="s">
        <v>1681</v>
      </c>
      <c r="C136" t="s">
        <v>1682</v>
      </c>
      <c r="D136" t="s">
        <v>1683</v>
      </c>
      <c r="E136" t="s">
        <v>1679</v>
      </c>
      <c r="F136" t="s">
        <v>114</v>
      </c>
      <c r="G136" t="s">
        <v>1680</v>
      </c>
      <c r="H136">
        <v>11</v>
      </c>
      <c r="I136">
        <v>3594.07</v>
      </c>
      <c r="J136">
        <v>39534.769999999997</v>
      </c>
      <c r="AA136">
        <v>45286</v>
      </c>
      <c r="AB136" t="str">
        <v>Aarav</v>
      </c>
      <c r="AC136" t="str">
        <v>New Delhi</v>
      </c>
      <c r="AD136" t="str">
        <v>Delhi</v>
      </c>
      <c r="AE136" t="str">
        <v>North</v>
      </c>
      <c r="AF136" t="str">
        <v>Clothing</v>
      </c>
      <c r="AG136" t="str">
        <v>Pants</v>
      </c>
      <c r="AH136">
        <v>16</v>
      </c>
      <c r="AI136">
        <v>1236.8</v>
      </c>
      <c r="AJ136">
        <v>19788.8</v>
      </c>
    </row>
    <row r="137" spans="1:36">
      <c r="A137" s="25">
        <v>44932</v>
      </c>
      <c r="B137" t="s">
        <v>1686</v>
      </c>
      <c r="C137" t="s">
        <v>1682</v>
      </c>
      <c r="D137" t="s">
        <v>1683</v>
      </c>
      <c r="E137" t="s">
        <v>1679</v>
      </c>
      <c r="F137" t="s">
        <v>114</v>
      </c>
      <c r="G137" t="s">
        <v>1718</v>
      </c>
      <c r="H137">
        <v>8</v>
      </c>
      <c r="I137">
        <v>4786.4799999999996</v>
      </c>
      <c r="J137">
        <v>38291.839999999997</v>
      </c>
      <c r="AA137">
        <v>45008</v>
      </c>
      <c r="AB137" t="str">
        <v>Vihaan</v>
      </c>
      <c r="AC137" t="str">
        <v>New Delhi</v>
      </c>
      <c r="AD137" t="str">
        <v>Delhi</v>
      </c>
      <c r="AE137" t="str">
        <v>North</v>
      </c>
      <c r="AF137" t="str">
        <v>Clothing</v>
      </c>
      <c r="AG137" t="str">
        <v>Pants</v>
      </c>
      <c r="AH137">
        <v>12</v>
      </c>
      <c r="AI137">
        <v>957.01</v>
      </c>
      <c r="AJ137">
        <v>11484.12</v>
      </c>
    </row>
    <row r="138" spans="1:36">
      <c r="A138" s="25">
        <v>45286</v>
      </c>
      <c r="B138" t="s">
        <v>1689</v>
      </c>
      <c r="C138" t="s">
        <v>1682</v>
      </c>
      <c r="D138" t="s">
        <v>1683</v>
      </c>
      <c r="E138" t="s">
        <v>1679</v>
      </c>
      <c r="F138" t="s">
        <v>114</v>
      </c>
      <c r="G138" t="s">
        <v>1712</v>
      </c>
      <c r="H138">
        <v>8</v>
      </c>
      <c r="I138">
        <v>4216.03</v>
      </c>
      <c r="J138">
        <v>33728.239999999998</v>
      </c>
      <c r="AA138">
        <v>45234</v>
      </c>
      <c r="AB138" t="str">
        <v>Riya</v>
      </c>
      <c r="AC138" t="str">
        <v>New Delhi</v>
      </c>
      <c r="AD138" t="str">
        <v>Delhi</v>
      </c>
      <c r="AE138" t="str">
        <v>North</v>
      </c>
      <c r="AF138" t="str">
        <v>Clothing</v>
      </c>
      <c r="AG138" t="str">
        <v>Dress</v>
      </c>
      <c r="AH138">
        <v>2</v>
      </c>
      <c r="AI138">
        <v>4818.49</v>
      </c>
      <c r="AJ138">
        <v>9636.98</v>
      </c>
    </row>
    <row r="139" spans="1:36">
      <c r="A139" s="25">
        <v>44928</v>
      </c>
      <c r="B139" t="s">
        <v>1700</v>
      </c>
      <c r="C139" t="s">
        <v>1682</v>
      </c>
      <c r="D139" t="s">
        <v>1683</v>
      </c>
      <c r="E139" t="s">
        <v>1679</v>
      </c>
      <c r="F139" t="s">
        <v>114</v>
      </c>
      <c r="G139" t="s">
        <v>1718</v>
      </c>
      <c r="H139">
        <v>15</v>
      </c>
      <c r="I139">
        <v>1853</v>
      </c>
      <c r="J139">
        <v>27795</v>
      </c>
      <c r="AA139">
        <v>45100</v>
      </c>
      <c r="AB139" t="str">
        <v>Nishant</v>
      </c>
      <c r="AC139" t="str">
        <v>New Delhi</v>
      </c>
      <c r="AD139" t="str">
        <v>Delhi</v>
      </c>
      <c r="AE139" t="str">
        <v>North</v>
      </c>
      <c r="AF139" t="str">
        <v>Clothing</v>
      </c>
      <c r="AG139" t="str">
        <v>Shirt</v>
      </c>
      <c r="AH139">
        <v>1</v>
      </c>
      <c r="AI139">
        <v>2709.05</v>
      </c>
      <c r="AJ139">
        <v>2709.05</v>
      </c>
    </row>
    <row r="140" spans="1:36">
      <c r="A140" s="25">
        <v>45259</v>
      </c>
      <c r="B140" t="s">
        <v>1692</v>
      </c>
      <c r="C140" t="s">
        <v>1682</v>
      </c>
      <c r="D140" t="s">
        <v>1683</v>
      </c>
      <c r="E140" t="s">
        <v>1679</v>
      </c>
      <c r="F140" t="s">
        <v>114</v>
      </c>
      <c r="G140" t="s">
        <v>1680</v>
      </c>
      <c r="H140">
        <v>17</v>
      </c>
      <c r="I140">
        <v>1294.56</v>
      </c>
      <c r="J140">
        <v>22007.52</v>
      </c>
      <c r="AA140">
        <v>45239</v>
      </c>
      <c r="AB140" t="str">
        <v>Meera</v>
      </c>
      <c r="AC140" t="str">
        <v>New Delhi</v>
      </c>
      <c r="AD140" t="str">
        <v>Delhi</v>
      </c>
      <c r="AE140" t="str">
        <v>North</v>
      </c>
      <c r="AF140" t="str">
        <v>Clothing</v>
      </c>
      <c r="AG140" t="str">
        <v>Pants</v>
      </c>
      <c r="AH140">
        <v>12</v>
      </c>
      <c r="AI140">
        <v>149.16</v>
      </c>
      <c r="AJ140">
        <v>1789.92</v>
      </c>
    </row>
    <row r="141" spans="1:36">
      <c r="A141" s="25">
        <v>45248</v>
      </c>
      <c r="B141" t="s">
        <v>1689</v>
      </c>
      <c r="C141" t="s">
        <v>1682</v>
      </c>
      <c r="D141" t="s">
        <v>1683</v>
      </c>
      <c r="E141" t="s">
        <v>1679</v>
      </c>
      <c r="F141" t="s">
        <v>114</v>
      </c>
      <c r="G141" t="s">
        <v>1680</v>
      </c>
      <c r="H141">
        <v>5</v>
      </c>
      <c r="I141">
        <v>4252.84</v>
      </c>
      <c r="J141">
        <v>21264.2</v>
      </c>
      <c r="AA141">
        <v>44942</v>
      </c>
      <c r="AB141" t="str">
        <v>Ananya</v>
      </c>
      <c r="AC141" t="str">
        <v>New Delhi</v>
      </c>
      <c r="AD141" t="str">
        <v>Delhi</v>
      </c>
      <c r="AE141" t="str">
        <v>North</v>
      </c>
      <c r="AF141" t="str">
        <v>Electronics</v>
      </c>
      <c r="AG141" t="str">
        <v>Headphones</v>
      </c>
      <c r="AH141">
        <v>20</v>
      </c>
      <c r="AI141">
        <v>3925.65</v>
      </c>
      <c r="AJ141">
        <v>78513</v>
      </c>
    </row>
    <row r="142" spans="1:36">
      <c r="A142" s="25">
        <v>45194</v>
      </c>
      <c r="B142" t="s">
        <v>1700</v>
      </c>
      <c r="C142" t="s">
        <v>1682</v>
      </c>
      <c r="D142" t="s">
        <v>1683</v>
      </c>
      <c r="E142" t="s">
        <v>1679</v>
      </c>
      <c r="F142" t="s">
        <v>114</v>
      </c>
      <c r="G142" t="s">
        <v>1680</v>
      </c>
      <c r="H142">
        <v>4</v>
      </c>
      <c r="I142">
        <v>4837.17</v>
      </c>
      <c r="J142">
        <v>19348.68</v>
      </c>
      <c r="AA142">
        <v>45244</v>
      </c>
      <c r="AB142" t="str">
        <v>Ananya</v>
      </c>
      <c r="AC142" t="str">
        <v>New Delhi</v>
      </c>
      <c r="AD142" t="str">
        <v>Delhi</v>
      </c>
      <c r="AE142" t="str">
        <v>North</v>
      </c>
      <c r="AF142" t="str">
        <v>Electronics</v>
      </c>
      <c r="AG142" t="str">
        <v>Smartphone</v>
      </c>
      <c r="AH142">
        <v>14</v>
      </c>
      <c r="AI142">
        <v>4406.29</v>
      </c>
      <c r="AJ142">
        <v>61688.06</v>
      </c>
    </row>
    <row r="143" spans="1:36">
      <c r="A143" s="25">
        <v>44959</v>
      </c>
      <c r="B143" t="s">
        <v>1700</v>
      </c>
      <c r="C143" t="s">
        <v>1682</v>
      </c>
      <c r="D143" t="s">
        <v>1683</v>
      </c>
      <c r="E143" t="s">
        <v>1679</v>
      </c>
      <c r="F143" t="s">
        <v>114</v>
      </c>
      <c r="G143" t="s">
        <v>1680</v>
      </c>
      <c r="H143">
        <v>5</v>
      </c>
      <c r="I143">
        <v>3770.1</v>
      </c>
      <c r="J143">
        <v>18850.5</v>
      </c>
      <c r="AA143">
        <v>44960</v>
      </c>
      <c r="AB143" t="str">
        <v>Aryan</v>
      </c>
      <c r="AC143" t="str">
        <v>New Delhi</v>
      </c>
      <c r="AD143" t="str">
        <v>Delhi</v>
      </c>
      <c r="AE143" t="str">
        <v>North</v>
      </c>
      <c r="AF143" t="str">
        <v>Electronics</v>
      </c>
      <c r="AG143" t="str">
        <v>Smartphone</v>
      </c>
      <c r="AH143">
        <v>12</v>
      </c>
      <c r="AI143">
        <v>3696.43</v>
      </c>
      <c r="AJ143">
        <v>44357.16</v>
      </c>
    </row>
    <row r="144" spans="1:36">
      <c r="A144" s="25">
        <v>45250</v>
      </c>
      <c r="B144" t="s">
        <v>1705</v>
      </c>
      <c r="C144" t="s">
        <v>1682</v>
      </c>
      <c r="D144" t="s">
        <v>1683</v>
      </c>
      <c r="E144" t="s">
        <v>1679</v>
      </c>
      <c r="F144" t="s">
        <v>114</v>
      </c>
      <c r="G144" t="s">
        <v>1691</v>
      </c>
      <c r="H144">
        <v>5</v>
      </c>
      <c r="I144">
        <v>1593.02</v>
      </c>
      <c r="J144">
        <v>7965.1</v>
      </c>
      <c r="AA144">
        <v>45263</v>
      </c>
      <c r="AB144" t="str">
        <v>Kabir</v>
      </c>
      <c r="AC144" t="str">
        <v>New Delhi</v>
      </c>
      <c r="AD144" t="str">
        <v>Delhi</v>
      </c>
      <c r="AE144" t="str">
        <v>North</v>
      </c>
      <c r="AF144" t="str">
        <v>Electronics</v>
      </c>
      <c r="AG144" t="str">
        <v>Tablet</v>
      </c>
      <c r="AH144">
        <v>19</v>
      </c>
      <c r="AI144">
        <v>1359.7</v>
      </c>
      <c r="AJ144">
        <v>25834.3</v>
      </c>
    </row>
    <row r="145" spans="1:36">
      <c r="A145" s="25">
        <v>45017</v>
      </c>
      <c r="B145" t="s">
        <v>1681</v>
      </c>
      <c r="C145" t="s">
        <v>1682</v>
      </c>
      <c r="D145" t="s">
        <v>1683</v>
      </c>
      <c r="E145" t="s">
        <v>1679</v>
      </c>
      <c r="F145" t="s">
        <v>114</v>
      </c>
      <c r="G145" t="s">
        <v>1718</v>
      </c>
      <c r="H145">
        <v>13</v>
      </c>
      <c r="I145">
        <v>513.05999999999995</v>
      </c>
      <c r="J145">
        <v>6669.78</v>
      </c>
      <c r="AA145">
        <v>45138</v>
      </c>
      <c r="AB145" t="str">
        <v>Ishita</v>
      </c>
      <c r="AC145" t="str">
        <v>New Delhi</v>
      </c>
      <c r="AD145" t="str">
        <v>Delhi</v>
      </c>
      <c r="AE145" t="str">
        <v>North</v>
      </c>
      <c r="AF145" t="str">
        <v>Electronics</v>
      </c>
      <c r="AG145" t="str">
        <v>Smartphone</v>
      </c>
      <c r="AH145">
        <v>6</v>
      </c>
      <c r="AI145">
        <v>4197.59</v>
      </c>
      <c r="AJ145">
        <v>25185.54</v>
      </c>
    </row>
    <row r="146" spans="1:36">
      <c r="A146" s="25">
        <v>45108</v>
      </c>
      <c r="B146" t="s">
        <v>1700</v>
      </c>
      <c r="C146" t="s">
        <v>1682</v>
      </c>
      <c r="D146" t="s">
        <v>1683</v>
      </c>
      <c r="E146" t="s">
        <v>1679</v>
      </c>
      <c r="F146" t="s">
        <v>114</v>
      </c>
      <c r="G146" t="s">
        <v>1691</v>
      </c>
      <c r="H146">
        <v>1</v>
      </c>
      <c r="I146">
        <v>1915.3</v>
      </c>
      <c r="J146">
        <v>1915.3</v>
      </c>
      <c r="AA146">
        <v>45159</v>
      </c>
      <c r="AB146" t="str">
        <v>Aryan</v>
      </c>
      <c r="AC146" t="str">
        <v>New Delhi</v>
      </c>
      <c r="AD146" t="str">
        <v>Delhi</v>
      </c>
      <c r="AE146" t="str">
        <v>North</v>
      </c>
      <c r="AF146" t="str">
        <v>Electronics</v>
      </c>
      <c r="AG146" t="str">
        <v>Smartphone</v>
      </c>
      <c r="AH146">
        <v>7</v>
      </c>
      <c r="AI146">
        <v>3481</v>
      </c>
      <c r="AJ146">
        <v>24367</v>
      </c>
    </row>
    <row r="147" spans="1:36">
      <c r="A147" s="25">
        <v>45006</v>
      </c>
      <c r="B147" t="s">
        <v>1705</v>
      </c>
      <c r="C147" t="s">
        <v>1690</v>
      </c>
      <c r="D147" t="s">
        <v>1678</v>
      </c>
      <c r="E147" t="s">
        <v>1679</v>
      </c>
      <c r="F147" t="s">
        <v>97</v>
      </c>
      <c r="G147" t="s">
        <v>1685</v>
      </c>
      <c r="H147">
        <v>18</v>
      </c>
      <c r="I147">
        <v>2971.68</v>
      </c>
      <c r="J147">
        <v>53490.239999999998</v>
      </c>
      <c r="AA147">
        <v>45151</v>
      </c>
      <c r="AB147" t="str">
        <v>Ishita</v>
      </c>
      <c r="AC147" t="str">
        <v>New Delhi</v>
      </c>
      <c r="AD147" t="str">
        <v>Delhi</v>
      </c>
      <c r="AE147" t="str">
        <v>North</v>
      </c>
      <c r="AF147" t="str">
        <v>Electronics</v>
      </c>
      <c r="AG147" t="str">
        <v>Headphones</v>
      </c>
      <c r="AH147">
        <v>11</v>
      </c>
      <c r="AI147">
        <v>2133.36</v>
      </c>
      <c r="AJ147">
        <v>23466.959999999999</v>
      </c>
    </row>
    <row r="148" spans="1:36">
      <c r="A148" s="25">
        <v>45051</v>
      </c>
      <c r="B148" t="s">
        <v>1671</v>
      </c>
      <c r="C148" t="s">
        <v>1690</v>
      </c>
      <c r="D148" t="s">
        <v>1678</v>
      </c>
      <c r="E148" t="s">
        <v>1679</v>
      </c>
      <c r="F148" t="s">
        <v>97</v>
      </c>
      <c r="G148" t="s">
        <v>1711</v>
      </c>
      <c r="H148">
        <v>19</v>
      </c>
      <c r="I148">
        <v>2174.06</v>
      </c>
      <c r="J148">
        <v>41307.14</v>
      </c>
      <c r="AA148">
        <v>44965</v>
      </c>
      <c r="AB148" t="str">
        <v>Aditi</v>
      </c>
      <c r="AC148" t="str">
        <v>New Delhi</v>
      </c>
      <c r="AD148" t="str">
        <v>Delhi</v>
      </c>
      <c r="AE148" t="str">
        <v>North</v>
      </c>
      <c r="AF148" t="str">
        <v>Electronics</v>
      </c>
      <c r="AG148" t="str">
        <v>Laptop</v>
      </c>
      <c r="AH148">
        <v>17</v>
      </c>
      <c r="AI148">
        <v>1248.03</v>
      </c>
      <c r="AJ148">
        <v>21216.51</v>
      </c>
    </row>
    <row r="149" spans="1:36">
      <c r="A149" s="25">
        <v>45125</v>
      </c>
      <c r="B149" t="s">
        <v>1698</v>
      </c>
      <c r="C149" t="s">
        <v>1690</v>
      </c>
      <c r="D149" t="s">
        <v>1678</v>
      </c>
      <c r="E149" t="s">
        <v>1679</v>
      </c>
      <c r="F149" t="s">
        <v>97</v>
      </c>
      <c r="G149" t="s">
        <v>1711</v>
      </c>
      <c r="H149">
        <v>13</v>
      </c>
      <c r="I149">
        <v>3101.42</v>
      </c>
      <c r="J149">
        <v>40318.46</v>
      </c>
      <c r="AA149">
        <v>45261</v>
      </c>
      <c r="AB149" t="str">
        <v>Aarav</v>
      </c>
      <c r="AC149" t="str">
        <v>New Delhi</v>
      </c>
      <c r="AD149" t="str">
        <v>Delhi</v>
      </c>
      <c r="AE149" t="str">
        <v>North</v>
      </c>
      <c r="AF149" t="str">
        <v>Electronics</v>
      </c>
      <c r="AG149" t="str">
        <v>Headphones</v>
      </c>
      <c r="AH149">
        <v>5</v>
      </c>
      <c r="AI149">
        <v>3289.83</v>
      </c>
      <c r="AJ149">
        <v>16449.150000000001</v>
      </c>
    </row>
    <row r="150" spans="1:36">
      <c r="A150" s="25">
        <v>45071</v>
      </c>
      <c r="B150" t="s">
        <v>1700</v>
      </c>
      <c r="C150" t="s">
        <v>1690</v>
      </c>
      <c r="D150" t="s">
        <v>1678</v>
      </c>
      <c r="E150" t="s">
        <v>1679</v>
      </c>
      <c r="F150" t="s">
        <v>97</v>
      </c>
      <c r="G150" t="s">
        <v>1711</v>
      </c>
      <c r="H150">
        <v>9</v>
      </c>
      <c r="I150">
        <v>4218.3599999999997</v>
      </c>
      <c r="J150">
        <v>37965.24</v>
      </c>
      <c r="AA150">
        <v>45149</v>
      </c>
      <c r="AB150" t="str">
        <v>Riya</v>
      </c>
      <c r="AC150" t="str">
        <v>New Delhi</v>
      </c>
      <c r="AD150" t="str">
        <v>Delhi</v>
      </c>
      <c r="AE150" t="str">
        <v>North</v>
      </c>
      <c r="AF150" t="str">
        <v>Electronics</v>
      </c>
      <c r="AG150" t="str">
        <v>Smartphone</v>
      </c>
      <c r="AH150">
        <v>7</v>
      </c>
      <c r="AI150">
        <v>2187.71</v>
      </c>
      <c r="AJ150">
        <v>15313.97</v>
      </c>
    </row>
    <row r="151" spans="1:36">
      <c r="A151" s="25">
        <v>45219</v>
      </c>
      <c r="B151" t="s">
        <v>1676</v>
      </c>
      <c r="C151" t="s">
        <v>1690</v>
      </c>
      <c r="D151" t="s">
        <v>1678</v>
      </c>
      <c r="E151" t="s">
        <v>1679</v>
      </c>
      <c r="F151" t="s">
        <v>97</v>
      </c>
      <c r="G151" t="s">
        <v>1685</v>
      </c>
      <c r="H151">
        <v>17</v>
      </c>
      <c r="I151">
        <v>2209.62</v>
      </c>
      <c r="J151">
        <v>37563.54</v>
      </c>
      <c r="AA151">
        <v>44963</v>
      </c>
      <c r="AB151" t="str">
        <v>Aryan</v>
      </c>
      <c r="AC151" t="str">
        <v>New Delhi</v>
      </c>
      <c r="AD151" t="str">
        <v>Delhi</v>
      </c>
      <c r="AE151" t="str">
        <v>North</v>
      </c>
      <c r="AF151" t="str">
        <v>Electronics</v>
      </c>
      <c r="AG151" t="str">
        <v>Tablet</v>
      </c>
      <c r="AH151">
        <v>7</v>
      </c>
      <c r="AI151">
        <v>1420.32</v>
      </c>
      <c r="AJ151">
        <v>9942.24</v>
      </c>
    </row>
    <row r="152" spans="1:36">
      <c r="A152" s="25">
        <v>45148</v>
      </c>
      <c r="B152" t="s">
        <v>1705</v>
      </c>
      <c r="C152" t="s">
        <v>1690</v>
      </c>
      <c r="D152" t="s">
        <v>1678</v>
      </c>
      <c r="E152" t="s">
        <v>1679</v>
      </c>
      <c r="F152" t="s">
        <v>97</v>
      </c>
      <c r="G152" t="s">
        <v>1697</v>
      </c>
      <c r="H152">
        <v>7</v>
      </c>
      <c r="I152">
        <v>4029.58</v>
      </c>
      <c r="J152">
        <v>28207.06</v>
      </c>
      <c r="AA152">
        <v>45204</v>
      </c>
      <c r="AB152" t="str">
        <v>Ananya</v>
      </c>
      <c r="AC152" t="str">
        <v>New Delhi</v>
      </c>
      <c r="AD152" t="str">
        <v>Delhi</v>
      </c>
      <c r="AE152" t="str">
        <v>North</v>
      </c>
      <c r="AF152" t="str">
        <v>Electronics</v>
      </c>
      <c r="AG152" t="str">
        <v>Smartphone</v>
      </c>
      <c r="AH152">
        <v>2</v>
      </c>
      <c r="AI152">
        <v>4112.53</v>
      </c>
      <c r="AJ152">
        <v>8225.06</v>
      </c>
    </row>
    <row r="153" spans="1:36">
      <c r="A153" s="25">
        <v>44946</v>
      </c>
      <c r="B153" t="s">
        <v>1694</v>
      </c>
      <c r="C153" t="s">
        <v>1690</v>
      </c>
      <c r="D153" t="s">
        <v>1678</v>
      </c>
      <c r="E153" t="s">
        <v>1679</v>
      </c>
      <c r="F153" t="s">
        <v>97</v>
      </c>
      <c r="G153" t="s">
        <v>1699</v>
      </c>
      <c r="H153">
        <v>10</v>
      </c>
      <c r="I153">
        <v>2469.04</v>
      </c>
      <c r="J153">
        <v>24690.400000000001</v>
      </c>
      <c r="AA153">
        <v>44939</v>
      </c>
      <c r="AB153" t="str">
        <v>Aditi</v>
      </c>
      <c r="AC153" t="str">
        <v>New Delhi</v>
      </c>
      <c r="AD153" t="str">
        <v>Delhi</v>
      </c>
      <c r="AE153" t="str">
        <v>North</v>
      </c>
      <c r="AF153" t="str">
        <v>Furniture</v>
      </c>
      <c r="AG153" t="str">
        <v>Sofa</v>
      </c>
      <c r="AH153">
        <v>15</v>
      </c>
      <c r="AI153">
        <v>4188.84</v>
      </c>
      <c r="AJ153">
        <v>62832.6</v>
      </c>
    </row>
    <row r="154" spans="1:36">
      <c r="A154" s="25">
        <v>45252</v>
      </c>
      <c r="B154" t="s">
        <v>1686</v>
      </c>
      <c r="C154" t="s">
        <v>1690</v>
      </c>
      <c r="D154" t="s">
        <v>1678</v>
      </c>
      <c r="E154" t="s">
        <v>1679</v>
      </c>
      <c r="F154" t="s">
        <v>97</v>
      </c>
      <c r="G154" t="s">
        <v>1699</v>
      </c>
      <c r="H154">
        <v>12</v>
      </c>
      <c r="I154">
        <v>1794.88</v>
      </c>
      <c r="J154">
        <v>21538.560000000001</v>
      </c>
      <c r="AA154">
        <v>44958</v>
      </c>
      <c r="AB154" t="str">
        <v>Nishant</v>
      </c>
      <c r="AC154" t="str">
        <v>New Delhi</v>
      </c>
      <c r="AD154" t="str">
        <v>Delhi</v>
      </c>
      <c r="AE154" t="str">
        <v>North</v>
      </c>
      <c r="AF154" t="str">
        <v>Furniture</v>
      </c>
      <c r="AG154" t="str">
        <v>Bed</v>
      </c>
      <c r="AH154">
        <v>16</v>
      </c>
      <c r="AI154">
        <v>3320.8</v>
      </c>
      <c r="AJ154">
        <v>53132.800000000003</v>
      </c>
    </row>
    <row r="155" spans="1:36">
      <c r="A155" s="25">
        <v>45067</v>
      </c>
      <c r="B155" t="s">
        <v>1692</v>
      </c>
      <c r="C155" t="s">
        <v>1690</v>
      </c>
      <c r="D155" t="s">
        <v>1678</v>
      </c>
      <c r="E155" t="s">
        <v>1679</v>
      </c>
      <c r="F155" t="s">
        <v>97</v>
      </c>
      <c r="G155" t="s">
        <v>1711</v>
      </c>
      <c r="H155">
        <v>13</v>
      </c>
      <c r="I155">
        <v>1406.82</v>
      </c>
      <c r="J155">
        <v>18288.66</v>
      </c>
      <c r="AA155">
        <v>45269</v>
      </c>
      <c r="AB155" t="str">
        <v>Vihaan</v>
      </c>
      <c r="AC155" t="str">
        <v>New Delhi</v>
      </c>
      <c r="AD155" t="str">
        <v>Delhi</v>
      </c>
      <c r="AE155" t="str">
        <v>North</v>
      </c>
      <c r="AF155" t="str">
        <v>Furniture</v>
      </c>
      <c r="AG155" t="str">
        <v>Sofa</v>
      </c>
      <c r="AH155">
        <v>17</v>
      </c>
      <c r="AI155">
        <v>2655.98</v>
      </c>
      <c r="AJ155">
        <v>45151.66</v>
      </c>
    </row>
    <row r="156" spans="1:36">
      <c r="A156" s="25">
        <v>44972</v>
      </c>
      <c r="B156" t="s">
        <v>1686</v>
      </c>
      <c r="C156" t="s">
        <v>1690</v>
      </c>
      <c r="D156" t="s">
        <v>1678</v>
      </c>
      <c r="E156" t="s">
        <v>1679</v>
      </c>
      <c r="F156" t="s">
        <v>97</v>
      </c>
      <c r="G156" t="s">
        <v>1699</v>
      </c>
      <c r="H156">
        <v>11</v>
      </c>
      <c r="I156">
        <v>1634.39</v>
      </c>
      <c r="J156">
        <v>17978.29</v>
      </c>
      <c r="AA156">
        <v>44988</v>
      </c>
      <c r="AB156" t="str">
        <v>Meera</v>
      </c>
      <c r="AC156" t="str">
        <v>New Delhi</v>
      </c>
      <c r="AD156" t="str">
        <v>Delhi</v>
      </c>
      <c r="AE156" t="str">
        <v>North</v>
      </c>
      <c r="AF156" t="str">
        <v>Furniture</v>
      </c>
      <c r="AG156" t="str">
        <v>Chair</v>
      </c>
      <c r="AH156">
        <v>12</v>
      </c>
      <c r="AI156">
        <v>3229.61</v>
      </c>
      <c r="AJ156">
        <v>38755.32</v>
      </c>
    </row>
    <row r="157" spans="1:36">
      <c r="A157" s="25">
        <v>45002</v>
      </c>
      <c r="B157" t="s">
        <v>1698</v>
      </c>
      <c r="C157" t="s">
        <v>1690</v>
      </c>
      <c r="D157" t="s">
        <v>1678</v>
      </c>
      <c r="E157" t="s">
        <v>1679</v>
      </c>
      <c r="F157" t="s">
        <v>97</v>
      </c>
      <c r="G157" t="s">
        <v>1699</v>
      </c>
      <c r="H157">
        <v>8</v>
      </c>
      <c r="I157">
        <v>2240.2199999999998</v>
      </c>
      <c r="J157">
        <v>17921.759999999998</v>
      </c>
      <c r="AA157">
        <v>45198</v>
      </c>
      <c r="AB157" t="str">
        <v>Aditi</v>
      </c>
      <c r="AC157" t="str">
        <v>New Delhi</v>
      </c>
      <c r="AD157" t="str">
        <v>Delhi</v>
      </c>
      <c r="AE157" t="str">
        <v>North</v>
      </c>
      <c r="AF157" t="str">
        <v>Furniture</v>
      </c>
      <c r="AG157" t="str">
        <v>Bed</v>
      </c>
      <c r="AH157">
        <v>17</v>
      </c>
      <c r="AI157">
        <v>2042</v>
      </c>
      <c r="AJ157">
        <v>34714</v>
      </c>
    </row>
    <row r="158" spans="1:36">
      <c r="A158" s="25">
        <v>45026</v>
      </c>
      <c r="B158" t="s">
        <v>1700</v>
      </c>
      <c r="C158" t="s">
        <v>1690</v>
      </c>
      <c r="D158" t="s">
        <v>1678</v>
      </c>
      <c r="E158" t="s">
        <v>1679</v>
      </c>
      <c r="F158" t="s">
        <v>97</v>
      </c>
      <c r="G158" t="s">
        <v>1697</v>
      </c>
      <c r="H158">
        <v>4</v>
      </c>
      <c r="I158">
        <v>3831.39</v>
      </c>
      <c r="J158">
        <v>15325.56</v>
      </c>
      <c r="AA158">
        <v>45240</v>
      </c>
      <c r="AB158" t="str">
        <v>Nishant</v>
      </c>
      <c r="AC158" t="str">
        <v>New Delhi</v>
      </c>
      <c r="AD158" t="str">
        <v>Delhi</v>
      </c>
      <c r="AE158" t="str">
        <v>North</v>
      </c>
      <c r="AF158" t="str">
        <v>Furniture</v>
      </c>
      <c r="AG158" t="str">
        <v>Sofa</v>
      </c>
      <c r="AH158">
        <v>14</v>
      </c>
      <c r="AI158">
        <v>2385.9899999999998</v>
      </c>
      <c r="AJ158">
        <v>33403.86</v>
      </c>
    </row>
    <row r="159" spans="1:36">
      <c r="A159" s="25">
        <v>45031</v>
      </c>
      <c r="B159" t="s">
        <v>1689</v>
      </c>
      <c r="C159" t="s">
        <v>1690</v>
      </c>
      <c r="D159" t="s">
        <v>1678</v>
      </c>
      <c r="E159" t="s">
        <v>1679</v>
      </c>
      <c r="F159" t="s">
        <v>97</v>
      </c>
      <c r="G159" t="s">
        <v>1685</v>
      </c>
      <c r="H159">
        <v>7</v>
      </c>
      <c r="I159">
        <v>1233.6300000000001</v>
      </c>
      <c r="J159">
        <v>8635.41</v>
      </c>
      <c r="AA159">
        <v>45181</v>
      </c>
      <c r="AB159" t="str">
        <v>Aarav</v>
      </c>
      <c r="AC159" t="str">
        <v>New Delhi</v>
      </c>
      <c r="AD159" t="str">
        <v>Delhi</v>
      </c>
      <c r="AE159" t="str">
        <v>North</v>
      </c>
      <c r="AF159" t="str">
        <v>Furniture</v>
      </c>
      <c r="AG159" t="str">
        <v>Bed</v>
      </c>
      <c r="AH159">
        <v>16</v>
      </c>
      <c r="AI159">
        <v>1795.37</v>
      </c>
      <c r="AJ159">
        <v>28725.919999999998</v>
      </c>
    </row>
    <row r="160" spans="1:36">
      <c r="A160" s="25">
        <v>44980</v>
      </c>
      <c r="B160" t="s">
        <v>1700</v>
      </c>
      <c r="C160" t="s">
        <v>1690</v>
      </c>
      <c r="D160" t="s">
        <v>1678</v>
      </c>
      <c r="E160" t="s">
        <v>1679</v>
      </c>
      <c r="F160" t="s">
        <v>97</v>
      </c>
      <c r="G160" t="s">
        <v>1699</v>
      </c>
      <c r="H160">
        <v>2</v>
      </c>
      <c r="I160">
        <v>4277.8999999999996</v>
      </c>
      <c r="J160">
        <v>8555.7999999999993</v>
      </c>
      <c r="AA160">
        <v>45192</v>
      </c>
      <c r="AB160" t="str">
        <v>Ananya</v>
      </c>
      <c r="AC160" t="str">
        <v>New Delhi</v>
      </c>
      <c r="AD160" t="str">
        <v>Delhi</v>
      </c>
      <c r="AE160" t="str">
        <v>North</v>
      </c>
      <c r="AF160" t="str">
        <v>Furniture</v>
      </c>
      <c r="AG160" t="str">
        <v>Chair</v>
      </c>
      <c r="AH160">
        <v>6</v>
      </c>
      <c r="AI160">
        <v>4109.0200000000004</v>
      </c>
      <c r="AJ160">
        <v>24654.12</v>
      </c>
    </row>
    <row r="161" spans="1:36">
      <c r="A161" s="25">
        <v>45214</v>
      </c>
      <c r="B161" t="s">
        <v>1686</v>
      </c>
      <c r="C161" t="s">
        <v>1690</v>
      </c>
      <c r="D161" t="s">
        <v>1678</v>
      </c>
      <c r="E161" t="s">
        <v>1679</v>
      </c>
      <c r="F161" t="s">
        <v>97</v>
      </c>
      <c r="G161" t="s">
        <v>1697</v>
      </c>
      <c r="H161">
        <v>10</v>
      </c>
      <c r="I161">
        <v>651.83000000000004</v>
      </c>
      <c r="J161">
        <v>6518.3</v>
      </c>
      <c r="AA161">
        <v>44991</v>
      </c>
      <c r="AB161" t="str">
        <v>Riya</v>
      </c>
      <c r="AC161" t="str">
        <v>New Delhi</v>
      </c>
      <c r="AD161" t="str">
        <v>Delhi</v>
      </c>
      <c r="AE161" t="str">
        <v>North</v>
      </c>
      <c r="AF161" t="str">
        <v>Furniture</v>
      </c>
      <c r="AG161" t="str">
        <v>Chair</v>
      </c>
      <c r="AH161">
        <v>5</v>
      </c>
      <c r="AI161">
        <v>2849.56</v>
      </c>
      <c r="AJ161">
        <v>14247.8</v>
      </c>
    </row>
    <row r="162" spans="1:36">
      <c r="A162" s="25">
        <v>44971</v>
      </c>
      <c r="B162" t="s">
        <v>1671</v>
      </c>
      <c r="C162" t="s">
        <v>1690</v>
      </c>
      <c r="D162" t="s">
        <v>1678</v>
      </c>
      <c r="E162" t="s">
        <v>1679</v>
      </c>
      <c r="F162" t="s">
        <v>97</v>
      </c>
      <c r="G162" t="s">
        <v>1685</v>
      </c>
      <c r="H162">
        <v>5</v>
      </c>
      <c r="I162">
        <v>850.9</v>
      </c>
      <c r="J162">
        <v>4254.5</v>
      </c>
      <c r="AA162">
        <v>44972</v>
      </c>
      <c r="AB162" t="str">
        <v>Kabir</v>
      </c>
      <c r="AC162" t="str">
        <v>New Delhi</v>
      </c>
      <c r="AD162" t="str">
        <v>Delhi</v>
      </c>
      <c r="AE162" t="str">
        <v>North</v>
      </c>
      <c r="AF162" t="str">
        <v>Furniture</v>
      </c>
      <c r="AG162" t="str">
        <v>Table</v>
      </c>
      <c r="AH162">
        <v>3</v>
      </c>
      <c r="AI162">
        <v>3814.12</v>
      </c>
      <c r="AJ162">
        <v>11442.36</v>
      </c>
    </row>
    <row r="163" spans="1:36">
      <c r="A163" s="25">
        <v>45206</v>
      </c>
      <c r="B163" t="s">
        <v>1681</v>
      </c>
      <c r="C163" t="s">
        <v>1690</v>
      </c>
      <c r="D163" t="s">
        <v>1678</v>
      </c>
      <c r="E163" t="s">
        <v>1679</v>
      </c>
      <c r="F163" t="s">
        <v>89</v>
      </c>
      <c r="G163" t="s">
        <v>1714</v>
      </c>
      <c r="H163">
        <v>19</v>
      </c>
      <c r="I163">
        <v>4996.28</v>
      </c>
      <c r="J163">
        <v>94929.32</v>
      </c>
      <c r="AA163">
        <v>45235</v>
      </c>
      <c r="AB163" t="str">
        <v>Ananya</v>
      </c>
      <c r="AC163" t="str">
        <v>New Delhi</v>
      </c>
      <c r="AD163" t="str">
        <v>Delhi</v>
      </c>
      <c r="AE163" t="str">
        <v>North</v>
      </c>
      <c r="AF163" t="str">
        <v>Furniture</v>
      </c>
      <c r="AG163" t="str">
        <v>Bed</v>
      </c>
      <c r="AH163">
        <v>6</v>
      </c>
      <c r="AI163">
        <v>1822.86</v>
      </c>
      <c r="AJ163">
        <v>10937.16</v>
      </c>
    </row>
    <row r="164" spans="1:36">
      <c r="A164" s="25">
        <v>44938</v>
      </c>
      <c r="B164" t="s">
        <v>1694</v>
      </c>
      <c r="C164" t="s">
        <v>1690</v>
      </c>
      <c r="D164" t="s">
        <v>1678</v>
      </c>
      <c r="E164" t="s">
        <v>1679</v>
      </c>
      <c r="F164" t="s">
        <v>89</v>
      </c>
      <c r="G164" t="s">
        <v>1106</v>
      </c>
      <c r="H164">
        <v>15</v>
      </c>
      <c r="I164">
        <v>4316.17</v>
      </c>
      <c r="J164">
        <v>64742.55</v>
      </c>
      <c r="AA164">
        <v>45250</v>
      </c>
      <c r="AB164" t="str">
        <v>Vihaan</v>
      </c>
      <c r="AC164" t="str">
        <v>New Delhi</v>
      </c>
      <c r="AD164" t="str">
        <v>Delhi</v>
      </c>
      <c r="AE164" t="str">
        <v>North</v>
      </c>
      <c r="AF164" t="str">
        <v>Furniture</v>
      </c>
      <c r="AG164" t="str">
        <v>Chair</v>
      </c>
      <c r="AH164">
        <v>3</v>
      </c>
      <c r="AI164">
        <v>3044.02</v>
      </c>
      <c r="AJ164">
        <v>9132.06</v>
      </c>
    </row>
    <row r="165" spans="1:36">
      <c r="A165" s="25">
        <v>45197</v>
      </c>
      <c r="B165" t="s">
        <v>1686</v>
      </c>
      <c r="C165" t="s">
        <v>1690</v>
      </c>
      <c r="D165" t="s">
        <v>1678</v>
      </c>
      <c r="E165" t="s">
        <v>1679</v>
      </c>
      <c r="F165" t="s">
        <v>89</v>
      </c>
      <c r="G165" t="s">
        <v>1713</v>
      </c>
      <c r="H165">
        <v>13</v>
      </c>
      <c r="I165">
        <v>3520.87</v>
      </c>
      <c r="J165">
        <v>45771.31</v>
      </c>
      <c r="AA165">
        <v>45204</v>
      </c>
      <c r="AB165" t="str">
        <v>Ishita</v>
      </c>
      <c r="AC165" t="str">
        <v>New Delhi</v>
      </c>
      <c r="AD165" t="str">
        <v>Delhi</v>
      </c>
      <c r="AE165" t="str">
        <v>North</v>
      </c>
      <c r="AF165" t="str">
        <v>Furniture</v>
      </c>
      <c r="AG165" t="str">
        <v>Bed</v>
      </c>
      <c r="AH165">
        <v>5</v>
      </c>
      <c r="AI165">
        <v>1568.68</v>
      </c>
      <c r="AJ165">
        <v>7843.4</v>
      </c>
    </row>
    <row r="166" spans="1:36">
      <c r="A166" s="25">
        <v>44961</v>
      </c>
      <c r="B166" t="s">
        <v>1698</v>
      </c>
      <c r="C166" t="s">
        <v>1690</v>
      </c>
      <c r="D166" t="s">
        <v>1678</v>
      </c>
      <c r="E166" t="s">
        <v>1679</v>
      </c>
      <c r="F166" t="s">
        <v>89</v>
      </c>
      <c r="G166" t="s">
        <v>1714</v>
      </c>
      <c r="H166">
        <v>7</v>
      </c>
      <c r="I166">
        <v>4988.71</v>
      </c>
      <c r="J166">
        <v>34920.97</v>
      </c>
      <c r="AA166">
        <v>45078</v>
      </c>
      <c r="AB166" t="str">
        <v>Meera</v>
      </c>
      <c r="AC166" t="str">
        <v>New Delhi</v>
      </c>
      <c r="AD166" t="str">
        <v>Delhi</v>
      </c>
      <c r="AE166" t="str">
        <v>North</v>
      </c>
      <c r="AF166" t="str">
        <v>Furniture</v>
      </c>
      <c r="AG166" t="str">
        <v>Table</v>
      </c>
      <c r="AH166">
        <v>13</v>
      </c>
      <c r="AI166">
        <v>523.83000000000004</v>
      </c>
      <c r="AJ166">
        <v>6809.79</v>
      </c>
    </row>
    <row r="167" spans="1:36">
      <c r="A167" s="25">
        <v>45111</v>
      </c>
      <c r="B167" t="s">
        <v>1689</v>
      </c>
      <c r="C167" t="s">
        <v>1690</v>
      </c>
      <c r="D167" t="s">
        <v>1678</v>
      </c>
      <c r="E167" t="s">
        <v>1679</v>
      </c>
      <c r="F167" t="s">
        <v>89</v>
      </c>
      <c r="G167" t="s">
        <v>1105</v>
      </c>
      <c r="H167">
        <v>14</v>
      </c>
      <c r="I167">
        <v>2161.65</v>
      </c>
      <c r="J167">
        <v>30263.1</v>
      </c>
      <c r="AA167">
        <v>45100</v>
      </c>
      <c r="AB167" t="str">
        <v>Vihaan</v>
      </c>
      <c r="AC167" t="str">
        <v>New Delhi</v>
      </c>
      <c r="AD167" t="str">
        <v>Delhi</v>
      </c>
      <c r="AE167" t="str">
        <v>North</v>
      </c>
      <c r="AF167" t="str">
        <v>Furniture</v>
      </c>
      <c r="AG167" t="str">
        <v>Sofa</v>
      </c>
      <c r="AH167">
        <v>2</v>
      </c>
      <c r="AI167">
        <v>3325.99</v>
      </c>
      <c r="AJ167">
        <v>6651.98</v>
      </c>
    </row>
    <row r="168" spans="1:36">
      <c r="A168" s="25">
        <v>45112</v>
      </c>
      <c r="B168" t="s">
        <v>1698</v>
      </c>
      <c r="C168" t="s">
        <v>1690</v>
      </c>
      <c r="D168" t="s">
        <v>1678</v>
      </c>
      <c r="E168" t="s">
        <v>1679</v>
      </c>
      <c r="F168" t="s">
        <v>89</v>
      </c>
      <c r="G168" t="s">
        <v>1714</v>
      </c>
      <c r="H168">
        <v>18</v>
      </c>
      <c r="I168">
        <v>1599.01</v>
      </c>
      <c r="J168">
        <v>28782.18</v>
      </c>
      <c r="AA168">
        <v>44934</v>
      </c>
      <c r="AB168" t="str">
        <v>Vihaan</v>
      </c>
      <c r="AC168" t="str">
        <v>New Delhi</v>
      </c>
      <c r="AD168" t="str">
        <v>Delhi</v>
      </c>
      <c r="AE168" t="str">
        <v>North</v>
      </c>
      <c r="AF168" t="str">
        <v>Furniture</v>
      </c>
      <c r="AG168" t="str">
        <v>Chair</v>
      </c>
      <c r="AH168">
        <v>3</v>
      </c>
      <c r="AI168">
        <v>916.33</v>
      </c>
      <c r="AJ168">
        <v>2748.99</v>
      </c>
    </row>
    <row r="169" spans="1:36">
      <c r="A169" s="25">
        <v>45230</v>
      </c>
      <c r="B169" t="s">
        <v>1671</v>
      </c>
      <c r="C169" t="s">
        <v>1690</v>
      </c>
      <c r="D169" t="s">
        <v>1678</v>
      </c>
      <c r="E169" t="s">
        <v>1679</v>
      </c>
      <c r="F169" t="s">
        <v>89</v>
      </c>
      <c r="G169" t="s">
        <v>1105</v>
      </c>
      <c r="H169">
        <v>12</v>
      </c>
      <c r="I169">
        <v>1982.64</v>
      </c>
      <c r="J169">
        <v>23791.68</v>
      </c>
      <c r="AA169">
        <v>45072</v>
      </c>
      <c r="AB169" t="str">
        <v>Ishita</v>
      </c>
      <c r="AC169" t="str">
        <v>New Delhi</v>
      </c>
      <c r="AD169" t="str">
        <v>Delhi</v>
      </c>
      <c r="AE169" t="str">
        <v>North</v>
      </c>
      <c r="AF169" t="str">
        <v>Furniture</v>
      </c>
      <c r="AG169" t="str">
        <v>Bed</v>
      </c>
      <c r="AH169">
        <v>10</v>
      </c>
      <c r="AI169">
        <v>239.55</v>
      </c>
      <c r="AJ169">
        <v>2395.5</v>
      </c>
    </row>
    <row r="170" spans="1:36">
      <c r="A170" s="25">
        <v>45266</v>
      </c>
      <c r="B170" t="s">
        <v>1676</v>
      </c>
      <c r="C170" t="s">
        <v>1690</v>
      </c>
      <c r="D170" t="s">
        <v>1678</v>
      </c>
      <c r="E170" t="s">
        <v>1679</v>
      </c>
      <c r="F170" t="s">
        <v>89</v>
      </c>
      <c r="G170" t="s">
        <v>1105</v>
      </c>
      <c r="H170">
        <v>18</v>
      </c>
      <c r="I170">
        <v>1039.3800000000001</v>
      </c>
      <c r="J170">
        <v>18708.84</v>
      </c>
      <c r="AA170">
        <v>45229</v>
      </c>
      <c r="AB170" t="str">
        <v>Aarav</v>
      </c>
      <c r="AC170" t="str">
        <v>New Delhi</v>
      </c>
      <c r="AD170" t="str">
        <v>Delhi</v>
      </c>
      <c r="AE170" t="str">
        <v>North</v>
      </c>
      <c r="AF170" t="str">
        <v>Groceries</v>
      </c>
      <c r="AG170" t="str">
        <v>Sugar</v>
      </c>
      <c r="AH170">
        <v>19</v>
      </c>
      <c r="AI170">
        <v>3968.42</v>
      </c>
      <c r="AJ170">
        <v>75399.98</v>
      </c>
    </row>
    <row r="171" spans="1:36">
      <c r="A171" s="25">
        <v>45109</v>
      </c>
      <c r="B171" t="s">
        <v>1686</v>
      </c>
      <c r="C171" t="s">
        <v>1690</v>
      </c>
      <c r="D171" t="s">
        <v>1678</v>
      </c>
      <c r="E171" t="s">
        <v>1679</v>
      </c>
      <c r="F171" t="s">
        <v>89</v>
      </c>
      <c r="G171" t="s">
        <v>1106</v>
      </c>
      <c r="H171">
        <v>6</v>
      </c>
      <c r="I171">
        <v>2862.86</v>
      </c>
      <c r="J171">
        <v>17177.16</v>
      </c>
      <c r="AA171">
        <v>45201</v>
      </c>
      <c r="AB171" t="str">
        <v>Aryan</v>
      </c>
      <c r="AC171" t="str">
        <v>New Delhi</v>
      </c>
      <c r="AD171" t="str">
        <v>Delhi</v>
      </c>
      <c r="AE171" t="str">
        <v>North</v>
      </c>
      <c r="AF171" t="str">
        <v>Groceries</v>
      </c>
      <c r="AG171" t="str">
        <v>Oil</v>
      </c>
      <c r="AH171">
        <v>14</v>
      </c>
      <c r="AI171">
        <v>4235.22</v>
      </c>
      <c r="AJ171">
        <v>59293.08</v>
      </c>
    </row>
    <row r="172" spans="1:36">
      <c r="A172" s="25">
        <v>45143</v>
      </c>
      <c r="B172" t="s">
        <v>1698</v>
      </c>
      <c r="C172" t="s">
        <v>1690</v>
      </c>
      <c r="D172" t="s">
        <v>1678</v>
      </c>
      <c r="E172" t="s">
        <v>1679</v>
      </c>
      <c r="F172" t="s">
        <v>89</v>
      </c>
      <c r="G172" t="s">
        <v>1714</v>
      </c>
      <c r="H172">
        <v>4</v>
      </c>
      <c r="I172">
        <v>4062.52</v>
      </c>
      <c r="J172">
        <v>16250.08</v>
      </c>
      <c r="AA172">
        <v>45104</v>
      </c>
      <c r="AB172" t="str">
        <v>Nishant</v>
      </c>
      <c r="AC172" t="str">
        <v>New Delhi</v>
      </c>
      <c r="AD172" t="str">
        <v>Delhi</v>
      </c>
      <c r="AE172" t="str">
        <v>North</v>
      </c>
      <c r="AF172" t="str">
        <v>Groceries</v>
      </c>
      <c r="AG172" t="str">
        <v>Rice</v>
      </c>
      <c r="AH172">
        <v>11</v>
      </c>
      <c r="AI172">
        <v>4896.83</v>
      </c>
      <c r="AJ172">
        <v>53865.13</v>
      </c>
    </row>
    <row r="173" spans="1:36">
      <c r="A173" s="25">
        <v>45273</v>
      </c>
      <c r="B173" t="s">
        <v>1694</v>
      </c>
      <c r="C173" t="s">
        <v>1690</v>
      </c>
      <c r="D173" t="s">
        <v>1678</v>
      </c>
      <c r="E173" t="s">
        <v>1679</v>
      </c>
      <c r="F173" t="s">
        <v>89</v>
      </c>
      <c r="G173" t="s">
        <v>1714</v>
      </c>
      <c r="H173">
        <v>3</v>
      </c>
      <c r="I173">
        <v>3102.92</v>
      </c>
      <c r="J173">
        <v>9308.76</v>
      </c>
      <c r="AA173">
        <v>45258</v>
      </c>
      <c r="AB173" t="str">
        <v>Meera</v>
      </c>
      <c r="AC173" t="str">
        <v>New Delhi</v>
      </c>
      <c r="AD173" t="str">
        <v>Delhi</v>
      </c>
      <c r="AE173" t="str">
        <v>North</v>
      </c>
      <c r="AF173" t="str">
        <v>Groceries</v>
      </c>
      <c r="AG173" t="str">
        <v>Sugar</v>
      </c>
      <c r="AH173">
        <v>13</v>
      </c>
      <c r="AI173">
        <v>3417.94</v>
      </c>
      <c r="AJ173">
        <v>44433.22</v>
      </c>
    </row>
    <row r="174" spans="1:36">
      <c r="A174" s="25">
        <v>45237</v>
      </c>
      <c r="B174" t="s">
        <v>1689</v>
      </c>
      <c r="C174" t="s">
        <v>1690</v>
      </c>
      <c r="D174" t="s">
        <v>1678</v>
      </c>
      <c r="E174" t="s">
        <v>1679</v>
      </c>
      <c r="F174" t="s">
        <v>89</v>
      </c>
      <c r="G174" t="s">
        <v>1106</v>
      </c>
      <c r="H174">
        <v>5</v>
      </c>
      <c r="I174">
        <v>1488.21</v>
      </c>
      <c r="J174">
        <v>7441.05</v>
      </c>
      <c r="AA174">
        <v>45184</v>
      </c>
      <c r="AB174" t="str">
        <v>Aarav</v>
      </c>
      <c r="AC174" t="str">
        <v>New Delhi</v>
      </c>
      <c r="AD174" t="str">
        <v>Delhi</v>
      </c>
      <c r="AE174" t="str">
        <v>North</v>
      </c>
      <c r="AF174" t="str">
        <v>Groceries</v>
      </c>
      <c r="AG174" t="str">
        <v>Lentils</v>
      </c>
      <c r="AH174">
        <v>16</v>
      </c>
      <c r="AI174">
        <v>2687.77</v>
      </c>
      <c r="AJ174">
        <v>43004.32</v>
      </c>
    </row>
    <row r="175" spans="1:36">
      <c r="A175" s="25">
        <v>45214</v>
      </c>
      <c r="B175" t="s">
        <v>1705</v>
      </c>
      <c r="C175" t="s">
        <v>1690</v>
      </c>
      <c r="D175" t="s">
        <v>1678</v>
      </c>
      <c r="E175" t="s">
        <v>1679</v>
      </c>
      <c r="F175" t="s">
        <v>89</v>
      </c>
      <c r="G175" t="s">
        <v>1714</v>
      </c>
      <c r="H175">
        <v>4</v>
      </c>
      <c r="I175">
        <v>1241.21</v>
      </c>
      <c r="J175">
        <v>4964.84</v>
      </c>
      <c r="AA175">
        <v>45040</v>
      </c>
      <c r="AB175" t="str">
        <v>Ananya</v>
      </c>
      <c r="AC175" t="str">
        <v>New Delhi</v>
      </c>
      <c r="AD175" t="str">
        <v>Delhi</v>
      </c>
      <c r="AE175" t="str">
        <v>North</v>
      </c>
      <c r="AF175" t="str">
        <v>Groceries</v>
      </c>
      <c r="AG175" t="str">
        <v>Lentils</v>
      </c>
      <c r="AH175">
        <v>9</v>
      </c>
      <c r="AI175">
        <v>4763.01</v>
      </c>
      <c r="AJ175">
        <v>42867.09</v>
      </c>
    </row>
    <row r="176" spans="1:36">
      <c r="A176" s="25">
        <v>45189</v>
      </c>
      <c r="B176" t="s">
        <v>1689</v>
      </c>
      <c r="C176" t="s">
        <v>1690</v>
      </c>
      <c r="D176" t="s">
        <v>1678</v>
      </c>
      <c r="E176" t="s">
        <v>1679</v>
      </c>
      <c r="F176" t="s">
        <v>89</v>
      </c>
      <c r="G176" t="s">
        <v>1714</v>
      </c>
      <c r="H176">
        <v>1</v>
      </c>
      <c r="I176">
        <v>4175.7</v>
      </c>
      <c r="J176">
        <v>4175.7</v>
      </c>
      <c r="AA176">
        <v>45291</v>
      </c>
      <c r="AB176" t="str">
        <v>Nishant</v>
      </c>
      <c r="AC176" t="str">
        <v>New Delhi</v>
      </c>
      <c r="AD176" t="str">
        <v>Delhi</v>
      </c>
      <c r="AE176" t="str">
        <v>North</v>
      </c>
      <c r="AF176" t="str">
        <v>Groceries</v>
      </c>
      <c r="AG176" t="str">
        <v>Sugar</v>
      </c>
      <c r="AH176">
        <v>11</v>
      </c>
      <c r="AI176">
        <v>3314</v>
      </c>
      <c r="AJ176">
        <v>36454</v>
      </c>
    </row>
    <row r="177" spans="1:36">
      <c r="A177" s="25">
        <v>45013</v>
      </c>
      <c r="B177" t="s">
        <v>1689</v>
      </c>
      <c r="C177" t="s">
        <v>1690</v>
      </c>
      <c r="D177" t="s">
        <v>1678</v>
      </c>
      <c r="E177" t="s">
        <v>1679</v>
      </c>
      <c r="F177" t="s">
        <v>89</v>
      </c>
      <c r="G177" t="s">
        <v>1106</v>
      </c>
      <c r="H177">
        <v>1</v>
      </c>
      <c r="I177">
        <v>2918.29</v>
      </c>
      <c r="J177">
        <v>2918.29</v>
      </c>
      <c r="AA177">
        <v>45116</v>
      </c>
      <c r="AB177" t="str">
        <v>Ananya</v>
      </c>
      <c r="AC177" t="str">
        <v>New Delhi</v>
      </c>
      <c r="AD177" t="str">
        <v>Delhi</v>
      </c>
      <c r="AE177" t="str">
        <v>North</v>
      </c>
      <c r="AF177" t="str">
        <v>Groceries</v>
      </c>
      <c r="AG177" t="str">
        <v>Sugar</v>
      </c>
      <c r="AH177">
        <v>13</v>
      </c>
      <c r="AI177">
        <v>2225.88</v>
      </c>
      <c r="AJ177">
        <v>28936.44</v>
      </c>
    </row>
    <row r="178" spans="1:36">
      <c r="A178" s="25">
        <v>44944</v>
      </c>
      <c r="B178" t="s">
        <v>1692</v>
      </c>
      <c r="C178" t="s">
        <v>1690</v>
      </c>
      <c r="D178" t="s">
        <v>1678</v>
      </c>
      <c r="E178" t="s">
        <v>1679</v>
      </c>
      <c r="F178" t="s">
        <v>89</v>
      </c>
      <c r="G178" t="s">
        <v>1106</v>
      </c>
      <c r="H178">
        <v>1</v>
      </c>
      <c r="I178">
        <v>1811.76</v>
      </c>
      <c r="J178">
        <v>1811.76</v>
      </c>
      <c r="AA178">
        <v>44985</v>
      </c>
      <c r="AB178" t="str">
        <v>Aarav</v>
      </c>
      <c r="AC178" t="str">
        <v>New Delhi</v>
      </c>
      <c r="AD178" t="str">
        <v>Delhi</v>
      </c>
      <c r="AE178" t="str">
        <v>North</v>
      </c>
      <c r="AF178" t="str">
        <v>Groceries</v>
      </c>
      <c r="AG178" t="str">
        <v>Lentils</v>
      </c>
      <c r="AH178">
        <v>13</v>
      </c>
      <c r="AI178">
        <v>1246.1400000000001</v>
      </c>
      <c r="AJ178">
        <v>16199.82</v>
      </c>
    </row>
    <row r="179" spans="1:36">
      <c r="A179" s="25">
        <v>44989</v>
      </c>
      <c r="B179" t="s">
        <v>1698</v>
      </c>
      <c r="C179" t="s">
        <v>1690</v>
      </c>
      <c r="D179" t="s">
        <v>1678</v>
      </c>
      <c r="E179" t="s">
        <v>1679</v>
      </c>
      <c r="F179" t="s">
        <v>101</v>
      </c>
      <c r="G179" t="s">
        <v>1719</v>
      </c>
      <c r="H179">
        <v>16</v>
      </c>
      <c r="I179">
        <v>4817.63</v>
      </c>
      <c r="J179">
        <v>77082.080000000002</v>
      </c>
      <c r="AA179">
        <v>45015</v>
      </c>
      <c r="AB179" t="str">
        <v>Riya</v>
      </c>
      <c r="AC179" t="str">
        <v>New Delhi</v>
      </c>
      <c r="AD179" t="str">
        <v>Delhi</v>
      </c>
      <c r="AE179" t="str">
        <v>North</v>
      </c>
      <c r="AF179" t="str">
        <v>Groceries</v>
      </c>
      <c r="AG179" t="str">
        <v>Sugar</v>
      </c>
      <c r="AH179">
        <v>18</v>
      </c>
      <c r="AI179">
        <v>835.8</v>
      </c>
      <c r="AJ179">
        <v>15044.4</v>
      </c>
    </row>
    <row r="180" spans="1:36">
      <c r="A180" s="25">
        <v>45254</v>
      </c>
      <c r="B180" t="s">
        <v>1692</v>
      </c>
      <c r="C180" t="s">
        <v>1690</v>
      </c>
      <c r="D180" t="s">
        <v>1678</v>
      </c>
      <c r="E180" t="s">
        <v>1679</v>
      </c>
      <c r="F180" t="s">
        <v>101</v>
      </c>
      <c r="G180" t="s">
        <v>1719</v>
      </c>
      <c r="H180">
        <v>17</v>
      </c>
      <c r="I180">
        <v>2246.8200000000002</v>
      </c>
      <c r="J180">
        <v>38195.94</v>
      </c>
      <c r="AA180">
        <v>45123</v>
      </c>
      <c r="AB180" t="str">
        <v>Vihaan</v>
      </c>
      <c r="AC180" t="str">
        <v>New Delhi</v>
      </c>
      <c r="AD180" t="str">
        <v>Delhi</v>
      </c>
      <c r="AE180" t="str">
        <v>North</v>
      </c>
      <c r="AF180" t="str">
        <v>Groceries</v>
      </c>
      <c r="AG180" t="str">
        <v>Rice</v>
      </c>
      <c r="AH180">
        <v>9</v>
      </c>
      <c r="AI180">
        <v>877.89</v>
      </c>
      <c r="AJ180">
        <v>7901.01</v>
      </c>
    </row>
    <row r="181" spans="1:36">
      <c r="A181" s="25">
        <v>44933</v>
      </c>
      <c r="B181" t="s">
        <v>1671</v>
      </c>
      <c r="C181" t="s">
        <v>1690</v>
      </c>
      <c r="D181" t="s">
        <v>1678</v>
      </c>
      <c r="E181" t="s">
        <v>1679</v>
      </c>
      <c r="F181" t="s">
        <v>101</v>
      </c>
      <c r="G181" t="s">
        <v>1719</v>
      </c>
      <c r="H181">
        <v>8</v>
      </c>
      <c r="I181">
        <v>4021.86</v>
      </c>
      <c r="J181">
        <v>32174.880000000001</v>
      </c>
      <c r="AA181">
        <v>45065</v>
      </c>
      <c r="AB181" t="str">
        <v>Ishita</v>
      </c>
      <c r="AC181" t="str">
        <v>New Delhi</v>
      </c>
      <c r="AD181" t="str">
        <v>Delhi</v>
      </c>
      <c r="AE181" t="str">
        <v>North</v>
      </c>
      <c r="AF181" t="str">
        <v>Groceries</v>
      </c>
      <c r="AG181" t="str">
        <v>Rice</v>
      </c>
      <c r="AH181">
        <v>3</v>
      </c>
      <c r="AI181">
        <v>1894.71</v>
      </c>
      <c r="AJ181">
        <v>5684.13</v>
      </c>
    </row>
    <row r="182" spans="1:36">
      <c r="A182" s="25">
        <v>45247</v>
      </c>
      <c r="B182" t="s">
        <v>1681</v>
      </c>
      <c r="C182" t="s">
        <v>1690</v>
      </c>
      <c r="D182" t="s">
        <v>1678</v>
      </c>
      <c r="E182" t="s">
        <v>1679</v>
      </c>
      <c r="F182" t="s">
        <v>101</v>
      </c>
      <c r="G182" t="s">
        <v>1675</v>
      </c>
      <c r="H182">
        <v>10</v>
      </c>
      <c r="I182">
        <v>2754.3</v>
      </c>
      <c r="J182">
        <v>27543</v>
      </c>
      <c r="AA182">
        <v>45098</v>
      </c>
      <c r="AB182" t="str">
        <v>Ishita</v>
      </c>
      <c r="AC182" t="str">
        <v>New Delhi</v>
      </c>
      <c r="AD182" t="str">
        <v>Delhi</v>
      </c>
      <c r="AE182" t="str">
        <v>North</v>
      </c>
      <c r="AF182" t="str">
        <v>Groceries</v>
      </c>
      <c r="AG182" t="str">
        <v>Oil</v>
      </c>
      <c r="AH182">
        <v>1</v>
      </c>
      <c r="AI182">
        <v>4801.38</v>
      </c>
      <c r="AJ182">
        <v>4801.38</v>
      </c>
    </row>
    <row r="183" spans="1:36">
      <c r="A183" s="25">
        <v>45270</v>
      </c>
      <c r="B183" t="s">
        <v>1700</v>
      </c>
      <c r="C183" t="s">
        <v>1690</v>
      </c>
      <c r="D183" t="s">
        <v>1678</v>
      </c>
      <c r="E183" t="s">
        <v>1679</v>
      </c>
      <c r="F183" t="s">
        <v>101</v>
      </c>
      <c r="G183" t="s">
        <v>1719</v>
      </c>
      <c r="H183">
        <v>12</v>
      </c>
      <c r="I183">
        <v>1799.38</v>
      </c>
      <c r="J183">
        <v>21592.560000000001</v>
      </c>
      <c r="AA183">
        <v>45205</v>
      </c>
      <c r="AB183" t="str">
        <v>Vihaan</v>
      </c>
      <c r="AC183" t="str">
        <v>New Delhi</v>
      </c>
      <c r="AD183" t="str">
        <v>Delhi</v>
      </c>
      <c r="AE183" t="str">
        <v>North</v>
      </c>
      <c r="AF183" t="str">
        <v>Groceries</v>
      </c>
      <c r="AG183" t="str">
        <v>Sugar</v>
      </c>
      <c r="AH183">
        <v>16</v>
      </c>
      <c r="AI183">
        <v>242.23</v>
      </c>
      <c r="AJ183">
        <v>3875.68</v>
      </c>
    </row>
    <row r="184" spans="1:36">
      <c r="A184" s="25">
        <v>45049</v>
      </c>
      <c r="B184" t="s">
        <v>1694</v>
      </c>
      <c r="C184" t="s">
        <v>1690</v>
      </c>
      <c r="D184" t="s">
        <v>1678</v>
      </c>
      <c r="E184" t="s">
        <v>1679</v>
      </c>
      <c r="F184" t="s">
        <v>101</v>
      </c>
      <c r="G184" t="s">
        <v>1719</v>
      </c>
      <c r="H184">
        <v>13</v>
      </c>
      <c r="I184">
        <v>1330.85</v>
      </c>
      <c r="J184">
        <v>17301.05</v>
      </c>
      <c r="AA184">
        <v>45000</v>
      </c>
      <c r="AB184" t="str">
        <v>Meera</v>
      </c>
      <c r="AC184" t="str">
        <v>New Delhi</v>
      </c>
      <c r="AD184" t="str">
        <v>Delhi</v>
      </c>
      <c r="AE184" t="str">
        <v>North</v>
      </c>
      <c r="AF184" t="str">
        <v>Stationery</v>
      </c>
      <c r="AG184" t="str">
        <v>Pen</v>
      </c>
      <c r="AH184">
        <v>19</v>
      </c>
      <c r="AI184">
        <v>3800.55</v>
      </c>
      <c r="AJ184">
        <v>72210.45</v>
      </c>
    </row>
    <row r="185" spans="1:36">
      <c r="A185" s="25">
        <v>44928</v>
      </c>
      <c r="B185" t="s">
        <v>1681</v>
      </c>
      <c r="C185" t="s">
        <v>1690</v>
      </c>
      <c r="D185" t="s">
        <v>1678</v>
      </c>
      <c r="E185" t="s">
        <v>1679</v>
      </c>
      <c r="F185" t="s">
        <v>101</v>
      </c>
      <c r="G185" t="s">
        <v>1719</v>
      </c>
      <c r="H185">
        <v>3</v>
      </c>
      <c r="I185">
        <v>4359.8999999999996</v>
      </c>
      <c r="J185">
        <v>13079.7</v>
      </c>
      <c r="AA185">
        <v>45083</v>
      </c>
      <c r="AB185" t="str">
        <v>Meera</v>
      </c>
      <c r="AC185" t="str">
        <v>New Delhi</v>
      </c>
      <c r="AD185" t="str">
        <v>Delhi</v>
      </c>
      <c r="AE185" t="str">
        <v>North</v>
      </c>
      <c r="AF185" t="str">
        <v>Stationery</v>
      </c>
      <c r="AG185" t="str">
        <v>Eraser</v>
      </c>
      <c r="AH185">
        <v>10</v>
      </c>
      <c r="AI185">
        <v>4210.63</v>
      </c>
      <c r="AJ185">
        <v>42106.3</v>
      </c>
    </row>
    <row r="186" spans="1:36">
      <c r="A186" s="25">
        <v>45187</v>
      </c>
      <c r="B186" t="s">
        <v>1671</v>
      </c>
      <c r="C186" t="s">
        <v>1690</v>
      </c>
      <c r="D186" t="s">
        <v>1678</v>
      </c>
      <c r="E186" t="s">
        <v>1679</v>
      </c>
      <c r="F186" t="s">
        <v>101</v>
      </c>
      <c r="G186" t="s">
        <v>1715</v>
      </c>
      <c r="H186">
        <v>19</v>
      </c>
      <c r="I186">
        <v>618.02</v>
      </c>
      <c r="J186">
        <v>11742.38</v>
      </c>
      <c r="AA186">
        <v>45256</v>
      </c>
      <c r="AB186" t="str">
        <v>Ananya</v>
      </c>
      <c r="AC186" t="str">
        <v>New Delhi</v>
      </c>
      <c r="AD186" t="str">
        <v>Delhi</v>
      </c>
      <c r="AE186" t="str">
        <v>North</v>
      </c>
      <c r="AF186" t="str">
        <v>Stationery</v>
      </c>
      <c r="AG186" t="str">
        <v>Pen</v>
      </c>
      <c r="AH186">
        <v>15</v>
      </c>
      <c r="AI186">
        <v>1790.58</v>
      </c>
      <c r="AJ186">
        <v>26858.7</v>
      </c>
    </row>
    <row r="187" spans="1:36">
      <c r="A187" s="25">
        <v>44956</v>
      </c>
      <c r="B187" t="s">
        <v>1681</v>
      </c>
      <c r="C187" t="s">
        <v>1690</v>
      </c>
      <c r="D187" t="s">
        <v>1678</v>
      </c>
      <c r="E187" t="s">
        <v>1679</v>
      </c>
      <c r="F187" t="s">
        <v>101</v>
      </c>
      <c r="G187" t="s">
        <v>1715</v>
      </c>
      <c r="H187">
        <v>18</v>
      </c>
      <c r="I187">
        <v>620.92999999999995</v>
      </c>
      <c r="J187">
        <v>11176.74</v>
      </c>
      <c r="AA187">
        <v>45059</v>
      </c>
      <c r="AB187" t="str">
        <v>Meera</v>
      </c>
      <c r="AC187" t="str">
        <v>New Delhi</v>
      </c>
      <c r="AD187" t="str">
        <v>Delhi</v>
      </c>
      <c r="AE187" t="str">
        <v>North</v>
      </c>
      <c r="AF187" t="str">
        <v>Stationery</v>
      </c>
      <c r="AG187" t="str">
        <v>Pen</v>
      </c>
      <c r="AH187">
        <v>20</v>
      </c>
      <c r="AI187">
        <v>1176.4000000000001</v>
      </c>
      <c r="AJ187">
        <v>23528</v>
      </c>
    </row>
    <row r="188" spans="1:36">
      <c r="A188" s="25">
        <v>45202</v>
      </c>
      <c r="B188" t="s">
        <v>1676</v>
      </c>
      <c r="C188" t="s">
        <v>1690</v>
      </c>
      <c r="D188" t="s">
        <v>1678</v>
      </c>
      <c r="E188" t="s">
        <v>1679</v>
      </c>
      <c r="F188" t="s">
        <v>101</v>
      </c>
      <c r="G188" t="s">
        <v>1715</v>
      </c>
      <c r="H188">
        <v>3</v>
      </c>
      <c r="I188">
        <v>3613.98</v>
      </c>
      <c r="J188">
        <v>10841.94</v>
      </c>
      <c r="AA188">
        <v>45045</v>
      </c>
      <c r="AB188" t="str">
        <v>Vihaan</v>
      </c>
      <c r="AC188" t="str">
        <v>New Delhi</v>
      </c>
      <c r="AD188" t="str">
        <v>Delhi</v>
      </c>
      <c r="AE188" t="str">
        <v>North</v>
      </c>
      <c r="AF188" t="str">
        <v>Stationery</v>
      </c>
      <c r="AG188" t="str">
        <v>Notebook</v>
      </c>
      <c r="AH188">
        <v>3</v>
      </c>
      <c r="AI188">
        <v>4955.22</v>
      </c>
      <c r="AJ188">
        <v>14865.66</v>
      </c>
    </row>
    <row r="189" spans="1:36">
      <c r="A189" s="25">
        <v>45085</v>
      </c>
      <c r="B189" t="s">
        <v>1692</v>
      </c>
      <c r="C189" t="s">
        <v>1690</v>
      </c>
      <c r="D189" t="s">
        <v>1678</v>
      </c>
      <c r="E189" t="s">
        <v>1679</v>
      </c>
      <c r="F189" t="s">
        <v>101</v>
      </c>
      <c r="G189" t="s">
        <v>1715</v>
      </c>
      <c r="H189">
        <v>5</v>
      </c>
      <c r="I189">
        <v>1599.65</v>
      </c>
      <c r="J189">
        <v>7998.25</v>
      </c>
      <c r="AA189">
        <v>45229</v>
      </c>
      <c r="AB189" t="str">
        <v>Ishita</v>
      </c>
      <c r="AC189" t="str">
        <v>New Delhi</v>
      </c>
      <c r="AD189" t="str">
        <v>Delhi</v>
      </c>
      <c r="AE189" t="str">
        <v>North</v>
      </c>
      <c r="AF189" t="str">
        <v>Stationery</v>
      </c>
      <c r="AG189" t="str">
        <v>Ruler</v>
      </c>
      <c r="AH189">
        <v>8</v>
      </c>
      <c r="AI189">
        <v>1171.53</v>
      </c>
      <c r="AJ189">
        <v>9372.24</v>
      </c>
    </row>
    <row r="190" spans="1:36">
      <c r="A190" s="25">
        <v>45077</v>
      </c>
      <c r="B190" t="s">
        <v>1676</v>
      </c>
      <c r="C190" t="s">
        <v>1690</v>
      </c>
      <c r="D190" t="s">
        <v>1678</v>
      </c>
      <c r="E190" t="s">
        <v>1679</v>
      </c>
      <c r="F190" t="s">
        <v>1687</v>
      </c>
      <c r="G190" t="s">
        <v>1708</v>
      </c>
      <c r="H190">
        <v>20</v>
      </c>
      <c r="I190">
        <v>4072.4</v>
      </c>
      <c r="J190">
        <v>81448</v>
      </c>
      <c r="AA190">
        <v>44956</v>
      </c>
      <c r="AB190" t="str">
        <v>Kabir</v>
      </c>
      <c r="AC190" t="str">
        <v>New Delhi</v>
      </c>
      <c r="AD190" t="str">
        <v>Delhi</v>
      </c>
      <c r="AE190" t="str">
        <v>North</v>
      </c>
      <c r="AF190" t="str">
        <v>Stationery</v>
      </c>
      <c r="AG190" t="str">
        <v>Pen</v>
      </c>
      <c r="AH190">
        <v>14</v>
      </c>
      <c r="AI190">
        <v>569.91</v>
      </c>
      <c r="AJ190">
        <v>7978.74</v>
      </c>
    </row>
    <row r="191" spans="1:36">
      <c r="A191" s="25">
        <v>44953</v>
      </c>
      <c r="B191" t="s">
        <v>1705</v>
      </c>
      <c r="C191" t="s">
        <v>1690</v>
      </c>
      <c r="D191" t="s">
        <v>1678</v>
      </c>
      <c r="E191" t="s">
        <v>1679</v>
      </c>
      <c r="F191" t="s">
        <v>1687</v>
      </c>
      <c r="G191" t="s">
        <v>1704</v>
      </c>
      <c r="H191">
        <v>15</v>
      </c>
      <c r="I191">
        <v>4945.79</v>
      </c>
      <c r="J191">
        <v>74186.850000000006</v>
      </c>
      <c r="AA191">
        <v>44973</v>
      </c>
      <c r="AB191" t="str">
        <v>Vihaan</v>
      </c>
      <c r="AC191" t="str">
        <v>New Delhi</v>
      </c>
      <c r="AD191" t="str">
        <v>Delhi</v>
      </c>
      <c r="AE191" t="str">
        <v>North</v>
      </c>
      <c r="AF191" t="str">
        <v>Stationery</v>
      </c>
      <c r="AG191" t="str">
        <v>Pen</v>
      </c>
      <c r="AH191">
        <v>1</v>
      </c>
      <c r="AI191">
        <v>3246.08</v>
      </c>
      <c r="AJ191">
        <v>3246.08</v>
      </c>
    </row>
    <row r="192" spans="1:36">
      <c r="A192" s="25">
        <v>45101</v>
      </c>
      <c r="B192" t="s">
        <v>1692</v>
      </c>
      <c r="C192" t="s">
        <v>1690</v>
      </c>
      <c r="D192" t="s">
        <v>1678</v>
      </c>
      <c r="E192" t="s">
        <v>1679</v>
      </c>
      <c r="F192" t="s">
        <v>1687</v>
      </c>
      <c r="G192" t="s">
        <v>1708</v>
      </c>
      <c r="H192">
        <v>15</v>
      </c>
      <c r="I192">
        <v>3368.77</v>
      </c>
      <c r="J192">
        <v>50531.55</v>
      </c>
      <c r="AA192">
        <v>45011</v>
      </c>
      <c r="AB192" t="str">
        <v>Riya</v>
      </c>
      <c r="AC192" t="str">
        <v>New Delhi</v>
      </c>
      <c r="AD192" t="str">
        <v>Delhi</v>
      </c>
      <c r="AE192" t="str">
        <v>North</v>
      </c>
      <c r="AF192" t="str">
        <v>Stationery</v>
      </c>
      <c r="AG192" t="str">
        <v>Eraser</v>
      </c>
      <c r="AH192">
        <v>4</v>
      </c>
      <c r="AI192">
        <v>810.38</v>
      </c>
      <c r="AJ192">
        <v>3241.52</v>
      </c>
    </row>
    <row r="193" spans="1:36">
      <c r="A193" s="25">
        <v>45175</v>
      </c>
      <c r="B193" t="s">
        <v>1700</v>
      </c>
      <c r="C193" t="s">
        <v>1690</v>
      </c>
      <c r="D193" t="s">
        <v>1678</v>
      </c>
      <c r="E193" t="s">
        <v>1679</v>
      </c>
      <c r="F193" t="s">
        <v>1687</v>
      </c>
      <c r="G193" t="s">
        <v>1710</v>
      </c>
      <c r="H193">
        <v>17</v>
      </c>
      <c r="I193">
        <v>2448.5100000000002</v>
      </c>
      <c r="J193">
        <v>41624.67</v>
      </c>
      <c r="AA193">
        <v>44996</v>
      </c>
      <c r="AB193" t="str">
        <v>Kabir</v>
      </c>
      <c r="AC193" t="str">
        <v>New Delhi</v>
      </c>
      <c r="AD193" t="str">
        <v>Delhi</v>
      </c>
      <c r="AE193" t="str">
        <v>North</v>
      </c>
      <c r="AF193" t="str">
        <v>Stationery</v>
      </c>
      <c r="AG193" t="str">
        <v>Notebook</v>
      </c>
      <c r="AH193">
        <v>1</v>
      </c>
      <c r="AI193">
        <v>936.56</v>
      </c>
      <c r="AJ193">
        <v>936.56</v>
      </c>
    </row>
    <row r="194" spans="1:36">
      <c r="A194" s="25">
        <v>45088</v>
      </c>
      <c r="B194" t="s">
        <v>1700</v>
      </c>
      <c r="C194" t="s">
        <v>1690</v>
      </c>
      <c r="D194" t="s">
        <v>1678</v>
      </c>
      <c r="E194" t="s">
        <v>1679</v>
      </c>
      <c r="F194" t="s">
        <v>1687</v>
      </c>
      <c r="G194" t="s">
        <v>1710</v>
      </c>
      <c r="H194">
        <v>19</v>
      </c>
      <c r="I194">
        <v>2183.09</v>
      </c>
      <c r="J194">
        <v>41478.71</v>
      </c>
      <c r="AA194">
        <v>45089</v>
      </c>
      <c r="AB194" t="str">
        <v>Nishant</v>
      </c>
      <c r="AC194" t="str">
        <v>New Delhi</v>
      </c>
      <c r="AD194" t="str">
        <v>Delhi</v>
      </c>
      <c r="AE194" t="str">
        <v>North</v>
      </c>
      <c r="AF194" t="str">
        <v>Stationery</v>
      </c>
      <c r="AG194" t="str">
        <v>Ruler</v>
      </c>
      <c r="AH194">
        <v>3</v>
      </c>
      <c r="AI194">
        <v>215.21</v>
      </c>
      <c r="AJ194">
        <v>645.63</v>
      </c>
    </row>
    <row r="195" spans="1:36">
      <c r="A195" s="25">
        <v>44995</v>
      </c>
      <c r="B195" t="s">
        <v>1676</v>
      </c>
      <c r="C195" t="s">
        <v>1690</v>
      </c>
      <c r="D195" t="s">
        <v>1678</v>
      </c>
      <c r="E195" t="s">
        <v>1679</v>
      </c>
      <c r="F195" t="s">
        <v>1687</v>
      </c>
      <c r="G195" t="s">
        <v>1710</v>
      </c>
      <c r="H195">
        <v>18</v>
      </c>
      <c r="I195">
        <v>2299.9299999999998</v>
      </c>
      <c r="J195">
        <v>41398.74</v>
      </c>
      <c r="AA195">
        <v>45070</v>
      </c>
      <c r="AB195" t="str">
        <v>Aryan</v>
      </c>
      <c r="AC195" t="str">
        <v>Bengaluru</v>
      </c>
      <c r="AD195" t="str">
        <v>Karnataka</v>
      </c>
      <c r="AE195" t="str">
        <v>South</v>
      </c>
      <c r="AF195" t="str">
        <v>Clothing</v>
      </c>
      <c r="AG195" t="str">
        <v>Shirt</v>
      </c>
      <c r="AH195">
        <v>17</v>
      </c>
      <c r="AI195">
        <v>3381.75</v>
      </c>
      <c r="AJ195">
        <v>57489.75</v>
      </c>
    </row>
    <row r="196" spans="1:36">
      <c r="A196" s="25">
        <v>45244</v>
      </c>
      <c r="B196" t="s">
        <v>1676</v>
      </c>
      <c r="C196" t="s">
        <v>1690</v>
      </c>
      <c r="D196" t="s">
        <v>1678</v>
      </c>
      <c r="E196" t="s">
        <v>1679</v>
      </c>
      <c r="F196" t="s">
        <v>1687</v>
      </c>
      <c r="G196" t="s">
        <v>1704</v>
      </c>
      <c r="H196">
        <v>19</v>
      </c>
      <c r="I196">
        <v>1933.19</v>
      </c>
      <c r="J196">
        <v>36730.61</v>
      </c>
      <c r="AA196">
        <v>45259</v>
      </c>
      <c r="AB196" t="str">
        <v>Kabir</v>
      </c>
      <c r="AC196" t="str">
        <v>Bengaluru</v>
      </c>
      <c r="AD196" t="str">
        <v>Karnataka</v>
      </c>
      <c r="AE196" t="str">
        <v>South</v>
      </c>
      <c r="AF196" t="str">
        <v>Clothing</v>
      </c>
      <c r="AG196" t="str">
        <v>Dress</v>
      </c>
      <c r="AH196">
        <v>10</v>
      </c>
      <c r="AI196">
        <v>3803.22</v>
      </c>
      <c r="AJ196">
        <v>38032.199999999997</v>
      </c>
    </row>
    <row r="197" spans="1:36">
      <c r="A197" s="25">
        <v>45190</v>
      </c>
      <c r="B197" t="s">
        <v>1686</v>
      </c>
      <c r="C197" t="s">
        <v>1690</v>
      </c>
      <c r="D197" t="s">
        <v>1678</v>
      </c>
      <c r="E197" t="s">
        <v>1679</v>
      </c>
      <c r="F197" t="s">
        <v>1687</v>
      </c>
      <c r="G197" t="s">
        <v>1704</v>
      </c>
      <c r="H197">
        <v>6</v>
      </c>
      <c r="I197">
        <v>4911.79</v>
      </c>
      <c r="J197">
        <v>29470.74</v>
      </c>
      <c r="AA197">
        <v>44976</v>
      </c>
      <c r="AB197" t="str">
        <v>Vihaan</v>
      </c>
      <c r="AC197" t="str">
        <v>Bengaluru</v>
      </c>
      <c r="AD197" t="str">
        <v>Karnataka</v>
      </c>
      <c r="AE197" t="str">
        <v>South</v>
      </c>
      <c r="AF197" t="str">
        <v>Clothing</v>
      </c>
      <c r="AG197" t="str">
        <v>Dress</v>
      </c>
      <c r="AH197">
        <v>15</v>
      </c>
      <c r="AI197">
        <v>2093.0300000000002</v>
      </c>
      <c r="AJ197">
        <v>31395.45</v>
      </c>
    </row>
    <row r="198" spans="1:36">
      <c r="A198" s="25">
        <v>45144</v>
      </c>
      <c r="B198" t="s">
        <v>1694</v>
      </c>
      <c r="C198" t="s">
        <v>1690</v>
      </c>
      <c r="D198" t="s">
        <v>1678</v>
      </c>
      <c r="E198" t="s">
        <v>1679</v>
      </c>
      <c r="F198" t="s">
        <v>1687</v>
      </c>
      <c r="G198" t="s">
        <v>1710</v>
      </c>
      <c r="H198">
        <v>6</v>
      </c>
      <c r="I198">
        <v>3842.46</v>
      </c>
      <c r="J198">
        <v>23054.76</v>
      </c>
      <c r="AA198">
        <v>45157</v>
      </c>
      <c r="AB198" t="str">
        <v>Aryan</v>
      </c>
      <c r="AC198" t="str">
        <v>Bengaluru</v>
      </c>
      <c r="AD198" t="str">
        <v>Karnataka</v>
      </c>
      <c r="AE198" t="str">
        <v>South</v>
      </c>
      <c r="AF198" t="str">
        <v>Clothing</v>
      </c>
      <c r="AG198" t="str">
        <v>Jacket</v>
      </c>
      <c r="AH198">
        <v>14</v>
      </c>
      <c r="AI198">
        <v>1729.16</v>
      </c>
      <c r="AJ198">
        <v>24208.240000000002</v>
      </c>
    </row>
    <row r="199" spans="1:36">
      <c r="A199" s="25">
        <v>45130</v>
      </c>
      <c r="B199" t="s">
        <v>1681</v>
      </c>
      <c r="C199" t="s">
        <v>1690</v>
      </c>
      <c r="D199" t="s">
        <v>1678</v>
      </c>
      <c r="E199" t="s">
        <v>1679</v>
      </c>
      <c r="F199" t="s">
        <v>1687</v>
      </c>
      <c r="G199" t="s">
        <v>1704</v>
      </c>
      <c r="H199">
        <v>6</v>
      </c>
      <c r="I199">
        <v>2260.16</v>
      </c>
      <c r="J199">
        <v>13560.96</v>
      </c>
      <c r="AA199">
        <v>45086</v>
      </c>
      <c r="AB199" t="str">
        <v>Riya</v>
      </c>
      <c r="AC199" t="str">
        <v>Bengaluru</v>
      </c>
      <c r="AD199" t="str">
        <v>Karnataka</v>
      </c>
      <c r="AE199" t="str">
        <v>South</v>
      </c>
      <c r="AF199" t="str">
        <v>Clothing</v>
      </c>
      <c r="AG199" t="str">
        <v>Dress</v>
      </c>
      <c r="AH199">
        <v>6</v>
      </c>
      <c r="AI199">
        <v>3931.61</v>
      </c>
      <c r="AJ199">
        <v>23589.66</v>
      </c>
    </row>
    <row r="200" spans="1:36">
      <c r="A200" s="25">
        <v>45032</v>
      </c>
      <c r="B200" t="s">
        <v>1700</v>
      </c>
      <c r="C200" t="s">
        <v>1690</v>
      </c>
      <c r="D200" t="s">
        <v>1678</v>
      </c>
      <c r="E200" t="s">
        <v>1679</v>
      </c>
      <c r="F200" t="s">
        <v>1687</v>
      </c>
      <c r="G200" t="s">
        <v>1710</v>
      </c>
      <c r="H200">
        <v>4</v>
      </c>
      <c r="I200">
        <v>2395.66</v>
      </c>
      <c r="J200">
        <v>9582.64</v>
      </c>
      <c r="AA200">
        <v>45227</v>
      </c>
      <c r="AB200" t="str">
        <v>Kabir</v>
      </c>
      <c r="AC200" t="str">
        <v>Bengaluru</v>
      </c>
      <c r="AD200" t="str">
        <v>Karnataka</v>
      </c>
      <c r="AE200" t="str">
        <v>South</v>
      </c>
      <c r="AF200" t="str">
        <v>Clothing</v>
      </c>
      <c r="AG200" t="str">
        <v>Pants</v>
      </c>
      <c r="AH200">
        <v>11</v>
      </c>
      <c r="AI200">
        <v>1817.43</v>
      </c>
      <c r="AJ200">
        <v>19991.73</v>
      </c>
    </row>
    <row r="201" spans="1:36">
      <c r="A201" s="25">
        <v>45279</v>
      </c>
      <c r="B201" t="s">
        <v>1700</v>
      </c>
      <c r="C201" t="s">
        <v>1690</v>
      </c>
      <c r="D201" t="s">
        <v>1678</v>
      </c>
      <c r="E201" t="s">
        <v>1679</v>
      </c>
      <c r="F201" t="s">
        <v>1687</v>
      </c>
      <c r="G201" t="s">
        <v>1688</v>
      </c>
      <c r="H201">
        <v>8</v>
      </c>
      <c r="I201">
        <v>978.4</v>
      </c>
      <c r="J201">
        <v>7827.2</v>
      </c>
      <c r="AA201">
        <v>45188</v>
      </c>
      <c r="AB201" t="str">
        <v>Aarav</v>
      </c>
      <c r="AC201" t="str">
        <v>Bengaluru</v>
      </c>
      <c r="AD201" t="str">
        <v>Karnataka</v>
      </c>
      <c r="AE201" t="str">
        <v>South</v>
      </c>
      <c r="AF201" t="str">
        <v>Clothing</v>
      </c>
      <c r="AG201" t="str">
        <v>Pants</v>
      </c>
      <c r="AH201">
        <v>15</v>
      </c>
      <c r="AI201">
        <v>1299.55</v>
      </c>
      <c r="AJ201">
        <v>19493.25</v>
      </c>
    </row>
    <row r="202" spans="1:36">
      <c r="A202" s="25">
        <v>44944</v>
      </c>
      <c r="B202" t="s">
        <v>1686</v>
      </c>
      <c r="C202" t="s">
        <v>1690</v>
      </c>
      <c r="D202" t="s">
        <v>1678</v>
      </c>
      <c r="E202" t="s">
        <v>1679</v>
      </c>
      <c r="F202" t="s">
        <v>1687</v>
      </c>
      <c r="G202" t="s">
        <v>1704</v>
      </c>
      <c r="H202">
        <v>2</v>
      </c>
      <c r="I202">
        <v>771.23</v>
      </c>
      <c r="J202">
        <v>1542.46</v>
      </c>
      <c r="AA202">
        <v>44932</v>
      </c>
      <c r="AB202" t="str">
        <v>Riya</v>
      </c>
      <c r="AC202" t="str">
        <v>Bengaluru</v>
      </c>
      <c r="AD202" t="str">
        <v>Karnataka</v>
      </c>
      <c r="AE202" t="str">
        <v>South</v>
      </c>
      <c r="AF202" t="str">
        <v>Clothing</v>
      </c>
      <c r="AG202" t="str">
        <v>Shirt</v>
      </c>
      <c r="AH202">
        <v>17</v>
      </c>
      <c r="AI202">
        <v>828.26</v>
      </c>
      <c r="AJ202">
        <v>14080.42</v>
      </c>
    </row>
    <row r="203" spans="1:36">
      <c r="A203" s="25">
        <v>45077</v>
      </c>
      <c r="B203" t="s">
        <v>1694</v>
      </c>
      <c r="C203" t="s">
        <v>1690</v>
      </c>
      <c r="D203" t="s">
        <v>1678</v>
      </c>
      <c r="E203" t="s">
        <v>1679</v>
      </c>
      <c r="F203" t="s">
        <v>1687</v>
      </c>
      <c r="G203" t="s">
        <v>1704</v>
      </c>
      <c r="H203">
        <v>2</v>
      </c>
      <c r="I203">
        <v>591.6</v>
      </c>
      <c r="J203">
        <v>1183.2</v>
      </c>
      <c r="AA203">
        <v>45000</v>
      </c>
      <c r="AB203" t="str">
        <v>Ishita</v>
      </c>
      <c r="AC203" t="str">
        <v>Bengaluru</v>
      </c>
      <c r="AD203" t="str">
        <v>Karnataka</v>
      </c>
      <c r="AE203" t="str">
        <v>South</v>
      </c>
      <c r="AF203" t="str">
        <v>Clothing</v>
      </c>
      <c r="AG203" t="str">
        <v>Shirt</v>
      </c>
      <c r="AH203">
        <v>4</v>
      </c>
      <c r="AI203">
        <v>2563.65</v>
      </c>
      <c r="AJ203">
        <v>10254.6</v>
      </c>
    </row>
    <row r="204" spans="1:36">
      <c r="A204" s="25">
        <v>45040</v>
      </c>
      <c r="B204" t="s">
        <v>1676</v>
      </c>
      <c r="C204" t="s">
        <v>1690</v>
      </c>
      <c r="D204" t="s">
        <v>1678</v>
      </c>
      <c r="E204" t="s">
        <v>1679</v>
      </c>
      <c r="F204" t="s">
        <v>114</v>
      </c>
      <c r="G204" t="s">
        <v>1680</v>
      </c>
      <c r="H204">
        <v>19</v>
      </c>
      <c r="I204">
        <v>2636.08</v>
      </c>
      <c r="J204">
        <v>50085.52</v>
      </c>
      <c r="AA204">
        <v>44963</v>
      </c>
      <c r="AB204" t="str">
        <v>Riya</v>
      </c>
      <c r="AC204" t="str">
        <v>Bengaluru</v>
      </c>
      <c r="AD204" t="str">
        <v>Karnataka</v>
      </c>
      <c r="AE204" t="str">
        <v>South</v>
      </c>
      <c r="AF204" t="str">
        <v>Clothing</v>
      </c>
      <c r="AG204" t="str">
        <v>Shirt</v>
      </c>
      <c r="AH204">
        <v>3</v>
      </c>
      <c r="AI204">
        <v>2263.4699999999998</v>
      </c>
      <c r="AJ204">
        <v>6790.41</v>
      </c>
    </row>
    <row r="205" spans="1:36">
      <c r="A205" s="25">
        <v>44945</v>
      </c>
      <c r="B205" t="s">
        <v>1689</v>
      </c>
      <c r="C205" t="s">
        <v>1690</v>
      </c>
      <c r="D205" t="s">
        <v>1678</v>
      </c>
      <c r="E205" t="s">
        <v>1679</v>
      </c>
      <c r="F205" t="s">
        <v>114</v>
      </c>
      <c r="G205" t="s">
        <v>1691</v>
      </c>
      <c r="H205">
        <v>14</v>
      </c>
      <c r="I205">
        <v>3507.25</v>
      </c>
      <c r="J205">
        <v>49101.5</v>
      </c>
      <c r="AA205">
        <v>45005</v>
      </c>
      <c r="AB205" t="str">
        <v>Kabir</v>
      </c>
      <c r="AC205" t="str">
        <v>Bengaluru</v>
      </c>
      <c r="AD205" t="str">
        <v>Karnataka</v>
      </c>
      <c r="AE205" t="str">
        <v>South</v>
      </c>
      <c r="AF205" t="str">
        <v>Clothing</v>
      </c>
      <c r="AG205" t="str">
        <v>Dress</v>
      </c>
      <c r="AH205">
        <v>20</v>
      </c>
      <c r="AI205">
        <v>239.35</v>
      </c>
      <c r="AJ205">
        <v>4787</v>
      </c>
    </row>
    <row r="206" spans="1:36">
      <c r="A206" s="25">
        <v>44950</v>
      </c>
      <c r="B206" t="s">
        <v>1694</v>
      </c>
      <c r="C206" t="s">
        <v>1690</v>
      </c>
      <c r="D206" t="s">
        <v>1678</v>
      </c>
      <c r="E206" t="s">
        <v>1679</v>
      </c>
      <c r="F206" t="s">
        <v>114</v>
      </c>
      <c r="G206" t="s">
        <v>1712</v>
      </c>
      <c r="H206">
        <v>9</v>
      </c>
      <c r="I206">
        <v>3892.79</v>
      </c>
      <c r="J206">
        <v>35035.11</v>
      </c>
      <c r="AA206">
        <v>45007</v>
      </c>
      <c r="AB206" t="str">
        <v>Aditi</v>
      </c>
      <c r="AC206" t="str">
        <v>Bengaluru</v>
      </c>
      <c r="AD206" t="str">
        <v>Karnataka</v>
      </c>
      <c r="AE206" t="str">
        <v>South</v>
      </c>
      <c r="AF206" t="str">
        <v>Clothing</v>
      </c>
      <c r="AG206" t="str">
        <v>Dress</v>
      </c>
      <c r="AH206">
        <v>15</v>
      </c>
      <c r="AI206">
        <v>211.9</v>
      </c>
      <c r="AJ206">
        <v>3178.5</v>
      </c>
    </row>
    <row r="207" spans="1:36">
      <c r="A207" s="25">
        <v>45283</v>
      </c>
      <c r="B207" t="s">
        <v>1689</v>
      </c>
      <c r="C207" t="s">
        <v>1690</v>
      </c>
      <c r="D207" t="s">
        <v>1678</v>
      </c>
      <c r="E207" t="s">
        <v>1679</v>
      </c>
      <c r="F207" t="s">
        <v>114</v>
      </c>
      <c r="G207" t="s">
        <v>1691</v>
      </c>
      <c r="H207">
        <v>7</v>
      </c>
      <c r="I207">
        <v>4772.29</v>
      </c>
      <c r="J207">
        <v>33406.03</v>
      </c>
      <c r="AA207">
        <v>45190</v>
      </c>
      <c r="AB207" t="str">
        <v>Aryan</v>
      </c>
      <c r="AC207" t="str">
        <v>Bengaluru</v>
      </c>
      <c r="AD207" t="str">
        <v>Karnataka</v>
      </c>
      <c r="AE207" t="str">
        <v>South</v>
      </c>
      <c r="AF207" t="str">
        <v>Clothing</v>
      </c>
      <c r="AG207" t="str">
        <v>Dress</v>
      </c>
      <c r="AH207">
        <v>6</v>
      </c>
      <c r="AI207">
        <v>470.36</v>
      </c>
      <c r="AJ207">
        <v>2822.16</v>
      </c>
    </row>
    <row r="208" spans="1:36">
      <c r="A208" s="25">
        <v>45178</v>
      </c>
      <c r="B208" t="s">
        <v>1698</v>
      </c>
      <c r="C208" t="s">
        <v>1690</v>
      </c>
      <c r="D208" t="s">
        <v>1678</v>
      </c>
      <c r="E208" t="s">
        <v>1679</v>
      </c>
      <c r="F208" t="s">
        <v>114</v>
      </c>
      <c r="G208" t="s">
        <v>1712</v>
      </c>
      <c r="H208">
        <v>8</v>
      </c>
      <c r="I208">
        <v>3927.74</v>
      </c>
      <c r="J208">
        <v>31421.919999999998</v>
      </c>
      <c r="AA208">
        <v>45281</v>
      </c>
      <c r="AB208" t="str">
        <v>Riya</v>
      </c>
      <c r="AC208" t="str">
        <v>Bengaluru</v>
      </c>
      <c r="AD208" t="str">
        <v>Karnataka</v>
      </c>
      <c r="AE208" t="str">
        <v>South</v>
      </c>
      <c r="AF208" t="str">
        <v>Clothing</v>
      </c>
      <c r="AG208" t="str">
        <v>Shirt</v>
      </c>
      <c r="AH208">
        <v>2</v>
      </c>
      <c r="AI208">
        <v>339.56</v>
      </c>
      <c r="AJ208">
        <v>679.12</v>
      </c>
    </row>
    <row r="209" spans="1:36">
      <c r="A209" s="25">
        <v>44965</v>
      </c>
      <c r="B209" t="s">
        <v>1686</v>
      </c>
      <c r="C209" t="s">
        <v>1690</v>
      </c>
      <c r="D209" t="s">
        <v>1678</v>
      </c>
      <c r="E209" t="s">
        <v>1679</v>
      </c>
      <c r="F209" t="s">
        <v>114</v>
      </c>
      <c r="G209" t="s">
        <v>1712</v>
      </c>
      <c r="H209">
        <v>12</v>
      </c>
      <c r="I209">
        <v>2519.65</v>
      </c>
      <c r="J209">
        <v>30235.8</v>
      </c>
      <c r="AA209">
        <v>45094</v>
      </c>
      <c r="AB209" t="str">
        <v>Aarav</v>
      </c>
      <c r="AC209" t="str">
        <v>Bengaluru</v>
      </c>
      <c r="AD209" t="str">
        <v>Karnataka</v>
      </c>
      <c r="AE209" t="str">
        <v>South</v>
      </c>
      <c r="AF209" t="str">
        <v>Electronics</v>
      </c>
      <c r="AG209" t="str">
        <v>Smartphone</v>
      </c>
      <c r="AH209">
        <v>19</v>
      </c>
      <c r="AI209">
        <v>2750.97</v>
      </c>
      <c r="AJ209">
        <v>52268.43</v>
      </c>
    </row>
    <row r="210" spans="1:36">
      <c r="A210" s="25">
        <v>44942</v>
      </c>
      <c r="B210" t="s">
        <v>1700</v>
      </c>
      <c r="C210" t="s">
        <v>1690</v>
      </c>
      <c r="D210" t="s">
        <v>1678</v>
      </c>
      <c r="E210" t="s">
        <v>1679</v>
      </c>
      <c r="F210" t="s">
        <v>114</v>
      </c>
      <c r="G210" t="s">
        <v>1712</v>
      </c>
      <c r="H210">
        <v>6</v>
      </c>
      <c r="I210">
        <v>4862.26</v>
      </c>
      <c r="J210">
        <v>29173.56</v>
      </c>
      <c r="AA210">
        <v>44992</v>
      </c>
      <c r="AB210" t="str">
        <v>Ishita</v>
      </c>
      <c r="AC210" t="str">
        <v>Bengaluru</v>
      </c>
      <c r="AD210" t="str">
        <v>Karnataka</v>
      </c>
      <c r="AE210" t="str">
        <v>South</v>
      </c>
      <c r="AF210" t="str">
        <v>Electronics</v>
      </c>
      <c r="AG210" t="str">
        <v>Smartphone</v>
      </c>
      <c r="AH210">
        <v>17</v>
      </c>
      <c r="AI210">
        <v>2460.73</v>
      </c>
      <c r="AJ210">
        <v>41832.410000000003</v>
      </c>
    </row>
    <row r="211" spans="1:36">
      <c r="A211" s="25">
        <v>45062</v>
      </c>
      <c r="B211" t="s">
        <v>1681</v>
      </c>
      <c r="C211" t="s">
        <v>1690</v>
      </c>
      <c r="D211" t="s">
        <v>1678</v>
      </c>
      <c r="E211" t="s">
        <v>1679</v>
      </c>
      <c r="F211" t="s">
        <v>114</v>
      </c>
      <c r="G211" t="s">
        <v>1680</v>
      </c>
      <c r="H211">
        <v>12</v>
      </c>
      <c r="I211">
        <v>2127.2800000000002</v>
      </c>
      <c r="J211">
        <v>25527.360000000001</v>
      </c>
      <c r="AA211">
        <v>45065</v>
      </c>
      <c r="AB211" t="str">
        <v>Ishita</v>
      </c>
      <c r="AC211" t="str">
        <v>Bengaluru</v>
      </c>
      <c r="AD211" t="str">
        <v>Karnataka</v>
      </c>
      <c r="AE211" t="str">
        <v>South</v>
      </c>
      <c r="AF211" t="str">
        <v>Electronics</v>
      </c>
      <c r="AG211" t="str">
        <v>Laptop</v>
      </c>
      <c r="AH211">
        <v>15</v>
      </c>
      <c r="AI211">
        <v>1669.04</v>
      </c>
      <c r="AJ211">
        <v>25035.599999999999</v>
      </c>
    </row>
    <row r="212" spans="1:36">
      <c r="A212" s="25">
        <v>45265</v>
      </c>
      <c r="B212" t="s">
        <v>1689</v>
      </c>
      <c r="C212" t="s">
        <v>1690</v>
      </c>
      <c r="D212" t="s">
        <v>1678</v>
      </c>
      <c r="E212" t="s">
        <v>1679</v>
      </c>
      <c r="F212" t="s">
        <v>114</v>
      </c>
      <c r="G212" t="s">
        <v>1680</v>
      </c>
      <c r="H212">
        <v>9</v>
      </c>
      <c r="I212">
        <v>2251.19</v>
      </c>
      <c r="J212">
        <v>20260.71</v>
      </c>
      <c r="AA212">
        <v>45092</v>
      </c>
      <c r="AB212" t="str">
        <v>Ishita</v>
      </c>
      <c r="AC212" t="str">
        <v>Bengaluru</v>
      </c>
      <c r="AD212" t="str">
        <v>Karnataka</v>
      </c>
      <c r="AE212" t="str">
        <v>South</v>
      </c>
      <c r="AF212" t="str">
        <v>Electronics</v>
      </c>
      <c r="AG212" t="str">
        <v>Headphones</v>
      </c>
      <c r="AH212">
        <v>7</v>
      </c>
      <c r="AI212">
        <v>2538.4299999999998</v>
      </c>
      <c r="AJ212">
        <v>17769.009999999998</v>
      </c>
    </row>
    <row r="213" spans="1:36">
      <c r="A213" s="25">
        <v>45240</v>
      </c>
      <c r="B213" t="s">
        <v>1686</v>
      </c>
      <c r="C213" t="s">
        <v>1690</v>
      </c>
      <c r="D213" t="s">
        <v>1678</v>
      </c>
      <c r="E213" t="s">
        <v>1679</v>
      </c>
      <c r="F213" t="s">
        <v>114</v>
      </c>
      <c r="G213" t="s">
        <v>1680</v>
      </c>
      <c r="H213">
        <v>14</v>
      </c>
      <c r="I213">
        <v>1410.91</v>
      </c>
      <c r="J213">
        <v>19752.740000000002</v>
      </c>
      <c r="AA213">
        <v>45241</v>
      </c>
      <c r="AB213" t="str">
        <v>Aditi</v>
      </c>
      <c r="AC213" t="str">
        <v>Bengaluru</v>
      </c>
      <c r="AD213" t="str">
        <v>Karnataka</v>
      </c>
      <c r="AE213" t="str">
        <v>South</v>
      </c>
      <c r="AF213" t="str">
        <v>Electronics</v>
      </c>
      <c r="AG213" t="str">
        <v>Tablet</v>
      </c>
      <c r="AH213">
        <v>3</v>
      </c>
      <c r="AI213">
        <v>4324.88</v>
      </c>
      <c r="AJ213">
        <v>12974.64</v>
      </c>
    </row>
    <row r="214" spans="1:36">
      <c r="A214" s="25">
        <v>45092</v>
      </c>
      <c r="B214" t="s">
        <v>1694</v>
      </c>
      <c r="C214" t="s">
        <v>1690</v>
      </c>
      <c r="D214" t="s">
        <v>1678</v>
      </c>
      <c r="E214" t="s">
        <v>1679</v>
      </c>
      <c r="F214" t="s">
        <v>114</v>
      </c>
      <c r="G214" t="s">
        <v>1680</v>
      </c>
      <c r="H214">
        <v>4</v>
      </c>
      <c r="I214">
        <v>4795.3999999999996</v>
      </c>
      <c r="J214">
        <v>19181.599999999999</v>
      </c>
      <c r="AA214">
        <v>45142</v>
      </c>
      <c r="AB214" t="str">
        <v>Meera</v>
      </c>
      <c r="AC214" t="str">
        <v>Bengaluru</v>
      </c>
      <c r="AD214" t="str">
        <v>Karnataka</v>
      </c>
      <c r="AE214" t="str">
        <v>South</v>
      </c>
      <c r="AF214" t="str">
        <v>Electronics</v>
      </c>
      <c r="AG214" t="str">
        <v>Headphones</v>
      </c>
      <c r="AH214">
        <v>16</v>
      </c>
      <c r="AI214">
        <v>695.96</v>
      </c>
      <c r="AJ214">
        <v>11135.36</v>
      </c>
    </row>
    <row r="215" spans="1:36">
      <c r="A215" s="25">
        <v>45084</v>
      </c>
      <c r="B215" t="s">
        <v>1698</v>
      </c>
      <c r="C215" t="s">
        <v>1690</v>
      </c>
      <c r="D215" t="s">
        <v>1678</v>
      </c>
      <c r="E215" t="s">
        <v>1679</v>
      </c>
      <c r="F215" t="s">
        <v>114</v>
      </c>
      <c r="G215" t="s">
        <v>1718</v>
      </c>
      <c r="H215">
        <v>18</v>
      </c>
      <c r="I215">
        <v>509.79</v>
      </c>
      <c r="J215">
        <v>9176.2199999999993</v>
      </c>
      <c r="AA215">
        <v>45289</v>
      </c>
      <c r="AB215" t="str">
        <v>Kabir</v>
      </c>
      <c r="AC215" t="str">
        <v>Bengaluru</v>
      </c>
      <c r="AD215" t="str">
        <v>Karnataka</v>
      </c>
      <c r="AE215" t="str">
        <v>South</v>
      </c>
      <c r="AF215" t="str">
        <v>Electronics</v>
      </c>
      <c r="AG215" t="str">
        <v>Headphones</v>
      </c>
      <c r="AH215">
        <v>7</v>
      </c>
      <c r="AI215">
        <v>1294.31</v>
      </c>
      <c r="AJ215">
        <v>9060.17</v>
      </c>
    </row>
    <row r="216" spans="1:36">
      <c r="A216" s="25">
        <v>44961</v>
      </c>
      <c r="B216" t="s">
        <v>1671</v>
      </c>
      <c r="C216" t="s">
        <v>1690</v>
      </c>
      <c r="D216" t="s">
        <v>1678</v>
      </c>
      <c r="E216" t="s">
        <v>1679</v>
      </c>
      <c r="F216" t="s">
        <v>114</v>
      </c>
      <c r="G216" t="s">
        <v>1718</v>
      </c>
      <c r="H216">
        <v>2</v>
      </c>
      <c r="I216">
        <v>4137.49</v>
      </c>
      <c r="J216">
        <v>8274.98</v>
      </c>
      <c r="AA216">
        <v>45029</v>
      </c>
      <c r="AB216" t="str">
        <v>Kabir</v>
      </c>
      <c r="AC216" t="str">
        <v>Bengaluru</v>
      </c>
      <c r="AD216" t="str">
        <v>Karnataka</v>
      </c>
      <c r="AE216" t="str">
        <v>South</v>
      </c>
      <c r="AF216" t="str">
        <v>Electronics</v>
      </c>
      <c r="AG216" t="str">
        <v>Laptop</v>
      </c>
      <c r="AH216">
        <v>5</v>
      </c>
      <c r="AI216">
        <v>1413.03</v>
      </c>
      <c r="AJ216">
        <v>7065.15</v>
      </c>
    </row>
    <row r="217" spans="1:36">
      <c r="A217" s="25">
        <v>45276</v>
      </c>
      <c r="B217" t="s">
        <v>1671</v>
      </c>
      <c r="C217" t="s">
        <v>1690</v>
      </c>
      <c r="D217" t="s">
        <v>1678</v>
      </c>
      <c r="E217" t="s">
        <v>1679</v>
      </c>
      <c r="F217" t="s">
        <v>114</v>
      </c>
      <c r="G217" t="s">
        <v>1712</v>
      </c>
      <c r="H217">
        <v>2</v>
      </c>
      <c r="I217">
        <v>2789.92</v>
      </c>
      <c r="J217">
        <v>5579.84</v>
      </c>
      <c r="AA217">
        <v>45255</v>
      </c>
      <c r="AB217" t="str">
        <v>Ishita</v>
      </c>
      <c r="AC217" t="str">
        <v>Bengaluru</v>
      </c>
      <c r="AD217" t="str">
        <v>Karnataka</v>
      </c>
      <c r="AE217" t="str">
        <v>South</v>
      </c>
      <c r="AF217" t="str">
        <v>Electronics</v>
      </c>
      <c r="AG217" t="str">
        <v>Smartphone</v>
      </c>
      <c r="AH217">
        <v>1</v>
      </c>
      <c r="AI217">
        <v>4966.8599999999997</v>
      </c>
      <c r="AJ217">
        <v>4966.8599999999997</v>
      </c>
    </row>
    <row r="218" spans="1:36">
      <c r="A218" s="25">
        <v>45156</v>
      </c>
      <c r="B218" t="s">
        <v>1671</v>
      </c>
      <c r="C218" t="s">
        <v>1690</v>
      </c>
      <c r="D218" t="s">
        <v>1678</v>
      </c>
      <c r="E218" t="s">
        <v>1679</v>
      </c>
      <c r="F218" t="s">
        <v>114</v>
      </c>
      <c r="G218" t="s">
        <v>1712</v>
      </c>
      <c r="H218">
        <v>15</v>
      </c>
      <c r="I218">
        <v>202.66</v>
      </c>
      <c r="J218">
        <v>3039.9</v>
      </c>
      <c r="AA218">
        <v>45014</v>
      </c>
      <c r="AB218" t="str">
        <v>Vihaan</v>
      </c>
      <c r="AC218" t="str">
        <v>Bengaluru</v>
      </c>
      <c r="AD218" t="str">
        <v>Karnataka</v>
      </c>
      <c r="AE218" t="str">
        <v>South</v>
      </c>
      <c r="AF218" t="str">
        <v>Electronics</v>
      </c>
      <c r="AG218" t="str">
        <v>Smartphone</v>
      </c>
      <c r="AH218">
        <v>5</v>
      </c>
      <c r="AI218">
        <v>568.87</v>
      </c>
      <c r="AJ218">
        <v>2844.35</v>
      </c>
    </row>
    <row r="219" spans="1:36">
      <c r="A219" s="25">
        <v>45254</v>
      </c>
      <c r="B219" t="s">
        <v>1671</v>
      </c>
      <c r="C219" t="s">
        <v>1690</v>
      </c>
      <c r="D219" t="s">
        <v>1678</v>
      </c>
      <c r="E219" t="s">
        <v>1679</v>
      </c>
      <c r="F219" t="s">
        <v>114</v>
      </c>
      <c r="G219" t="s">
        <v>1718</v>
      </c>
      <c r="H219">
        <v>1</v>
      </c>
      <c r="I219">
        <v>2993.55</v>
      </c>
      <c r="J219">
        <v>2993.55</v>
      </c>
      <c r="AA219">
        <v>45182</v>
      </c>
      <c r="AB219" t="str">
        <v>Ishita</v>
      </c>
      <c r="AC219" t="str">
        <v>Bengaluru</v>
      </c>
      <c r="AD219" t="str">
        <v>Karnataka</v>
      </c>
      <c r="AE219" t="str">
        <v>South</v>
      </c>
      <c r="AF219" t="str">
        <v>Electronics</v>
      </c>
      <c r="AG219" t="str">
        <v>Laptop</v>
      </c>
      <c r="AH219">
        <v>3</v>
      </c>
      <c r="AI219">
        <v>916.53</v>
      </c>
      <c r="AJ219">
        <v>2749.59</v>
      </c>
    </row>
    <row r="220" spans="1:36">
      <c r="A220" s="25">
        <v>45168</v>
      </c>
      <c r="B220" t="s">
        <v>1689</v>
      </c>
      <c r="C220" t="s">
        <v>1677</v>
      </c>
      <c r="D220" t="s">
        <v>1678</v>
      </c>
      <c r="E220" t="s">
        <v>1679</v>
      </c>
      <c r="F220" t="s">
        <v>97</v>
      </c>
      <c r="G220" t="s">
        <v>1711</v>
      </c>
      <c r="H220">
        <v>20</v>
      </c>
      <c r="I220">
        <v>4751.1400000000003</v>
      </c>
      <c r="J220">
        <v>95022.8</v>
      </c>
      <c r="AA220">
        <v>45147</v>
      </c>
      <c r="AB220" t="str">
        <v>Aditi</v>
      </c>
      <c r="AC220" t="str">
        <v>Bengaluru</v>
      </c>
      <c r="AD220" t="str">
        <v>Karnataka</v>
      </c>
      <c r="AE220" t="str">
        <v>South</v>
      </c>
      <c r="AF220" t="str">
        <v>Electronics</v>
      </c>
      <c r="AG220" t="str">
        <v>Smartphone</v>
      </c>
      <c r="AH220">
        <v>5</v>
      </c>
      <c r="AI220">
        <v>194.7</v>
      </c>
      <c r="AJ220">
        <v>973.5</v>
      </c>
    </row>
    <row r="221" spans="1:36">
      <c r="A221" s="25">
        <v>44985</v>
      </c>
      <c r="B221" t="s">
        <v>1676</v>
      </c>
      <c r="C221" t="s">
        <v>1677</v>
      </c>
      <c r="D221" t="s">
        <v>1678</v>
      </c>
      <c r="E221" t="s">
        <v>1679</v>
      </c>
      <c r="F221" t="s">
        <v>97</v>
      </c>
      <c r="G221" t="s">
        <v>1697</v>
      </c>
      <c r="H221">
        <v>16</v>
      </c>
      <c r="I221">
        <v>4090.26</v>
      </c>
      <c r="J221">
        <v>65444.160000000003</v>
      </c>
      <c r="AA221">
        <v>45283</v>
      </c>
      <c r="AB221" t="str">
        <v>Nishant</v>
      </c>
      <c r="AC221" t="str">
        <v>Bengaluru</v>
      </c>
      <c r="AD221" t="str">
        <v>Karnataka</v>
      </c>
      <c r="AE221" t="str">
        <v>South</v>
      </c>
      <c r="AF221" t="str">
        <v>Furniture</v>
      </c>
      <c r="AG221" t="str">
        <v>Bed</v>
      </c>
      <c r="AH221">
        <v>17</v>
      </c>
      <c r="AI221">
        <v>4156.25</v>
      </c>
      <c r="AJ221">
        <v>70656.25</v>
      </c>
    </row>
    <row r="222" spans="1:36">
      <c r="A222" s="25">
        <v>45086</v>
      </c>
      <c r="B222" t="s">
        <v>1698</v>
      </c>
      <c r="C222" t="s">
        <v>1677</v>
      </c>
      <c r="D222" t="s">
        <v>1678</v>
      </c>
      <c r="E222" t="s">
        <v>1679</v>
      </c>
      <c r="F222" t="s">
        <v>97</v>
      </c>
      <c r="G222" t="s">
        <v>1711</v>
      </c>
      <c r="H222">
        <v>16</v>
      </c>
      <c r="I222">
        <v>3046.66</v>
      </c>
      <c r="J222">
        <v>48746.559999999998</v>
      </c>
      <c r="AA222">
        <v>44956</v>
      </c>
      <c r="AB222" t="str">
        <v>Nishant</v>
      </c>
      <c r="AC222" t="str">
        <v>Bengaluru</v>
      </c>
      <c r="AD222" t="str">
        <v>Karnataka</v>
      </c>
      <c r="AE222" t="str">
        <v>South</v>
      </c>
      <c r="AF222" t="str">
        <v>Furniture</v>
      </c>
      <c r="AG222" t="str">
        <v>Bed</v>
      </c>
      <c r="AH222">
        <v>19</v>
      </c>
      <c r="AI222">
        <v>3575.92</v>
      </c>
      <c r="AJ222">
        <v>67942.48</v>
      </c>
    </row>
    <row r="223" spans="1:36">
      <c r="A223" s="25">
        <v>45050</v>
      </c>
      <c r="B223" t="s">
        <v>1700</v>
      </c>
      <c r="C223" t="s">
        <v>1677</v>
      </c>
      <c r="D223" t="s">
        <v>1678</v>
      </c>
      <c r="E223" t="s">
        <v>1679</v>
      </c>
      <c r="F223" t="s">
        <v>97</v>
      </c>
      <c r="G223" t="s">
        <v>1699</v>
      </c>
      <c r="H223">
        <v>9</v>
      </c>
      <c r="I223">
        <v>3927.83</v>
      </c>
      <c r="J223">
        <v>35350.47</v>
      </c>
      <c r="AA223">
        <v>45279</v>
      </c>
      <c r="AB223" t="str">
        <v>Vihaan</v>
      </c>
      <c r="AC223" t="str">
        <v>Bengaluru</v>
      </c>
      <c r="AD223" t="str">
        <v>Karnataka</v>
      </c>
      <c r="AE223" t="str">
        <v>South</v>
      </c>
      <c r="AF223" t="str">
        <v>Furniture</v>
      </c>
      <c r="AG223" t="str">
        <v>Bed</v>
      </c>
      <c r="AH223">
        <v>13</v>
      </c>
      <c r="AI223">
        <v>4318.62</v>
      </c>
      <c r="AJ223">
        <v>56142.06</v>
      </c>
    </row>
    <row r="224" spans="1:36">
      <c r="A224" s="25">
        <v>44965</v>
      </c>
      <c r="B224" t="s">
        <v>1686</v>
      </c>
      <c r="C224" t="s">
        <v>1677</v>
      </c>
      <c r="D224" t="s">
        <v>1678</v>
      </c>
      <c r="E224" t="s">
        <v>1679</v>
      </c>
      <c r="F224" t="s">
        <v>97</v>
      </c>
      <c r="G224" t="s">
        <v>1711</v>
      </c>
      <c r="H224">
        <v>14</v>
      </c>
      <c r="I224">
        <v>2355.56</v>
      </c>
      <c r="J224">
        <v>32977.839999999997</v>
      </c>
      <c r="AA224">
        <v>44965</v>
      </c>
      <c r="AB224" t="str">
        <v>Nishant</v>
      </c>
      <c r="AC224" t="str">
        <v>Bengaluru</v>
      </c>
      <c r="AD224" t="str">
        <v>Karnataka</v>
      </c>
      <c r="AE224" t="str">
        <v>South</v>
      </c>
      <c r="AF224" t="str">
        <v>Furniture</v>
      </c>
      <c r="AG224" t="str">
        <v>Table</v>
      </c>
      <c r="AH224">
        <v>12</v>
      </c>
      <c r="AI224">
        <v>3700.23</v>
      </c>
      <c r="AJ224">
        <v>44402.76</v>
      </c>
    </row>
    <row r="225" spans="1:36">
      <c r="A225" s="25">
        <v>45126</v>
      </c>
      <c r="B225" t="s">
        <v>1671</v>
      </c>
      <c r="C225" t="s">
        <v>1677</v>
      </c>
      <c r="D225" t="s">
        <v>1678</v>
      </c>
      <c r="E225" t="s">
        <v>1679</v>
      </c>
      <c r="F225" t="s">
        <v>97</v>
      </c>
      <c r="G225" t="s">
        <v>1699</v>
      </c>
      <c r="H225">
        <v>15</v>
      </c>
      <c r="I225">
        <v>2158.2199999999998</v>
      </c>
      <c r="J225">
        <v>32373.3</v>
      </c>
      <c r="AA225">
        <v>45082</v>
      </c>
      <c r="AB225" t="str">
        <v>Kabir</v>
      </c>
      <c r="AC225" t="str">
        <v>Bengaluru</v>
      </c>
      <c r="AD225" t="str">
        <v>Karnataka</v>
      </c>
      <c r="AE225" t="str">
        <v>South</v>
      </c>
      <c r="AF225" t="str">
        <v>Furniture</v>
      </c>
      <c r="AG225" t="str">
        <v>Bed</v>
      </c>
      <c r="AH225">
        <v>16</v>
      </c>
      <c r="AI225">
        <v>2724.77</v>
      </c>
      <c r="AJ225">
        <v>43596.32</v>
      </c>
    </row>
    <row r="226" spans="1:36">
      <c r="A226" s="25">
        <v>45098</v>
      </c>
      <c r="B226" t="s">
        <v>1689</v>
      </c>
      <c r="C226" t="s">
        <v>1677</v>
      </c>
      <c r="D226" t="s">
        <v>1678</v>
      </c>
      <c r="E226" t="s">
        <v>1679</v>
      </c>
      <c r="F226" t="s">
        <v>97</v>
      </c>
      <c r="G226" t="s">
        <v>1711</v>
      </c>
      <c r="H226">
        <v>7</v>
      </c>
      <c r="I226">
        <v>3911.96</v>
      </c>
      <c r="J226">
        <v>27383.72</v>
      </c>
      <c r="AA226">
        <v>45205</v>
      </c>
      <c r="AB226" t="str">
        <v>Kabir</v>
      </c>
      <c r="AC226" t="str">
        <v>Bengaluru</v>
      </c>
      <c r="AD226" t="str">
        <v>Karnataka</v>
      </c>
      <c r="AE226" t="str">
        <v>South</v>
      </c>
      <c r="AF226" t="str">
        <v>Furniture</v>
      </c>
      <c r="AG226" t="str">
        <v>Sofa</v>
      </c>
      <c r="AH226">
        <v>20</v>
      </c>
      <c r="AI226">
        <v>1710.93</v>
      </c>
      <c r="AJ226">
        <v>34218.6</v>
      </c>
    </row>
    <row r="227" spans="1:36">
      <c r="A227" s="25">
        <v>44964</v>
      </c>
      <c r="B227" t="s">
        <v>1671</v>
      </c>
      <c r="C227" t="s">
        <v>1677</v>
      </c>
      <c r="D227" t="s">
        <v>1678</v>
      </c>
      <c r="E227" t="s">
        <v>1679</v>
      </c>
      <c r="F227" t="s">
        <v>97</v>
      </c>
      <c r="G227" t="s">
        <v>1711</v>
      </c>
      <c r="H227">
        <v>11</v>
      </c>
      <c r="I227">
        <v>2471.65</v>
      </c>
      <c r="J227">
        <v>27188.15</v>
      </c>
      <c r="AA227">
        <v>45002</v>
      </c>
      <c r="AB227" t="str">
        <v>Aarav</v>
      </c>
      <c r="AC227" t="str">
        <v>Bengaluru</v>
      </c>
      <c r="AD227" t="str">
        <v>Karnataka</v>
      </c>
      <c r="AE227" t="str">
        <v>South</v>
      </c>
      <c r="AF227" t="str">
        <v>Furniture</v>
      </c>
      <c r="AG227" t="str">
        <v>Chair</v>
      </c>
      <c r="AH227">
        <v>8</v>
      </c>
      <c r="AI227">
        <v>3628.65</v>
      </c>
      <c r="AJ227">
        <v>29029.200000000001</v>
      </c>
    </row>
    <row r="228" spans="1:36">
      <c r="A228" s="25">
        <v>44980</v>
      </c>
      <c r="B228" t="s">
        <v>1700</v>
      </c>
      <c r="C228" t="s">
        <v>1677</v>
      </c>
      <c r="D228" t="s">
        <v>1678</v>
      </c>
      <c r="E228" t="s">
        <v>1679</v>
      </c>
      <c r="F228" t="s">
        <v>97</v>
      </c>
      <c r="G228" t="s">
        <v>1697</v>
      </c>
      <c r="H228">
        <v>18</v>
      </c>
      <c r="I228">
        <v>809.24</v>
      </c>
      <c r="J228">
        <v>14566.32</v>
      </c>
      <c r="AA228">
        <v>45012</v>
      </c>
      <c r="AB228" t="str">
        <v>Aryan</v>
      </c>
      <c r="AC228" t="str">
        <v>Bengaluru</v>
      </c>
      <c r="AD228" t="str">
        <v>Karnataka</v>
      </c>
      <c r="AE228" t="str">
        <v>South</v>
      </c>
      <c r="AF228" t="str">
        <v>Furniture</v>
      </c>
      <c r="AG228" t="str">
        <v>Table</v>
      </c>
      <c r="AH228">
        <v>7</v>
      </c>
      <c r="AI228">
        <v>3836.77</v>
      </c>
      <c r="AJ228">
        <v>26857.39</v>
      </c>
    </row>
    <row r="229" spans="1:36">
      <c r="A229" s="25">
        <v>45047</v>
      </c>
      <c r="B229" t="s">
        <v>1694</v>
      </c>
      <c r="C229" t="s">
        <v>1677</v>
      </c>
      <c r="D229" t="s">
        <v>1678</v>
      </c>
      <c r="E229" t="s">
        <v>1679</v>
      </c>
      <c r="F229" t="s">
        <v>97</v>
      </c>
      <c r="G229" t="s">
        <v>1699</v>
      </c>
      <c r="H229">
        <v>11</v>
      </c>
      <c r="I229">
        <v>1286.08</v>
      </c>
      <c r="J229">
        <v>14146.88</v>
      </c>
      <c r="AA229">
        <v>45240</v>
      </c>
      <c r="AB229" t="str">
        <v>Nishant</v>
      </c>
      <c r="AC229" t="str">
        <v>Bengaluru</v>
      </c>
      <c r="AD229" t="str">
        <v>Karnataka</v>
      </c>
      <c r="AE229" t="str">
        <v>South</v>
      </c>
      <c r="AF229" t="str">
        <v>Furniture</v>
      </c>
      <c r="AG229" t="str">
        <v>Table</v>
      </c>
      <c r="AH229">
        <v>5</v>
      </c>
      <c r="AI229">
        <v>4759.1899999999996</v>
      </c>
      <c r="AJ229">
        <v>23795.95</v>
      </c>
    </row>
    <row r="230" spans="1:36">
      <c r="A230" s="25">
        <v>45136</v>
      </c>
      <c r="B230" t="s">
        <v>1700</v>
      </c>
      <c r="C230" t="s">
        <v>1677</v>
      </c>
      <c r="D230" t="s">
        <v>1678</v>
      </c>
      <c r="E230" t="s">
        <v>1679</v>
      </c>
      <c r="F230" t="s">
        <v>97</v>
      </c>
      <c r="G230" t="s">
        <v>1699</v>
      </c>
      <c r="H230">
        <v>14</v>
      </c>
      <c r="I230">
        <v>816.99</v>
      </c>
      <c r="J230">
        <v>11437.86</v>
      </c>
      <c r="AA230">
        <v>45249</v>
      </c>
      <c r="AB230" t="str">
        <v>Ananya</v>
      </c>
      <c r="AC230" t="str">
        <v>Bengaluru</v>
      </c>
      <c r="AD230" t="str">
        <v>Karnataka</v>
      </c>
      <c r="AE230" t="str">
        <v>South</v>
      </c>
      <c r="AF230" t="str">
        <v>Furniture</v>
      </c>
      <c r="AG230" t="str">
        <v>Table</v>
      </c>
      <c r="AH230">
        <v>5</v>
      </c>
      <c r="AI230">
        <v>4402.72</v>
      </c>
      <c r="AJ230">
        <v>22013.599999999999</v>
      </c>
    </row>
    <row r="231" spans="1:36">
      <c r="A231" s="25">
        <v>45144</v>
      </c>
      <c r="B231" t="s">
        <v>1692</v>
      </c>
      <c r="C231" t="s">
        <v>1677</v>
      </c>
      <c r="D231" t="s">
        <v>1678</v>
      </c>
      <c r="E231" t="s">
        <v>1679</v>
      </c>
      <c r="F231" t="s">
        <v>97</v>
      </c>
      <c r="G231" t="s">
        <v>1711</v>
      </c>
      <c r="H231">
        <v>13</v>
      </c>
      <c r="I231">
        <v>566.55999999999995</v>
      </c>
      <c r="J231">
        <v>7365.28</v>
      </c>
      <c r="AA231">
        <v>45009</v>
      </c>
      <c r="AB231" t="str">
        <v>Ishita</v>
      </c>
      <c r="AC231" t="str">
        <v>Bengaluru</v>
      </c>
      <c r="AD231" t="str">
        <v>Karnataka</v>
      </c>
      <c r="AE231" t="str">
        <v>South</v>
      </c>
      <c r="AF231" t="str">
        <v>Furniture</v>
      </c>
      <c r="AG231" t="str">
        <v>Chair</v>
      </c>
      <c r="AH231">
        <v>5</v>
      </c>
      <c r="AI231">
        <v>2411.33</v>
      </c>
      <c r="AJ231">
        <v>12056.65</v>
      </c>
    </row>
    <row r="232" spans="1:36">
      <c r="A232" s="25">
        <v>45167</v>
      </c>
      <c r="B232" t="s">
        <v>1698</v>
      </c>
      <c r="C232" t="s">
        <v>1677</v>
      </c>
      <c r="D232" t="s">
        <v>1678</v>
      </c>
      <c r="E232" t="s">
        <v>1679</v>
      </c>
      <c r="F232" t="s">
        <v>97</v>
      </c>
      <c r="G232" t="s">
        <v>1697</v>
      </c>
      <c r="H232">
        <v>4</v>
      </c>
      <c r="I232">
        <v>791.28</v>
      </c>
      <c r="J232">
        <v>3165.12</v>
      </c>
      <c r="AA232">
        <v>45081</v>
      </c>
      <c r="AB232" t="str">
        <v>Nishant</v>
      </c>
      <c r="AC232" t="str">
        <v>Bengaluru</v>
      </c>
      <c r="AD232" t="str">
        <v>Karnataka</v>
      </c>
      <c r="AE232" t="str">
        <v>South</v>
      </c>
      <c r="AF232" t="str">
        <v>Furniture</v>
      </c>
      <c r="AG232" t="str">
        <v>Sofa</v>
      </c>
      <c r="AH232">
        <v>20</v>
      </c>
      <c r="AI232">
        <v>473.23</v>
      </c>
      <c r="AJ232">
        <v>9464.6</v>
      </c>
    </row>
    <row r="233" spans="1:36">
      <c r="A233" s="25">
        <v>45171</v>
      </c>
      <c r="B233" t="s">
        <v>1700</v>
      </c>
      <c r="C233" t="s">
        <v>1677</v>
      </c>
      <c r="D233" t="s">
        <v>1678</v>
      </c>
      <c r="E233" t="s">
        <v>1679</v>
      </c>
      <c r="F233" t="s">
        <v>89</v>
      </c>
      <c r="G233" t="s">
        <v>1105</v>
      </c>
      <c r="H233">
        <v>16</v>
      </c>
      <c r="I233">
        <v>3942.95</v>
      </c>
      <c r="J233">
        <v>63087.199999999997</v>
      </c>
      <c r="AA233">
        <v>44981</v>
      </c>
      <c r="AB233" t="str">
        <v>Riya</v>
      </c>
      <c r="AC233" t="str">
        <v>Bengaluru</v>
      </c>
      <c r="AD233" t="str">
        <v>Karnataka</v>
      </c>
      <c r="AE233" t="str">
        <v>South</v>
      </c>
      <c r="AF233" t="str">
        <v>Furniture</v>
      </c>
      <c r="AG233" t="str">
        <v>Bed</v>
      </c>
      <c r="AH233">
        <v>2</v>
      </c>
      <c r="AI233">
        <v>1927.02</v>
      </c>
      <c r="AJ233">
        <v>3854.04</v>
      </c>
    </row>
    <row r="234" spans="1:36">
      <c r="A234" s="25">
        <v>45149</v>
      </c>
      <c r="B234" t="s">
        <v>1671</v>
      </c>
      <c r="C234" t="s">
        <v>1677</v>
      </c>
      <c r="D234" t="s">
        <v>1678</v>
      </c>
      <c r="E234" t="s">
        <v>1679</v>
      </c>
      <c r="F234" t="s">
        <v>89</v>
      </c>
      <c r="G234" t="s">
        <v>1105</v>
      </c>
      <c r="H234">
        <v>13</v>
      </c>
      <c r="I234">
        <v>3994.86</v>
      </c>
      <c r="J234">
        <v>51933.18</v>
      </c>
      <c r="AA234">
        <v>45064</v>
      </c>
      <c r="AB234" t="str">
        <v>Nishant</v>
      </c>
      <c r="AC234" t="str">
        <v>Bengaluru</v>
      </c>
      <c r="AD234" t="str">
        <v>Karnataka</v>
      </c>
      <c r="AE234" t="str">
        <v>South</v>
      </c>
      <c r="AF234" t="str">
        <v>Furniture</v>
      </c>
      <c r="AG234" t="str">
        <v>Sofa</v>
      </c>
      <c r="AH234">
        <v>3</v>
      </c>
      <c r="AI234">
        <v>953.26</v>
      </c>
      <c r="AJ234">
        <v>2859.78</v>
      </c>
    </row>
    <row r="235" spans="1:36">
      <c r="A235" s="25">
        <v>45001</v>
      </c>
      <c r="B235" t="s">
        <v>1681</v>
      </c>
      <c r="C235" t="s">
        <v>1677</v>
      </c>
      <c r="D235" t="s">
        <v>1678</v>
      </c>
      <c r="E235" t="s">
        <v>1679</v>
      </c>
      <c r="F235" t="s">
        <v>89</v>
      </c>
      <c r="G235" t="s">
        <v>1713</v>
      </c>
      <c r="H235">
        <v>19</v>
      </c>
      <c r="I235">
        <v>2240.89</v>
      </c>
      <c r="J235">
        <v>42576.91</v>
      </c>
      <c r="AA235">
        <v>45126</v>
      </c>
      <c r="AB235" t="str">
        <v>Meera</v>
      </c>
      <c r="AC235" t="str">
        <v>Bengaluru</v>
      </c>
      <c r="AD235" t="str">
        <v>Karnataka</v>
      </c>
      <c r="AE235" t="str">
        <v>South</v>
      </c>
      <c r="AF235" t="str">
        <v>Furniture</v>
      </c>
      <c r="AG235" t="str">
        <v>Table</v>
      </c>
      <c r="AH235">
        <v>3</v>
      </c>
      <c r="AI235">
        <v>559.70000000000005</v>
      </c>
      <c r="AJ235">
        <v>1679.1</v>
      </c>
    </row>
    <row r="236" spans="1:36">
      <c r="A236" s="25">
        <v>45179</v>
      </c>
      <c r="B236" t="s">
        <v>1700</v>
      </c>
      <c r="C236" t="s">
        <v>1677</v>
      </c>
      <c r="D236" t="s">
        <v>1678</v>
      </c>
      <c r="E236" t="s">
        <v>1679</v>
      </c>
      <c r="F236" t="s">
        <v>89</v>
      </c>
      <c r="G236" t="s">
        <v>1714</v>
      </c>
      <c r="H236">
        <v>14</v>
      </c>
      <c r="I236">
        <v>2833.44</v>
      </c>
      <c r="J236">
        <v>39668.160000000003</v>
      </c>
      <c r="AA236">
        <v>45224</v>
      </c>
      <c r="AB236" t="str">
        <v>Ananya</v>
      </c>
      <c r="AC236" t="str">
        <v>Bengaluru</v>
      </c>
      <c r="AD236" t="str">
        <v>Karnataka</v>
      </c>
      <c r="AE236" t="str">
        <v>South</v>
      </c>
      <c r="AF236" t="str">
        <v>Groceries</v>
      </c>
      <c r="AG236" t="str">
        <v>Sugar</v>
      </c>
      <c r="AH236">
        <v>16</v>
      </c>
      <c r="AI236">
        <v>4684.8599999999997</v>
      </c>
      <c r="AJ236">
        <v>74957.759999999995</v>
      </c>
    </row>
    <row r="237" spans="1:36">
      <c r="A237" s="25">
        <v>45276</v>
      </c>
      <c r="B237" t="s">
        <v>1681</v>
      </c>
      <c r="C237" t="s">
        <v>1677</v>
      </c>
      <c r="D237" t="s">
        <v>1678</v>
      </c>
      <c r="E237" t="s">
        <v>1679</v>
      </c>
      <c r="F237" t="s">
        <v>89</v>
      </c>
      <c r="G237" t="s">
        <v>1105</v>
      </c>
      <c r="H237">
        <v>14</v>
      </c>
      <c r="I237">
        <v>2343.4</v>
      </c>
      <c r="J237">
        <v>32807.599999999999</v>
      </c>
      <c r="AA237">
        <v>45027</v>
      </c>
      <c r="AB237" t="str">
        <v>Riya</v>
      </c>
      <c r="AC237" t="str">
        <v>Bengaluru</v>
      </c>
      <c r="AD237" t="str">
        <v>Karnataka</v>
      </c>
      <c r="AE237" t="str">
        <v>South</v>
      </c>
      <c r="AF237" t="str">
        <v>Groceries</v>
      </c>
      <c r="AG237" t="str">
        <v>Sugar</v>
      </c>
      <c r="AH237">
        <v>17</v>
      </c>
      <c r="AI237">
        <v>3973.87</v>
      </c>
      <c r="AJ237">
        <v>67555.789999999994</v>
      </c>
    </row>
    <row r="238" spans="1:36">
      <c r="A238" s="25">
        <v>45146</v>
      </c>
      <c r="B238" t="s">
        <v>1692</v>
      </c>
      <c r="C238" t="s">
        <v>1677</v>
      </c>
      <c r="D238" t="s">
        <v>1678</v>
      </c>
      <c r="E238" t="s">
        <v>1679</v>
      </c>
      <c r="F238" t="s">
        <v>89</v>
      </c>
      <c r="G238" t="s">
        <v>1714</v>
      </c>
      <c r="H238">
        <v>2</v>
      </c>
      <c r="I238">
        <v>2078.33</v>
      </c>
      <c r="J238">
        <v>4156.66</v>
      </c>
      <c r="AA238">
        <v>45170</v>
      </c>
      <c r="AB238" t="str">
        <v>Riya</v>
      </c>
      <c r="AC238" t="str">
        <v>Bengaluru</v>
      </c>
      <c r="AD238" t="str">
        <v>Karnataka</v>
      </c>
      <c r="AE238" t="str">
        <v>South</v>
      </c>
      <c r="AF238" t="str">
        <v>Groceries</v>
      </c>
      <c r="AG238" t="str">
        <v>Sugar</v>
      </c>
      <c r="AH238">
        <v>17</v>
      </c>
      <c r="AI238">
        <v>2920.06</v>
      </c>
      <c r="AJ238">
        <v>49641.02</v>
      </c>
    </row>
    <row r="239" spans="1:36">
      <c r="A239" s="25">
        <v>45255</v>
      </c>
      <c r="B239" t="s">
        <v>1676</v>
      </c>
      <c r="C239" t="s">
        <v>1677</v>
      </c>
      <c r="D239" t="s">
        <v>1678</v>
      </c>
      <c r="E239" t="s">
        <v>1679</v>
      </c>
      <c r="F239" t="s">
        <v>89</v>
      </c>
      <c r="G239" t="s">
        <v>1713</v>
      </c>
      <c r="H239">
        <v>2</v>
      </c>
      <c r="I239">
        <v>1195.99</v>
      </c>
      <c r="J239">
        <v>2391.98</v>
      </c>
      <c r="AA239">
        <v>45000</v>
      </c>
      <c r="AB239" t="str">
        <v>Aditi</v>
      </c>
      <c r="AC239" t="str">
        <v>Bengaluru</v>
      </c>
      <c r="AD239" t="str">
        <v>Karnataka</v>
      </c>
      <c r="AE239" t="str">
        <v>South</v>
      </c>
      <c r="AF239" t="str">
        <v>Groceries</v>
      </c>
      <c r="AG239" t="str">
        <v>Sugar</v>
      </c>
      <c r="AH239">
        <v>20</v>
      </c>
      <c r="AI239">
        <v>2409.6799999999998</v>
      </c>
      <c r="AJ239">
        <v>48193.599999999999</v>
      </c>
    </row>
    <row r="240" spans="1:36">
      <c r="A240" s="25">
        <v>45030</v>
      </c>
      <c r="B240" t="s">
        <v>1705</v>
      </c>
      <c r="C240" t="s">
        <v>1677</v>
      </c>
      <c r="D240" t="s">
        <v>1678</v>
      </c>
      <c r="E240" t="s">
        <v>1679</v>
      </c>
      <c r="F240" t="s">
        <v>89</v>
      </c>
      <c r="G240" t="s">
        <v>1106</v>
      </c>
      <c r="H240">
        <v>3</v>
      </c>
      <c r="I240">
        <v>413.26</v>
      </c>
      <c r="J240">
        <v>1239.78</v>
      </c>
      <c r="AA240">
        <v>45137</v>
      </c>
      <c r="AB240" t="str">
        <v>Aarav</v>
      </c>
      <c r="AC240" t="str">
        <v>Bengaluru</v>
      </c>
      <c r="AD240" t="str">
        <v>Karnataka</v>
      </c>
      <c r="AE240" t="str">
        <v>South</v>
      </c>
      <c r="AF240" t="str">
        <v>Groceries</v>
      </c>
      <c r="AG240" t="str">
        <v>Oil</v>
      </c>
      <c r="AH240">
        <v>15</v>
      </c>
      <c r="AI240">
        <v>3100.61</v>
      </c>
      <c r="AJ240">
        <v>46509.15</v>
      </c>
    </row>
    <row r="241" spans="1:36">
      <c r="A241" s="25">
        <v>45062</v>
      </c>
      <c r="B241" t="s">
        <v>1698</v>
      </c>
      <c r="C241" t="s">
        <v>1677</v>
      </c>
      <c r="D241" t="s">
        <v>1678</v>
      </c>
      <c r="E241" t="s">
        <v>1679</v>
      </c>
      <c r="F241" t="s">
        <v>101</v>
      </c>
      <c r="G241" t="s">
        <v>1675</v>
      </c>
      <c r="H241">
        <v>18</v>
      </c>
      <c r="I241">
        <v>4937.99</v>
      </c>
      <c r="J241">
        <v>88883.82</v>
      </c>
      <c r="AA241">
        <v>45052</v>
      </c>
      <c r="AB241" t="str">
        <v>Nishant</v>
      </c>
      <c r="AC241" t="str">
        <v>Bengaluru</v>
      </c>
      <c r="AD241" t="str">
        <v>Karnataka</v>
      </c>
      <c r="AE241" t="str">
        <v>South</v>
      </c>
      <c r="AF241" t="str">
        <v>Groceries</v>
      </c>
      <c r="AG241" t="str">
        <v>Sugar</v>
      </c>
      <c r="AH241">
        <v>8</v>
      </c>
      <c r="AI241">
        <v>4612.53</v>
      </c>
      <c r="AJ241">
        <v>36900.239999999998</v>
      </c>
    </row>
    <row r="242" spans="1:36">
      <c r="A242" s="25">
        <v>44989</v>
      </c>
      <c r="B242" t="s">
        <v>1689</v>
      </c>
      <c r="C242" t="s">
        <v>1677</v>
      </c>
      <c r="D242" t="s">
        <v>1678</v>
      </c>
      <c r="E242" t="s">
        <v>1679</v>
      </c>
      <c r="F242" t="s">
        <v>101</v>
      </c>
      <c r="G242" t="s">
        <v>1715</v>
      </c>
      <c r="H242">
        <v>17</v>
      </c>
      <c r="I242">
        <v>4415.8500000000004</v>
      </c>
      <c r="J242">
        <v>75069.45</v>
      </c>
      <c r="AA242">
        <v>45043</v>
      </c>
      <c r="AB242" t="str">
        <v>Aarav</v>
      </c>
      <c r="AC242" t="str">
        <v>Bengaluru</v>
      </c>
      <c r="AD242" t="str">
        <v>Karnataka</v>
      </c>
      <c r="AE242" t="str">
        <v>South</v>
      </c>
      <c r="AF242" t="str">
        <v>Groceries</v>
      </c>
      <c r="AG242" t="str">
        <v>Sugar</v>
      </c>
      <c r="AH242">
        <v>7</v>
      </c>
      <c r="AI242">
        <v>4898.57</v>
      </c>
      <c r="AJ242">
        <v>34289.99</v>
      </c>
    </row>
    <row r="243" spans="1:36">
      <c r="A243" s="25">
        <v>44962</v>
      </c>
      <c r="B243" t="s">
        <v>1705</v>
      </c>
      <c r="C243" t="s">
        <v>1677</v>
      </c>
      <c r="D243" t="s">
        <v>1678</v>
      </c>
      <c r="E243" t="s">
        <v>1679</v>
      </c>
      <c r="F243" t="s">
        <v>101</v>
      </c>
      <c r="G243" t="s">
        <v>1715</v>
      </c>
      <c r="H243">
        <v>15</v>
      </c>
      <c r="I243">
        <v>4748.62</v>
      </c>
      <c r="J243">
        <v>71229.3</v>
      </c>
      <c r="AA243">
        <v>45204</v>
      </c>
      <c r="AB243" t="str">
        <v>Aryan</v>
      </c>
      <c r="AC243" t="str">
        <v>Bengaluru</v>
      </c>
      <c r="AD243" t="str">
        <v>Karnataka</v>
      </c>
      <c r="AE243" t="str">
        <v>South</v>
      </c>
      <c r="AF243" t="str">
        <v>Groceries</v>
      </c>
      <c r="AG243" t="str">
        <v>Rice</v>
      </c>
      <c r="AH243">
        <v>16</v>
      </c>
      <c r="AI243">
        <v>1880.67</v>
      </c>
      <c r="AJ243">
        <v>30090.720000000001</v>
      </c>
    </row>
    <row r="244" spans="1:36">
      <c r="A244" s="25">
        <v>45282</v>
      </c>
      <c r="B244" t="s">
        <v>1698</v>
      </c>
      <c r="C244" t="s">
        <v>1677</v>
      </c>
      <c r="D244" t="s">
        <v>1678</v>
      </c>
      <c r="E244" t="s">
        <v>1679</v>
      </c>
      <c r="F244" t="s">
        <v>101</v>
      </c>
      <c r="G244" t="s">
        <v>1719</v>
      </c>
      <c r="H244">
        <v>19</v>
      </c>
      <c r="I244">
        <v>3196.27</v>
      </c>
      <c r="J244">
        <v>60729.13</v>
      </c>
      <c r="AA244">
        <v>45232</v>
      </c>
      <c r="AB244" t="str">
        <v>Meera</v>
      </c>
      <c r="AC244" t="str">
        <v>Bengaluru</v>
      </c>
      <c r="AD244" t="str">
        <v>Karnataka</v>
      </c>
      <c r="AE244" t="str">
        <v>South</v>
      </c>
      <c r="AF244" t="str">
        <v>Groceries</v>
      </c>
      <c r="AG244" t="str">
        <v>Oil</v>
      </c>
      <c r="AH244">
        <v>12</v>
      </c>
      <c r="AI244">
        <v>1837.2</v>
      </c>
      <c r="AJ244">
        <v>22046.400000000001</v>
      </c>
    </row>
    <row r="245" spans="1:36">
      <c r="A245" s="25">
        <v>45212</v>
      </c>
      <c r="B245" t="s">
        <v>1681</v>
      </c>
      <c r="C245" t="s">
        <v>1677</v>
      </c>
      <c r="D245" t="s">
        <v>1678</v>
      </c>
      <c r="E245" t="s">
        <v>1679</v>
      </c>
      <c r="F245" t="s">
        <v>101</v>
      </c>
      <c r="G245" t="s">
        <v>1719</v>
      </c>
      <c r="H245">
        <v>20</v>
      </c>
      <c r="I245">
        <v>2449.44</v>
      </c>
      <c r="J245">
        <v>48988.800000000003</v>
      </c>
      <c r="AA245">
        <v>45096</v>
      </c>
      <c r="AB245" t="str">
        <v>Kabir</v>
      </c>
      <c r="AC245" t="str">
        <v>Bengaluru</v>
      </c>
      <c r="AD245" t="str">
        <v>Karnataka</v>
      </c>
      <c r="AE245" t="str">
        <v>South</v>
      </c>
      <c r="AF245" t="str">
        <v>Groceries</v>
      </c>
      <c r="AG245" t="str">
        <v>Oil</v>
      </c>
      <c r="AH245">
        <v>9</v>
      </c>
      <c r="AI245">
        <v>1765.86</v>
      </c>
      <c r="AJ245">
        <v>15892.74</v>
      </c>
    </row>
    <row r="246" spans="1:36">
      <c r="A246" s="25">
        <v>44937</v>
      </c>
      <c r="B246" t="s">
        <v>1700</v>
      </c>
      <c r="C246" t="s">
        <v>1677</v>
      </c>
      <c r="D246" t="s">
        <v>1678</v>
      </c>
      <c r="E246" t="s">
        <v>1679</v>
      </c>
      <c r="F246" t="s">
        <v>101</v>
      </c>
      <c r="G246" t="s">
        <v>1719</v>
      </c>
      <c r="H246">
        <v>11</v>
      </c>
      <c r="I246">
        <v>3514.12</v>
      </c>
      <c r="J246">
        <v>38655.32</v>
      </c>
      <c r="AA246">
        <v>45201</v>
      </c>
      <c r="AB246" t="str">
        <v>Aarav</v>
      </c>
      <c r="AC246" t="str">
        <v>Bengaluru</v>
      </c>
      <c r="AD246" t="str">
        <v>Karnataka</v>
      </c>
      <c r="AE246" t="str">
        <v>South</v>
      </c>
      <c r="AF246" t="str">
        <v>Groceries</v>
      </c>
      <c r="AG246" t="str">
        <v>Oil</v>
      </c>
      <c r="AH246">
        <v>19</v>
      </c>
      <c r="AI246">
        <v>797.02</v>
      </c>
      <c r="AJ246">
        <v>15143.38</v>
      </c>
    </row>
    <row r="247" spans="1:36">
      <c r="A247" s="25">
        <v>45168</v>
      </c>
      <c r="B247" t="s">
        <v>1676</v>
      </c>
      <c r="C247" t="s">
        <v>1677</v>
      </c>
      <c r="D247" t="s">
        <v>1678</v>
      </c>
      <c r="E247" t="s">
        <v>1679</v>
      </c>
      <c r="F247" t="s">
        <v>101</v>
      </c>
      <c r="G247" t="s">
        <v>1675</v>
      </c>
      <c r="H247">
        <v>7</v>
      </c>
      <c r="I247">
        <v>4847.62</v>
      </c>
      <c r="J247">
        <v>33933.339999999997</v>
      </c>
      <c r="AA247">
        <v>45257</v>
      </c>
      <c r="AB247" t="str">
        <v>Meera</v>
      </c>
      <c r="AC247" t="str">
        <v>Bengaluru</v>
      </c>
      <c r="AD247" t="str">
        <v>Karnataka</v>
      </c>
      <c r="AE247" t="str">
        <v>South</v>
      </c>
      <c r="AF247" t="str">
        <v>Groceries</v>
      </c>
      <c r="AG247" t="str">
        <v>Rice</v>
      </c>
      <c r="AH247">
        <v>4</v>
      </c>
      <c r="AI247">
        <v>3762.47</v>
      </c>
      <c r="AJ247">
        <v>15049.88</v>
      </c>
    </row>
    <row r="248" spans="1:36">
      <c r="A248" s="25">
        <v>45059</v>
      </c>
      <c r="B248" t="s">
        <v>1671</v>
      </c>
      <c r="C248" t="s">
        <v>1677</v>
      </c>
      <c r="D248" t="s">
        <v>1678</v>
      </c>
      <c r="E248" t="s">
        <v>1679</v>
      </c>
      <c r="F248" t="s">
        <v>101</v>
      </c>
      <c r="G248" t="s">
        <v>1715</v>
      </c>
      <c r="H248">
        <v>8</v>
      </c>
      <c r="I248">
        <v>3859.28</v>
      </c>
      <c r="J248">
        <v>30874.240000000002</v>
      </c>
      <c r="AA248">
        <v>45064</v>
      </c>
      <c r="AB248" t="str">
        <v>Nishant</v>
      </c>
      <c r="AC248" t="str">
        <v>Bengaluru</v>
      </c>
      <c r="AD248" t="str">
        <v>Karnataka</v>
      </c>
      <c r="AE248" t="str">
        <v>South</v>
      </c>
      <c r="AF248" t="str">
        <v>Groceries</v>
      </c>
      <c r="AG248" t="str">
        <v>Sugar</v>
      </c>
      <c r="AH248">
        <v>8</v>
      </c>
      <c r="AI248">
        <v>1762.43</v>
      </c>
      <c r="AJ248">
        <v>14099.44</v>
      </c>
    </row>
    <row r="249" spans="1:36">
      <c r="A249" s="25">
        <v>45011</v>
      </c>
      <c r="B249" t="s">
        <v>1694</v>
      </c>
      <c r="C249" t="s">
        <v>1677</v>
      </c>
      <c r="D249" t="s">
        <v>1678</v>
      </c>
      <c r="E249" t="s">
        <v>1679</v>
      </c>
      <c r="F249" t="s">
        <v>101</v>
      </c>
      <c r="G249" t="s">
        <v>1675</v>
      </c>
      <c r="H249">
        <v>17</v>
      </c>
      <c r="I249">
        <v>1801.69</v>
      </c>
      <c r="J249">
        <v>30628.73</v>
      </c>
      <c r="AA249">
        <v>45118</v>
      </c>
      <c r="AB249" t="str">
        <v>Ananya</v>
      </c>
      <c r="AC249" t="str">
        <v>Bengaluru</v>
      </c>
      <c r="AD249" t="str">
        <v>Karnataka</v>
      </c>
      <c r="AE249" t="str">
        <v>South</v>
      </c>
      <c r="AF249" t="str">
        <v>Groceries</v>
      </c>
      <c r="AG249" t="str">
        <v>Sugar</v>
      </c>
      <c r="AH249">
        <v>3</v>
      </c>
      <c r="AI249">
        <v>4234</v>
      </c>
      <c r="AJ249">
        <v>12702</v>
      </c>
    </row>
    <row r="250" spans="1:36">
      <c r="A250" s="25">
        <v>45245</v>
      </c>
      <c r="B250" t="s">
        <v>1692</v>
      </c>
      <c r="C250" t="s">
        <v>1677</v>
      </c>
      <c r="D250" t="s">
        <v>1678</v>
      </c>
      <c r="E250" t="s">
        <v>1679</v>
      </c>
      <c r="F250" t="s">
        <v>101</v>
      </c>
      <c r="G250" t="s">
        <v>1675</v>
      </c>
      <c r="H250">
        <v>7</v>
      </c>
      <c r="I250">
        <v>4077.95</v>
      </c>
      <c r="J250">
        <v>28545.65</v>
      </c>
      <c r="AA250">
        <v>45057</v>
      </c>
      <c r="AB250" t="str">
        <v>Riya</v>
      </c>
      <c r="AC250" t="str">
        <v>Bengaluru</v>
      </c>
      <c r="AD250" t="str">
        <v>Karnataka</v>
      </c>
      <c r="AE250" t="str">
        <v>South</v>
      </c>
      <c r="AF250" t="str">
        <v>Groceries</v>
      </c>
      <c r="AG250" t="str">
        <v>Lentils</v>
      </c>
      <c r="AH250">
        <v>3</v>
      </c>
      <c r="AI250">
        <v>3107.88</v>
      </c>
      <c r="AJ250">
        <v>9323.64</v>
      </c>
    </row>
    <row r="251" spans="1:36">
      <c r="A251" s="25">
        <v>44957</v>
      </c>
      <c r="B251" t="s">
        <v>1689</v>
      </c>
      <c r="C251" t="s">
        <v>1677</v>
      </c>
      <c r="D251" t="s">
        <v>1678</v>
      </c>
      <c r="E251" t="s">
        <v>1679</v>
      </c>
      <c r="F251" t="s">
        <v>101</v>
      </c>
      <c r="G251" t="s">
        <v>1715</v>
      </c>
      <c r="H251">
        <v>8</v>
      </c>
      <c r="I251">
        <v>3402.24</v>
      </c>
      <c r="J251">
        <v>27217.919999999998</v>
      </c>
      <c r="AA251">
        <v>45167</v>
      </c>
      <c r="AB251" t="str">
        <v>Riya</v>
      </c>
      <c r="AC251" t="str">
        <v>Bengaluru</v>
      </c>
      <c r="AD251" t="str">
        <v>Karnataka</v>
      </c>
      <c r="AE251" t="str">
        <v>South</v>
      </c>
      <c r="AF251" t="str">
        <v>Groceries</v>
      </c>
      <c r="AG251" t="str">
        <v>Rice</v>
      </c>
      <c r="AH251">
        <v>8</v>
      </c>
      <c r="AI251">
        <v>1011.67</v>
      </c>
      <c r="AJ251">
        <v>8093.36</v>
      </c>
    </row>
    <row r="252" spans="1:36">
      <c r="A252" s="25">
        <v>45128</v>
      </c>
      <c r="B252" t="s">
        <v>1671</v>
      </c>
      <c r="C252" t="s">
        <v>1677</v>
      </c>
      <c r="D252" t="s">
        <v>1678</v>
      </c>
      <c r="E252" t="s">
        <v>1679</v>
      </c>
      <c r="F252" t="s">
        <v>101</v>
      </c>
      <c r="G252" t="s">
        <v>1719</v>
      </c>
      <c r="H252">
        <v>8</v>
      </c>
      <c r="I252">
        <v>2394.87</v>
      </c>
      <c r="J252">
        <v>19158.96</v>
      </c>
      <c r="AA252">
        <v>45221</v>
      </c>
      <c r="AB252" t="str">
        <v>Meera</v>
      </c>
      <c r="AC252" t="str">
        <v>Bengaluru</v>
      </c>
      <c r="AD252" t="str">
        <v>Karnataka</v>
      </c>
      <c r="AE252" t="str">
        <v>South</v>
      </c>
      <c r="AF252" t="str">
        <v>Groceries</v>
      </c>
      <c r="AG252" t="str">
        <v>Sugar</v>
      </c>
      <c r="AH252">
        <v>11</v>
      </c>
      <c r="AI252">
        <v>735.74</v>
      </c>
      <c r="AJ252">
        <v>8093.14</v>
      </c>
    </row>
    <row r="253" spans="1:36">
      <c r="A253" s="25">
        <v>45126</v>
      </c>
      <c r="B253" t="s">
        <v>1681</v>
      </c>
      <c r="C253" t="s">
        <v>1677</v>
      </c>
      <c r="D253" t="s">
        <v>1678</v>
      </c>
      <c r="E253" t="s">
        <v>1679</v>
      </c>
      <c r="F253" t="s">
        <v>101</v>
      </c>
      <c r="G253" t="s">
        <v>1715</v>
      </c>
      <c r="H253">
        <v>8</v>
      </c>
      <c r="I253">
        <v>1990</v>
      </c>
      <c r="J253">
        <v>15920</v>
      </c>
      <c r="AA253">
        <v>45256</v>
      </c>
      <c r="AB253" t="str">
        <v>Vihaan</v>
      </c>
      <c r="AC253" t="str">
        <v>Bengaluru</v>
      </c>
      <c r="AD253" t="str">
        <v>Karnataka</v>
      </c>
      <c r="AE253" t="str">
        <v>South</v>
      </c>
      <c r="AF253" t="str">
        <v>Groceries</v>
      </c>
      <c r="AG253" t="str">
        <v>Sugar</v>
      </c>
      <c r="AH253">
        <v>1</v>
      </c>
      <c r="AI253">
        <v>4555.42</v>
      </c>
      <c r="AJ253">
        <v>4555.42</v>
      </c>
    </row>
    <row r="254" spans="1:36">
      <c r="A254" s="25">
        <v>45014</v>
      </c>
      <c r="B254" t="s">
        <v>1676</v>
      </c>
      <c r="C254" t="s">
        <v>1677</v>
      </c>
      <c r="D254" t="s">
        <v>1678</v>
      </c>
      <c r="E254" t="s">
        <v>1679</v>
      </c>
      <c r="F254" t="s">
        <v>101</v>
      </c>
      <c r="G254" t="s">
        <v>1709</v>
      </c>
      <c r="H254">
        <v>8</v>
      </c>
      <c r="I254">
        <v>1807.67</v>
      </c>
      <c r="J254">
        <v>14461.36</v>
      </c>
      <c r="AA254">
        <v>45018</v>
      </c>
      <c r="AB254" t="str">
        <v>Vihaan</v>
      </c>
      <c r="AC254" t="str">
        <v>Bengaluru</v>
      </c>
      <c r="AD254" t="str">
        <v>Karnataka</v>
      </c>
      <c r="AE254" t="str">
        <v>South</v>
      </c>
      <c r="AF254" t="str">
        <v>Groceries</v>
      </c>
      <c r="AG254" t="str">
        <v>Sugar</v>
      </c>
      <c r="AH254">
        <v>3</v>
      </c>
      <c r="AI254">
        <v>1435.01</v>
      </c>
      <c r="AJ254">
        <v>4305.03</v>
      </c>
    </row>
    <row r="255" spans="1:36">
      <c r="A255" s="25">
        <v>44963</v>
      </c>
      <c r="B255" t="s">
        <v>1705</v>
      </c>
      <c r="C255" t="s">
        <v>1677</v>
      </c>
      <c r="D255" t="s">
        <v>1678</v>
      </c>
      <c r="E255" t="s">
        <v>1679</v>
      </c>
      <c r="F255" t="s">
        <v>101</v>
      </c>
      <c r="G255" t="s">
        <v>1715</v>
      </c>
      <c r="H255">
        <v>10</v>
      </c>
      <c r="I255">
        <v>1229.56</v>
      </c>
      <c r="J255">
        <v>12295.6</v>
      </c>
      <c r="AA255">
        <v>45088</v>
      </c>
      <c r="AB255" t="str">
        <v>Ananya</v>
      </c>
      <c r="AC255" t="str">
        <v>Bengaluru</v>
      </c>
      <c r="AD255" t="str">
        <v>Karnataka</v>
      </c>
      <c r="AE255" t="str">
        <v>South</v>
      </c>
      <c r="AF255" t="str">
        <v>Groceries</v>
      </c>
      <c r="AG255" t="str">
        <v>Lentils</v>
      </c>
      <c r="AH255">
        <v>1</v>
      </c>
      <c r="AI255">
        <v>2777.22</v>
      </c>
      <c r="AJ255">
        <v>2777.22</v>
      </c>
    </row>
    <row r="256" spans="1:36">
      <c r="A256" s="25">
        <v>44968</v>
      </c>
      <c r="B256" t="s">
        <v>1681</v>
      </c>
      <c r="C256" t="s">
        <v>1677</v>
      </c>
      <c r="D256" t="s">
        <v>1678</v>
      </c>
      <c r="E256" t="s">
        <v>1679</v>
      </c>
      <c r="F256" t="s">
        <v>101</v>
      </c>
      <c r="G256" t="s">
        <v>1709</v>
      </c>
      <c r="H256">
        <v>6</v>
      </c>
      <c r="I256">
        <v>1750.35</v>
      </c>
      <c r="J256">
        <v>10502.1</v>
      </c>
      <c r="AA256">
        <v>45222</v>
      </c>
      <c r="AB256" t="str">
        <v>Meera</v>
      </c>
      <c r="AC256" t="str">
        <v>Bengaluru</v>
      </c>
      <c r="AD256" t="str">
        <v>Karnataka</v>
      </c>
      <c r="AE256" t="str">
        <v>South</v>
      </c>
      <c r="AF256" t="str">
        <v>Groceries</v>
      </c>
      <c r="AG256" t="str">
        <v>Oil</v>
      </c>
      <c r="AH256">
        <v>9</v>
      </c>
      <c r="AI256">
        <v>209.57</v>
      </c>
      <c r="AJ256">
        <v>1886.13</v>
      </c>
    </row>
    <row r="257" spans="1:36">
      <c r="A257" s="25">
        <v>45105</v>
      </c>
      <c r="B257" t="s">
        <v>1705</v>
      </c>
      <c r="C257" t="s">
        <v>1677</v>
      </c>
      <c r="D257" t="s">
        <v>1678</v>
      </c>
      <c r="E257" t="s">
        <v>1679</v>
      </c>
      <c r="F257" t="s">
        <v>101</v>
      </c>
      <c r="G257" t="s">
        <v>1675</v>
      </c>
      <c r="H257">
        <v>3</v>
      </c>
      <c r="I257">
        <v>3276.84</v>
      </c>
      <c r="J257">
        <v>9830.52</v>
      </c>
      <c r="AA257">
        <v>45150</v>
      </c>
      <c r="AB257" t="str">
        <v>Kabir</v>
      </c>
      <c r="AC257" t="str">
        <v>Bengaluru</v>
      </c>
      <c r="AD257" t="str">
        <v>Karnataka</v>
      </c>
      <c r="AE257" t="str">
        <v>South</v>
      </c>
      <c r="AF257" t="str">
        <v>Groceries</v>
      </c>
      <c r="AG257" t="str">
        <v>Lentils</v>
      </c>
      <c r="AH257">
        <v>6</v>
      </c>
      <c r="AI257">
        <v>203.88</v>
      </c>
      <c r="AJ257">
        <v>1223.28</v>
      </c>
    </row>
    <row r="258" spans="1:36">
      <c r="A258" s="25">
        <v>45183</v>
      </c>
      <c r="B258" t="s">
        <v>1698</v>
      </c>
      <c r="C258" t="s">
        <v>1677</v>
      </c>
      <c r="D258" t="s">
        <v>1678</v>
      </c>
      <c r="E258" t="s">
        <v>1679</v>
      </c>
      <c r="F258" t="s">
        <v>101</v>
      </c>
      <c r="G258" t="s">
        <v>1709</v>
      </c>
      <c r="H258">
        <v>7</v>
      </c>
      <c r="I258">
        <v>1373.41</v>
      </c>
      <c r="J258">
        <v>9613.8700000000008</v>
      </c>
      <c r="AA258">
        <v>45107</v>
      </c>
      <c r="AB258" t="str">
        <v>Nishant</v>
      </c>
      <c r="AC258" t="str">
        <v>Bengaluru</v>
      </c>
      <c r="AD258" t="str">
        <v>Karnataka</v>
      </c>
      <c r="AE258" t="str">
        <v>South</v>
      </c>
      <c r="AF258" t="str">
        <v>Stationery</v>
      </c>
      <c r="AG258" t="str">
        <v>Pen</v>
      </c>
      <c r="AH258">
        <v>19</v>
      </c>
      <c r="AI258">
        <v>4364.6400000000003</v>
      </c>
      <c r="AJ258">
        <v>82928.160000000003</v>
      </c>
    </row>
    <row r="259" spans="1:36">
      <c r="A259" s="25">
        <v>45105</v>
      </c>
      <c r="B259" t="s">
        <v>1698</v>
      </c>
      <c r="C259" t="s">
        <v>1677</v>
      </c>
      <c r="D259" t="s">
        <v>1678</v>
      </c>
      <c r="E259" t="s">
        <v>1679</v>
      </c>
      <c r="F259" t="s">
        <v>101</v>
      </c>
      <c r="G259" t="s">
        <v>1715</v>
      </c>
      <c r="H259">
        <v>2</v>
      </c>
      <c r="I259">
        <v>3719.83</v>
      </c>
      <c r="J259">
        <v>7439.66</v>
      </c>
      <c r="AA259">
        <v>45091</v>
      </c>
      <c r="AB259" t="str">
        <v>Kabir</v>
      </c>
      <c r="AC259" t="str">
        <v>Bengaluru</v>
      </c>
      <c r="AD259" t="str">
        <v>Karnataka</v>
      </c>
      <c r="AE259" t="str">
        <v>South</v>
      </c>
      <c r="AF259" t="str">
        <v>Stationery</v>
      </c>
      <c r="AG259" t="str">
        <v>Pen</v>
      </c>
      <c r="AH259">
        <v>13</v>
      </c>
      <c r="AI259">
        <v>4621.13</v>
      </c>
      <c r="AJ259">
        <v>60074.69</v>
      </c>
    </row>
    <row r="260" spans="1:36">
      <c r="A260" s="25">
        <v>45246</v>
      </c>
      <c r="B260" t="s">
        <v>1700</v>
      </c>
      <c r="C260" t="s">
        <v>1677</v>
      </c>
      <c r="D260" t="s">
        <v>1678</v>
      </c>
      <c r="E260" t="s">
        <v>1679</v>
      </c>
      <c r="F260" t="s">
        <v>101</v>
      </c>
      <c r="G260" t="s">
        <v>1715</v>
      </c>
      <c r="H260">
        <v>14</v>
      </c>
      <c r="I260">
        <v>414.51</v>
      </c>
      <c r="J260">
        <v>5803.14</v>
      </c>
      <c r="AA260">
        <v>45036</v>
      </c>
      <c r="AB260" t="str">
        <v>Kabir</v>
      </c>
      <c r="AC260" t="str">
        <v>Bengaluru</v>
      </c>
      <c r="AD260" t="str">
        <v>Karnataka</v>
      </c>
      <c r="AE260" t="str">
        <v>South</v>
      </c>
      <c r="AF260" t="str">
        <v>Stationery</v>
      </c>
      <c r="AG260" t="str">
        <v>Eraser</v>
      </c>
      <c r="AH260">
        <v>16</v>
      </c>
      <c r="AI260">
        <v>2580.42</v>
      </c>
      <c r="AJ260">
        <v>41286.720000000001</v>
      </c>
    </row>
    <row r="261" spans="1:36">
      <c r="A261" s="25">
        <v>45044</v>
      </c>
      <c r="B261" t="s">
        <v>1681</v>
      </c>
      <c r="C261" t="s">
        <v>1677</v>
      </c>
      <c r="D261" t="s">
        <v>1678</v>
      </c>
      <c r="E261" t="s">
        <v>1679</v>
      </c>
      <c r="F261" t="s">
        <v>101</v>
      </c>
      <c r="G261" t="s">
        <v>1709</v>
      </c>
      <c r="H261">
        <v>20</v>
      </c>
      <c r="I261">
        <v>278.55</v>
      </c>
      <c r="J261">
        <v>5571</v>
      </c>
      <c r="AA261">
        <v>45054</v>
      </c>
      <c r="AB261" t="str">
        <v>Ishita</v>
      </c>
      <c r="AC261" t="str">
        <v>Bengaluru</v>
      </c>
      <c r="AD261" t="str">
        <v>Karnataka</v>
      </c>
      <c r="AE261" t="str">
        <v>South</v>
      </c>
      <c r="AF261" t="str">
        <v>Stationery</v>
      </c>
      <c r="AG261" t="str">
        <v>Pen</v>
      </c>
      <c r="AH261">
        <v>17</v>
      </c>
      <c r="AI261">
        <v>2339.5700000000002</v>
      </c>
      <c r="AJ261">
        <v>39772.69</v>
      </c>
    </row>
    <row r="262" spans="1:36">
      <c r="A262" s="25">
        <v>45203</v>
      </c>
      <c r="B262" t="s">
        <v>1686</v>
      </c>
      <c r="C262" t="s">
        <v>1677</v>
      </c>
      <c r="D262" t="s">
        <v>1678</v>
      </c>
      <c r="E262" t="s">
        <v>1679</v>
      </c>
      <c r="F262" t="s">
        <v>101</v>
      </c>
      <c r="G262" t="s">
        <v>1715</v>
      </c>
      <c r="H262">
        <v>3</v>
      </c>
      <c r="I262">
        <v>384.96</v>
      </c>
      <c r="J262">
        <v>1154.8800000000001</v>
      </c>
      <c r="AA262">
        <v>45022</v>
      </c>
      <c r="AB262" t="str">
        <v>Nishant</v>
      </c>
      <c r="AC262" t="str">
        <v>Bengaluru</v>
      </c>
      <c r="AD262" t="str">
        <v>Karnataka</v>
      </c>
      <c r="AE262" t="str">
        <v>South</v>
      </c>
      <c r="AF262" t="str">
        <v>Stationery</v>
      </c>
      <c r="AG262" t="str">
        <v>Ruler</v>
      </c>
      <c r="AH262">
        <v>11</v>
      </c>
      <c r="AI262">
        <v>3594.07</v>
      </c>
      <c r="AJ262">
        <v>39534.769999999997</v>
      </c>
    </row>
    <row r="263" spans="1:36">
      <c r="A263" s="25">
        <v>45044</v>
      </c>
      <c r="B263" t="s">
        <v>1686</v>
      </c>
      <c r="C263" t="s">
        <v>1677</v>
      </c>
      <c r="D263" t="s">
        <v>1678</v>
      </c>
      <c r="E263" t="s">
        <v>1679</v>
      </c>
      <c r="F263" t="s">
        <v>1687</v>
      </c>
      <c r="G263" t="s">
        <v>1710</v>
      </c>
      <c r="H263">
        <v>16</v>
      </c>
      <c r="I263">
        <v>4047.21</v>
      </c>
      <c r="J263">
        <v>64755.360000000001</v>
      </c>
      <c r="AA263">
        <v>44932</v>
      </c>
      <c r="AB263" t="str">
        <v>Aditi</v>
      </c>
      <c r="AC263" t="str">
        <v>Bengaluru</v>
      </c>
      <c r="AD263" t="str">
        <v>Karnataka</v>
      </c>
      <c r="AE263" t="str">
        <v>South</v>
      </c>
      <c r="AF263" t="str">
        <v>Stationery</v>
      </c>
      <c r="AG263" t="str">
        <v>Notebook</v>
      </c>
      <c r="AH263">
        <v>8</v>
      </c>
      <c r="AI263">
        <v>4786.4799999999996</v>
      </c>
      <c r="AJ263">
        <v>38291.839999999997</v>
      </c>
    </row>
    <row r="264" spans="1:36">
      <c r="A264" s="25">
        <v>44979</v>
      </c>
      <c r="B264" t="s">
        <v>1694</v>
      </c>
      <c r="C264" t="s">
        <v>1677</v>
      </c>
      <c r="D264" t="s">
        <v>1678</v>
      </c>
      <c r="E264" t="s">
        <v>1679</v>
      </c>
      <c r="F264" t="s">
        <v>1687</v>
      </c>
      <c r="G264" t="s">
        <v>1710</v>
      </c>
      <c r="H264">
        <v>14</v>
      </c>
      <c r="I264">
        <v>4532.88</v>
      </c>
      <c r="J264">
        <v>63460.32</v>
      </c>
      <c r="AA264">
        <v>45286</v>
      </c>
      <c r="AB264" t="str">
        <v>Ishita</v>
      </c>
      <c r="AC264" t="str">
        <v>Bengaluru</v>
      </c>
      <c r="AD264" t="str">
        <v>Karnataka</v>
      </c>
      <c r="AE264" t="str">
        <v>South</v>
      </c>
      <c r="AF264" t="str">
        <v>Stationery</v>
      </c>
      <c r="AG264" t="str">
        <v>Pen</v>
      </c>
      <c r="AH264">
        <v>8</v>
      </c>
      <c r="AI264">
        <v>4216.03</v>
      </c>
      <c r="AJ264">
        <v>33728.239999999998</v>
      </c>
    </row>
    <row r="265" spans="1:36">
      <c r="A265" s="25">
        <v>45110</v>
      </c>
      <c r="B265" t="s">
        <v>1694</v>
      </c>
      <c r="C265" t="s">
        <v>1677</v>
      </c>
      <c r="D265" t="s">
        <v>1678</v>
      </c>
      <c r="E265" t="s">
        <v>1679</v>
      </c>
      <c r="F265" t="s">
        <v>1687</v>
      </c>
      <c r="G265" t="s">
        <v>1710</v>
      </c>
      <c r="H265">
        <v>13</v>
      </c>
      <c r="I265">
        <v>4087.03</v>
      </c>
      <c r="J265">
        <v>53131.39</v>
      </c>
      <c r="AA265">
        <v>44928</v>
      </c>
      <c r="AB265" t="str">
        <v>Ananya</v>
      </c>
      <c r="AC265" t="str">
        <v>Bengaluru</v>
      </c>
      <c r="AD265" t="str">
        <v>Karnataka</v>
      </c>
      <c r="AE265" t="str">
        <v>South</v>
      </c>
      <c r="AF265" t="str">
        <v>Stationery</v>
      </c>
      <c r="AG265" t="str">
        <v>Notebook</v>
      </c>
      <c r="AH265">
        <v>15</v>
      </c>
      <c r="AI265">
        <v>1853</v>
      </c>
      <c r="AJ265">
        <v>27795</v>
      </c>
    </row>
    <row r="266" spans="1:36">
      <c r="A266" s="25">
        <v>45193</v>
      </c>
      <c r="B266" t="s">
        <v>1705</v>
      </c>
      <c r="C266" t="s">
        <v>1677</v>
      </c>
      <c r="D266" t="s">
        <v>1678</v>
      </c>
      <c r="E266" t="s">
        <v>1679</v>
      </c>
      <c r="F266" t="s">
        <v>1687</v>
      </c>
      <c r="G266" t="s">
        <v>1708</v>
      </c>
      <c r="H266">
        <v>11</v>
      </c>
      <c r="I266">
        <v>4446.37</v>
      </c>
      <c r="J266">
        <v>48910.07</v>
      </c>
      <c r="AA266">
        <v>45259</v>
      </c>
      <c r="AB266" t="str">
        <v>Aarav</v>
      </c>
      <c r="AC266" t="str">
        <v>Bengaluru</v>
      </c>
      <c r="AD266" t="str">
        <v>Karnataka</v>
      </c>
      <c r="AE266" t="str">
        <v>South</v>
      </c>
      <c r="AF266" t="str">
        <v>Stationery</v>
      </c>
      <c r="AG266" t="str">
        <v>Ruler</v>
      </c>
      <c r="AH266">
        <v>17</v>
      </c>
      <c r="AI266">
        <v>1294.56</v>
      </c>
      <c r="AJ266">
        <v>22007.52</v>
      </c>
    </row>
    <row r="267" spans="1:36">
      <c r="A267" s="25">
        <v>45221</v>
      </c>
      <c r="B267" t="s">
        <v>1676</v>
      </c>
      <c r="C267" t="s">
        <v>1677</v>
      </c>
      <c r="D267" t="s">
        <v>1678</v>
      </c>
      <c r="E267" t="s">
        <v>1679</v>
      </c>
      <c r="F267" t="s">
        <v>1687</v>
      </c>
      <c r="G267" t="s">
        <v>1688</v>
      </c>
      <c r="H267">
        <v>20</v>
      </c>
      <c r="I267">
        <v>2295.08</v>
      </c>
      <c r="J267">
        <v>45901.599999999999</v>
      </c>
      <c r="AA267">
        <v>45248</v>
      </c>
      <c r="AB267" t="str">
        <v>Ishita</v>
      </c>
      <c r="AC267" t="str">
        <v>Bengaluru</v>
      </c>
      <c r="AD267" t="str">
        <v>Karnataka</v>
      </c>
      <c r="AE267" t="str">
        <v>South</v>
      </c>
      <c r="AF267" t="str">
        <v>Stationery</v>
      </c>
      <c r="AG267" t="str">
        <v>Ruler</v>
      </c>
      <c r="AH267">
        <v>5</v>
      </c>
      <c r="AI267">
        <v>4252.84</v>
      </c>
      <c r="AJ267">
        <v>21264.2</v>
      </c>
    </row>
    <row r="268" spans="1:36">
      <c r="A268" s="25">
        <v>44976</v>
      </c>
      <c r="B268" t="s">
        <v>1671</v>
      </c>
      <c r="C268" t="s">
        <v>1677</v>
      </c>
      <c r="D268" t="s">
        <v>1678</v>
      </c>
      <c r="E268" t="s">
        <v>1679</v>
      </c>
      <c r="F268" t="s">
        <v>1687</v>
      </c>
      <c r="G268" t="s">
        <v>1710</v>
      </c>
      <c r="H268">
        <v>20</v>
      </c>
      <c r="I268">
        <v>1731.99</v>
      </c>
      <c r="J268">
        <v>34639.800000000003</v>
      </c>
      <c r="AA268">
        <v>45194</v>
      </c>
      <c r="AB268" t="str">
        <v>Ananya</v>
      </c>
      <c r="AC268" t="str">
        <v>Bengaluru</v>
      </c>
      <c r="AD268" t="str">
        <v>Karnataka</v>
      </c>
      <c r="AE268" t="str">
        <v>South</v>
      </c>
      <c r="AF268" t="str">
        <v>Stationery</v>
      </c>
      <c r="AG268" t="str">
        <v>Ruler</v>
      </c>
      <c r="AH268">
        <v>4</v>
      </c>
      <c r="AI268">
        <v>4837.17</v>
      </c>
      <c r="AJ268">
        <v>19348.68</v>
      </c>
    </row>
    <row r="269" spans="1:36">
      <c r="A269" s="25">
        <v>45115</v>
      </c>
      <c r="B269" t="s">
        <v>1700</v>
      </c>
      <c r="C269" t="s">
        <v>1677</v>
      </c>
      <c r="D269" t="s">
        <v>1678</v>
      </c>
      <c r="E269" t="s">
        <v>1679</v>
      </c>
      <c r="F269" t="s">
        <v>1687</v>
      </c>
      <c r="G269" t="s">
        <v>1708</v>
      </c>
      <c r="H269">
        <v>13</v>
      </c>
      <c r="I269">
        <v>2526.1999999999998</v>
      </c>
      <c r="J269">
        <v>32840.6</v>
      </c>
      <c r="AA269">
        <v>44959</v>
      </c>
      <c r="AB269" t="str">
        <v>Ananya</v>
      </c>
      <c r="AC269" t="str">
        <v>Bengaluru</v>
      </c>
      <c r="AD269" t="str">
        <v>Karnataka</v>
      </c>
      <c r="AE269" t="str">
        <v>South</v>
      </c>
      <c r="AF269" t="str">
        <v>Stationery</v>
      </c>
      <c r="AG269" t="str">
        <v>Ruler</v>
      </c>
      <c r="AH269">
        <v>5</v>
      </c>
      <c r="AI269">
        <v>3770.1</v>
      </c>
      <c r="AJ269">
        <v>18850.5</v>
      </c>
    </row>
    <row r="270" spans="1:36">
      <c r="A270" s="25">
        <v>45289</v>
      </c>
      <c r="B270" t="s">
        <v>1676</v>
      </c>
      <c r="C270" t="s">
        <v>1677</v>
      </c>
      <c r="D270" t="s">
        <v>1678</v>
      </c>
      <c r="E270" t="s">
        <v>1679</v>
      </c>
      <c r="F270" t="s">
        <v>1687</v>
      </c>
      <c r="G270" t="s">
        <v>1688</v>
      </c>
      <c r="H270">
        <v>10</v>
      </c>
      <c r="I270">
        <v>3031.91</v>
      </c>
      <c r="J270">
        <v>30319.1</v>
      </c>
      <c r="AA270">
        <v>45250</v>
      </c>
      <c r="AB270" t="str">
        <v>Kabir</v>
      </c>
      <c r="AC270" t="str">
        <v>Bengaluru</v>
      </c>
      <c r="AD270" t="str">
        <v>Karnataka</v>
      </c>
      <c r="AE270" t="str">
        <v>South</v>
      </c>
      <c r="AF270" t="str">
        <v>Stationery</v>
      </c>
      <c r="AG270" t="str">
        <v>Eraser</v>
      </c>
      <c r="AH270">
        <v>5</v>
      </c>
      <c r="AI270">
        <v>1593.02</v>
      </c>
      <c r="AJ270">
        <v>7965.1</v>
      </c>
    </row>
    <row r="271" spans="1:36">
      <c r="A271" s="25">
        <v>45286</v>
      </c>
      <c r="B271" t="s">
        <v>1694</v>
      </c>
      <c r="C271" t="s">
        <v>1677</v>
      </c>
      <c r="D271" t="s">
        <v>1678</v>
      </c>
      <c r="E271" t="s">
        <v>1679</v>
      </c>
      <c r="F271" t="s">
        <v>1687</v>
      </c>
      <c r="G271" t="s">
        <v>1688</v>
      </c>
      <c r="H271">
        <v>19</v>
      </c>
      <c r="I271">
        <v>1441.02</v>
      </c>
      <c r="J271">
        <v>27379.38</v>
      </c>
      <c r="AA271">
        <v>45017</v>
      </c>
      <c r="AB271" t="str">
        <v>Nishant</v>
      </c>
      <c r="AC271" t="str">
        <v>Bengaluru</v>
      </c>
      <c r="AD271" t="str">
        <v>Karnataka</v>
      </c>
      <c r="AE271" t="str">
        <v>South</v>
      </c>
      <c r="AF271" t="str">
        <v>Stationery</v>
      </c>
      <c r="AG271" t="str">
        <v>Notebook</v>
      </c>
      <c r="AH271">
        <v>13</v>
      </c>
      <c r="AI271">
        <v>513.05999999999995</v>
      </c>
      <c r="AJ271">
        <v>6669.78</v>
      </c>
    </row>
    <row r="272" spans="1:36">
      <c r="A272" s="25">
        <v>45255</v>
      </c>
      <c r="B272" t="s">
        <v>1698</v>
      </c>
      <c r="C272" t="s">
        <v>1677</v>
      </c>
      <c r="D272" t="s">
        <v>1678</v>
      </c>
      <c r="E272" t="s">
        <v>1679</v>
      </c>
      <c r="F272" t="s">
        <v>1687</v>
      </c>
      <c r="G272" t="s">
        <v>1704</v>
      </c>
      <c r="H272">
        <v>6</v>
      </c>
      <c r="I272">
        <v>4286.28</v>
      </c>
      <c r="J272">
        <v>25717.68</v>
      </c>
      <c r="AA272">
        <v>45108</v>
      </c>
      <c r="AB272" t="str">
        <v>Ananya</v>
      </c>
      <c r="AC272" t="str">
        <v>Bengaluru</v>
      </c>
      <c r="AD272" t="str">
        <v>Karnataka</v>
      </c>
      <c r="AE272" t="str">
        <v>South</v>
      </c>
      <c r="AF272" t="str">
        <v>Stationery</v>
      </c>
      <c r="AG272" t="str">
        <v>Eraser</v>
      </c>
      <c r="AH272">
        <v>1</v>
      </c>
      <c r="AI272">
        <v>1915.3</v>
      </c>
      <c r="AJ272">
        <v>1915.3</v>
      </c>
    </row>
    <row r="273" spans="1:36">
      <c r="A273" s="25">
        <v>45282</v>
      </c>
      <c r="B273" t="s">
        <v>1698</v>
      </c>
      <c r="C273" t="s">
        <v>1677</v>
      </c>
      <c r="D273" t="s">
        <v>1678</v>
      </c>
      <c r="E273" t="s">
        <v>1679</v>
      </c>
      <c r="F273" t="s">
        <v>1687</v>
      </c>
      <c r="G273" t="s">
        <v>1688</v>
      </c>
      <c r="H273">
        <v>4</v>
      </c>
      <c r="I273">
        <v>4724.33</v>
      </c>
      <c r="J273">
        <v>18897.32</v>
      </c>
      <c r="AA273">
        <v>45006</v>
      </c>
      <c r="AB273" t="str">
        <v>Kabir</v>
      </c>
      <c r="AC273" t="str">
        <v>Chennai</v>
      </c>
      <c r="AD273" t="str">
        <v>Tamil Nadu</v>
      </c>
      <c r="AE273" t="str">
        <v>South</v>
      </c>
      <c r="AF273" t="str">
        <v>Clothing</v>
      </c>
      <c r="AG273" t="str">
        <v>Dress</v>
      </c>
      <c r="AH273">
        <v>18</v>
      </c>
      <c r="AI273">
        <v>2971.68</v>
      </c>
      <c r="AJ273">
        <v>53490.239999999998</v>
      </c>
    </row>
    <row r="274" spans="1:36">
      <c r="A274" s="25">
        <v>45057</v>
      </c>
      <c r="B274" t="s">
        <v>1694</v>
      </c>
      <c r="C274" t="s">
        <v>1677</v>
      </c>
      <c r="D274" t="s">
        <v>1678</v>
      </c>
      <c r="E274" t="s">
        <v>1679</v>
      </c>
      <c r="F274" t="s">
        <v>1687</v>
      </c>
      <c r="G274" t="s">
        <v>1708</v>
      </c>
      <c r="H274">
        <v>15</v>
      </c>
      <c r="I274">
        <v>1197.31</v>
      </c>
      <c r="J274">
        <v>17959.650000000001</v>
      </c>
      <c r="AA274">
        <v>45051</v>
      </c>
      <c r="AB274" t="str">
        <v>Meera</v>
      </c>
      <c r="AC274" t="str">
        <v>Chennai</v>
      </c>
      <c r="AD274" t="str">
        <v>Tamil Nadu</v>
      </c>
      <c r="AE274" t="str">
        <v>South</v>
      </c>
      <c r="AF274" t="str">
        <v>Clothing</v>
      </c>
      <c r="AG274" t="str">
        <v>Jacket</v>
      </c>
      <c r="AH274">
        <v>19</v>
      </c>
      <c r="AI274">
        <v>2174.06</v>
      </c>
      <c r="AJ274">
        <v>41307.14</v>
      </c>
    </row>
    <row r="275" spans="1:36">
      <c r="A275" s="25">
        <v>45158</v>
      </c>
      <c r="B275" t="s">
        <v>1686</v>
      </c>
      <c r="C275" t="s">
        <v>1677</v>
      </c>
      <c r="D275" t="s">
        <v>1678</v>
      </c>
      <c r="E275" t="s">
        <v>1679</v>
      </c>
      <c r="F275" t="s">
        <v>1687</v>
      </c>
      <c r="G275" t="s">
        <v>1704</v>
      </c>
      <c r="H275">
        <v>11</v>
      </c>
      <c r="I275">
        <v>1527.71</v>
      </c>
      <c r="J275">
        <v>16804.810000000001</v>
      </c>
      <c r="AA275">
        <v>45125</v>
      </c>
      <c r="AB275" t="str">
        <v>Aryan</v>
      </c>
      <c r="AC275" t="str">
        <v>Chennai</v>
      </c>
      <c r="AD275" t="str">
        <v>Tamil Nadu</v>
      </c>
      <c r="AE275" t="str">
        <v>South</v>
      </c>
      <c r="AF275" t="str">
        <v>Clothing</v>
      </c>
      <c r="AG275" t="str">
        <v>Jacket</v>
      </c>
      <c r="AH275">
        <v>13</v>
      </c>
      <c r="AI275">
        <v>3101.42</v>
      </c>
      <c r="AJ275">
        <v>40318.46</v>
      </c>
    </row>
    <row r="276" spans="1:36">
      <c r="A276" s="25">
        <v>45232</v>
      </c>
      <c r="B276" t="s">
        <v>1689</v>
      </c>
      <c r="C276" t="s">
        <v>1677</v>
      </c>
      <c r="D276" t="s">
        <v>1678</v>
      </c>
      <c r="E276" t="s">
        <v>1679</v>
      </c>
      <c r="F276" t="s">
        <v>1687</v>
      </c>
      <c r="G276" t="s">
        <v>1710</v>
      </c>
      <c r="H276">
        <v>3</v>
      </c>
      <c r="I276">
        <v>4931.6899999999996</v>
      </c>
      <c r="J276">
        <v>14795.07</v>
      </c>
      <c r="AA276">
        <v>45071</v>
      </c>
      <c r="AB276" t="str">
        <v>Ananya</v>
      </c>
      <c r="AC276" t="str">
        <v>Chennai</v>
      </c>
      <c r="AD276" t="str">
        <v>Tamil Nadu</v>
      </c>
      <c r="AE276" t="str">
        <v>South</v>
      </c>
      <c r="AF276" t="str">
        <v>Clothing</v>
      </c>
      <c r="AG276" t="str">
        <v>Jacket</v>
      </c>
      <c r="AH276">
        <v>9</v>
      </c>
      <c r="AI276">
        <v>4218.3599999999997</v>
      </c>
      <c r="AJ276">
        <v>37965.24</v>
      </c>
    </row>
    <row r="277" spans="1:36">
      <c r="A277" s="25">
        <v>44960</v>
      </c>
      <c r="B277" t="s">
        <v>1705</v>
      </c>
      <c r="C277" t="s">
        <v>1677</v>
      </c>
      <c r="D277" t="s">
        <v>1678</v>
      </c>
      <c r="E277" t="s">
        <v>1679</v>
      </c>
      <c r="F277" t="s">
        <v>1687</v>
      </c>
      <c r="G277" t="s">
        <v>1688</v>
      </c>
      <c r="H277">
        <v>16</v>
      </c>
      <c r="I277">
        <v>827.8</v>
      </c>
      <c r="J277">
        <v>13244.8</v>
      </c>
      <c r="AA277">
        <v>45219</v>
      </c>
      <c r="AB277" t="str">
        <v>Vihaan</v>
      </c>
      <c r="AC277" t="str">
        <v>Chennai</v>
      </c>
      <c r="AD277" t="str">
        <v>Tamil Nadu</v>
      </c>
      <c r="AE277" t="str">
        <v>South</v>
      </c>
      <c r="AF277" t="str">
        <v>Clothing</v>
      </c>
      <c r="AG277" t="str">
        <v>Dress</v>
      </c>
      <c r="AH277">
        <v>17</v>
      </c>
      <c r="AI277">
        <v>2209.62</v>
      </c>
      <c r="AJ277">
        <v>37563.54</v>
      </c>
    </row>
    <row r="278" spans="1:36">
      <c r="A278" s="25">
        <v>44939</v>
      </c>
      <c r="B278" t="s">
        <v>1698</v>
      </c>
      <c r="C278" t="s">
        <v>1677</v>
      </c>
      <c r="D278" t="s">
        <v>1678</v>
      </c>
      <c r="E278" t="s">
        <v>1679</v>
      </c>
      <c r="F278" t="s">
        <v>1687</v>
      </c>
      <c r="G278" t="s">
        <v>1708</v>
      </c>
      <c r="H278">
        <v>14</v>
      </c>
      <c r="I278">
        <v>859.79</v>
      </c>
      <c r="J278">
        <v>12037.06</v>
      </c>
      <c r="AA278">
        <v>45148</v>
      </c>
      <c r="AB278" t="str">
        <v>Kabir</v>
      </c>
      <c r="AC278" t="str">
        <v>Chennai</v>
      </c>
      <c r="AD278" t="str">
        <v>Tamil Nadu</v>
      </c>
      <c r="AE278" t="str">
        <v>South</v>
      </c>
      <c r="AF278" t="str">
        <v>Clothing</v>
      </c>
      <c r="AG278" t="str">
        <v>Pants</v>
      </c>
      <c r="AH278">
        <v>7</v>
      </c>
      <c r="AI278">
        <v>4029.58</v>
      </c>
      <c r="AJ278">
        <v>28207.06</v>
      </c>
    </row>
    <row r="279" spans="1:36">
      <c r="A279" s="25">
        <v>45230</v>
      </c>
      <c r="B279" t="s">
        <v>1671</v>
      </c>
      <c r="C279" t="s">
        <v>1677</v>
      </c>
      <c r="D279" t="s">
        <v>1678</v>
      </c>
      <c r="E279" t="s">
        <v>1679</v>
      </c>
      <c r="F279" t="s">
        <v>1687</v>
      </c>
      <c r="G279" t="s">
        <v>1688</v>
      </c>
      <c r="H279">
        <v>6</v>
      </c>
      <c r="I279">
        <v>1105.03</v>
      </c>
      <c r="J279">
        <v>6630.18</v>
      </c>
      <c r="AA279">
        <v>44946</v>
      </c>
      <c r="AB279" t="str">
        <v>Riya</v>
      </c>
      <c r="AC279" t="str">
        <v>Chennai</v>
      </c>
      <c r="AD279" t="str">
        <v>Tamil Nadu</v>
      </c>
      <c r="AE279" t="str">
        <v>South</v>
      </c>
      <c r="AF279" t="str">
        <v>Clothing</v>
      </c>
      <c r="AG279" t="str">
        <v>Shirt</v>
      </c>
      <c r="AH279">
        <v>10</v>
      </c>
      <c r="AI279">
        <v>2469.04</v>
      </c>
      <c r="AJ279">
        <v>24690.400000000001</v>
      </c>
    </row>
    <row r="280" spans="1:36">
      <c r="A280" s="25">
        <v>45159</v>
      </c>
      <c r="B280" t="s">
        <v>1671</v>
      </c>
      <c r="C280" t="s">
        <v>1677</v>
      </c>
      <c r="D280" t="s">
        <v>1678</v>
      </c>
      <c r="E280" t="s">
        <v>1679</v>
      </c>
      <c r="F280" t="s">
        <v>1687</v>
      </c>
      <c r="G280" t="s">
        <v>1704</v>
      </c>
      <c r="H280">
        <v>6</v>
      </c>
      <c r="I280">
        <v>746.23</v>
      </c>
      <c r="J280">
        <v>4477.38</v>
      </c>
      <c r="AA280">
        <v>45252</v>
      </c>
      <c r="AB280" t="str">
        <v>Aditi</v>
      </c>
      <c r="AC280" t="str">
        <v>Chennai</v>
      </c>
      <c r="AD280" t="str">
        <v>Tamil Nadu</v>
      </c>
      <c r="AE280" t="str">
        <v>South</v>
      </c>
      <c r="AF280" t="str">
        <v>Clothing</v>
      </c>
      <c r="AG280" t="str">
        <v>Shirt</v>
      </c>
      <c r="AH280">
        <v>12</v>
      </c>
      <c r="AI280">
        <v>1794.88</v>
      </c>
      <c r="AJ280">
        <v>21538.560000000001</v>
      </c>
    </row>
    <row r="281" spans="1:36">
      <c r="A281" s="25">
        <v>45091</v>
      </c>
      <c r="B281" t="s">
        <v>1686</v>
      </c>
      <c r="C281" t="s">
        <v>1677</v>
      </c>
      <c r="D281" t="s">
        <v>1678</v>
      </c>
      <c r="E281" t="s">
        <v>1679</v>
      </c>
      <c r="F281" t="s">
        <v>1687</v>
      </c>
      <c r="G281" t="s">
        <v>1688</v>
      </c>
      <c r="H281">
        <v>6</v>
      </c>
      <c r="I281">
        <v>578.64</v>
      </c>
      <c r="J281">
        <v>3471.84</v>
      </c>
      <c r="AA281">
        <v>45067</v>
      </c>
      <c r="AB281" t="str">
        <v>Aarav</v>
      </c>
      <c r="AC281" t="str">
        <v>Chennai</v>
      </c>
      <c r="AD281" t="str">
        <v>Tamil Nadu</v>
      </c>
      <c r="AE281" t="str">
        <v>South</v>
      </c>
      <c r="AF281" t="str">
        <v>Clothing</v>
      </c>
      <c r="AG281" t="str">
        <v>Jacket</v>
      </c>
      <c r="AH281">
        <v>13</v>
      </c>
      <c r="AI281">
        <v>1406.82</v>
      </c>
      <c r="AJ281">
        <v>18288.66</v>
      </c>
    </row>
    <row r="282" spans="1:36">
      <c r="A282" s="25">
        <v>45201</v>
      </c>
      <c r="B282" t="s">
        <v>1671</v>
      </c>
      <c r="C282" t="s">
        <v>1677</v>
      </c>
      <c r="D282" t="s">
        <v>1678</v>
      </c>
      <c r="E282" t="s">
        <v>1679</v>
      </c>
      <c r="F282" t="s">
        <v>1687</v>
      </c>
      <c r="G282" t="s">
        <v>1704</v>
      </c>
      <c r="H282">
        <v>1</v>
      </c>
      <c r="I282">
        <v>414.64</v>
      </c>
      <c r="J282">
        <v>414.64</v>
      </c>
      <c r="AA282">
        <v>44972</v>
      </c>
      <c r="AB282" t="str">
        <v>Aditi</v>
      </c>
      <c r="AC282" t="str">
        <v>Chennai</v>
      </c>
      <c r="AD282" t="str">
        <v>Tamil Nadu</v>
      </c>
      <c r="AE282" t="str">
        <v>South</v>
      </c>
      <c r="AF282" t="str">
        <v>Clothing</v>
      </c>
      <c r="AG282" t="str">
        <v>Shirt</v>
      </c>
      <c r="AH282">
        <v>11</v>
      </c>
      <c r="AI282">
        <v>1634.39</v>
      </c>
      <c r="AJ282">
        <v>17978.29</v>
      </c>
    </row>
    <row r="283" spans="1:36">
      <c r="A283" s="25">
        <v>44986</v>
      </c>
      <c r="B283" t="s">
        <v>1681</v>
      </c>
      <c r="C283" t="s">
        <v>1677</v>
      </c>
      <c r="D283" t="s">
        <v>1678</v>
      </c>
      <c r="E283" t="s">
        <v>1679</v>
      </c>
      <c r="F283" t="s">
        <v>114</v>
      </c>
      <c r="G283" t="s">
        <v>1718</v>
      </c>
      <c r="H283">
        <v>19</v>
      </c>
      <c r="I283">
        <v>3990.16</v>
      </c>
      <c r="J283">
        <v>75813.039999999994</v>
      </c>
      <c r="AA283">
        <v>45002</v>
      </c>
      <c r="AB283" t="str">
        <v>Aryan</v>
      </c>
      <c r="AC283" t="str">
        <v>Chennai</v>
      </c>
      <c r="AD283" t="str">
        <v>Tamil Nadu</v>
      </c>
      <c r="AE283" t="str">
        <v>South</v>
      </c>
      <c r="AF283" t="str">
        <v>Clothing</v>
      </c>
      <c r="AG283" t="str">
        <v>Shirt</v>
      </c>
      <c r="AH283">
        <v>8</v>
      </c>
      <c r="AI283">
        <v>2240.2199999999998</v>
      </c>
      <c r="AJ283">
        <v>17921.759999999998</v>
      </c>
    </row>
    <row r="284" spans="1:36">
      <c r="A284" s="25">
        <v>45120</v>
      </c>
      <c r="B284" t="s">
        <v>1705</v>
      </c>
      <c r="C284" t="s">
        <v>1677</v>
      </c>
      <c r="D284" t="s">
        <v>1678</v>
      </c>
      <c r="E284" t="s">
        <v>1679</v>
      </c>
      <c r="F284" t="s">
        <v>114</v>
      </c>
      <c r="G284" t="s">
        <v>1712</v>
      </c>
      <c r="H284">
        <v>18</v>
      </c>
      <c r="I284">
        <v>4132.6899999999996</v>
      </c>
      <c r="J284">
        <v>74388.42</v>
      </c>
      <c r="AA284">
        <v>45026</v>
      </c>
      <c r="AB284" t="str">
        <v>Ananya</v>
      </c>
      <c r="AC284" t="str">
        <v>Chennai</v>
      </c>
      <c r="AD284" t="str">
        <v>Tamil Nadu</v>
      </c>
      <c r="AE284" t="str">
        <v>South</v>
      </c>
      <c r="AF284" t="str">
        <v>Clothing</v>
      </c>
      <c r="AG284" t="str">
        <v>Pants</v>
      </c>
      <c r="AH284">
        <v>4</v>
      </c>
      <c r="AI284">
        <v>3831.39</v>
      </c>
      <c r="AJ284">
        <v>15325.56</v>
      </c>
    </row>
    <row r="285" spans="1:36">
      <c r="A285" s="25">
        <v>45083</v>
      </c>
      <c r="B285" t="s">
        <v>1698</v>
      </c>
      <c r="C285" t="s">
        <v>1677</v>
      </c>
      <c r="D285" t="s">
        <v>1678</v>
      </c>
      <c r="E285" t="s">
        <v>1679</v>
      </c>
      <c r="F285" t="s">
        <v>114</v>
      </c>
      <c r="G285" t="s">
        <v>1691</v>
      </c>
      <c r="H285">
        <v>15</v>
      </c>
      <c r="I285">
        <v>4599.74</v>
      </c>
      <c r="J285">
        <v>68996.100000000006</v>
      </c>
      <c r="AA285">
        <v>45031</v>
      </c>
      <c r="AB285" t="str">
        <v>Ishita</v>
      </c>
      <c r="AC285" t="str">
        <v>Chennai</v>
      </c>
      <c r="AD285" t="str">
        <v>Tamil Nadu</v>
      </c>
      <c r="AE285" t="str">
        <v>South</v>
      </c>
      <c r="AF285" t="str">
        <v>Clothing</v>
      </c>
      <c r="AG285" t="str">
        <v>Dress</v>
      </c>
      <c r="AH285">
        <v>7</v>
      </c>
      <c r="AI285">
        <v>1233.6300000000001</v>
      </c>
      <c r="AJ285">
        <v>8635.41</v>
      </c>
    </row>
    <row r="286" spans="1:36">
      <c r="A286" s="25">
        <v>45009</v>
      </c>
      <c r="B286" t="s">
        <v>1698</v>
      </c>
      <c r="C286" t="s">
        <v>1677</v>
      </c>
      <c r="D286" t="s">
        <v>1678</v>
      </c>
      <c r="E286" t="s">
        <v>1679</v>
      </c>
      <c r="F286" t="s">
        <v>114</v>
      </c>
      <c r="G286" t="s">
        <v>1718</v>
      </c>
      <c r="H286">
        <v>11</v>
      </c>
      <c r="I286">
        <v>4382.91</v>
      </c>
      <c r="J286">
        <v>48212.01</v>
      </c>
      <c r="AA286">
        <v>44980</v>
      </c>
      <c r="AB286" t="str">
        <v>Ananya</v>
      </c>
      <c r="AC286" t="str">
        <v>Chennai</v>
      </c>
      <c r="AD286" t="str">
        <v>Tamil Nadu</v>
      </c>
      <c r="AE286" t="str">
        <v>South</v>
      </c>
      <c r="AF286" t="str">
        <v>Clothing</v>
      </c>
      <c r="AG286" t="str">
        <v>Shirt</v>
      </c>
      <c r="AH286">
        <v>2</v>
      </c>
      <c r="AI286">
        <v>4277.8999999999996</v>
      </c>
      <c r="AJ286">
        <v>8555.7999999999993</v>
      </c>
    </row>
    <row r="287" spans="1:36">
      <c r="A287" s="25">
        <v>45051</v>
      </c>
      <c r="B287" t="s">
        <v>1681</v>
      </c>
      <c r="C287" t="s">
        <v>1677</v>
      </c>
      <c r="D287" t="s">
        <v>1678</v>
      </c>
      <c r="E287" t="s">
        <v>1679</v>
      </c>
      <c r="F287" t="s">
        <v>114</v>
      </c>
      <c r="G287" t="s">
        <v>1712</v>
      </c>
      <c r="H287">
        <v>10</v>
      </c>
      <c r="I287">
        <v>3776.8</v>
      </c>
      <c r="J287">
        <v>37768</v>
      </c>
      <c r="AA287">
        <v>45214</v>
      </c>
      <c r="AB287" t="str">
        <v>Aditi</v>
      </c>
      <c r="AC287" t="str">
        <v>Chennai</v>
      </c>
      <c r="AD287" t="str">
        <v>Tamil Nadu</v>
      </c>
      <c r="AE287" t="str">
        <v>South</v>
      </c>
      <c r="AF287" t="str">
        <v>Clothing</v>
      </c>
      <c r="AG287" t="str">
        <v>Pants</v>
      </c>
      <c r="AH287">
        <v>10</v>
      </c>
      <c r="AI287">
        <v>651.83000000000004</v>
      </c>
      <c r="AJ287">
        <v>6518.3</v>
      </c>
    </row>
    <row r="288" spans="1:36">
      <c r="A288" s="25">
        <v>45231</v>
      </c>
      <c r="B288" t="s">
        <v>1676</v>
      </c>
      <c r="C288" t="s">
        <v>1677</v>
      </c>
      <c r="D288" t="s">
        <v>1678</v>
      </c>
      <c r="E288" t="s">
        <v>1679</v>
      </c>
      <c r="F288" t="s">
        <v>114</v>
      </c>
      <c r="G288" t="s">
        <v>1680</v>
      </c>
      <c r="H288">
        <v>9</v>
      </c>
      <c r="I288">
        <v>3801.85</v>
      </c>
      <c r="J288">
        <v>34216.65</v>
      </c>
      <c r="AA288">
        <v>44971</v>
      </c>
      <c r="AB288" t="str">
        <v>Meera</v>
      </c>
      <c r="AC288" t="str">
        <v>Chennai</v>
      </c>
      <c r="AD288" t="str">
        <v>Tamil Nadu</v>
      </c>
      <c r="AE288" t="str">
        <v>South</v>
      </c>
      <c r="AF288" t="str">
        <v>Clothing</v>
      </c>
      <c r="AG288" t="str">
        <v>Dress</v>
      </c>
      <c r="AH288">
        <v>5</v>
      </c>
      <c r="AI288">
        <v>850.9</v>
      </c>
      <c r="AJ288">
        <v>4254.5</v>
      </c>
    </row>
    <row r="289" spans="1:36">
      <c r="A289" s="25">
        <v>45044</v>
      </c>
      <c r="B289" t="s">
        <v>1686</v>
      </c>
      <c r="C289" t="s">
        <v>1677</v>
      </c>
      <c r="D289" t="s">
        <v>1678</v>
      </c>
      <c r="E289" t="s">
        <v>1679</v>
      </c>
      <c r="F289" t="s">
        <v>114</v>
      </c>
      <c r="G289" t="s">
        <v>1680</v>
      </c>
      <c r="H289">
        <v>18</v>
      </c>
      <c r="I289">
        <v>698.42</v>
      </c>
      <c r="J289">
        <v>12571.56</v>
      </c>
      <c r="AA289">
        <v>45206</v>
      </c>
      <c r="AB289" t="str">
        <v>Nishant</v>
      </c>
      <c r="AC289" t="str">
        <v>Chennai</v>
      </c>
      <c r="AD289" t="str">
        <v>Tamil Nadu</v>
      </c>
      <c r="AE289" t="str">
        <v>South</v>
      </c>
      <c r="AF289" t="str">
        <v>Electronics</v>
      </c>
      <c r="AG289" t="str">
        <v>Tablet</v>
      </c>
      <c r="AH289">
        <v>19</v>
      </c>
      <c r="AI289">
        <v>4996.28</v>
      </c>
      <c r="AJ289">
        <v>94929.32</v>
      </c>
    </row>
    <row r="290" spans="1:36">
      <c r="A290" s="25">
        <v>44943</v>
      </c>
      <c r="B290" t="s">
        <v>1698</v>
      </c>
      <c r="C290" t="s">
        <v>1701</v>
      </c>
      <c r="D290" t="s">
        <v>1702</v>
      </c>
      <c r="E290" t="s">
        <v>1703</v>
      </c>
      <c r="F290" t="s">
        <v>97</v>
      </c>
      <c r="G290" t="s">
        <v>1711</v>
      </c>
      <c r="H290">
        <v>15</v>
      </c>
      <c r="I290">
        <v>4060.63</v>
      </c>
      <c r="J290">
        <v>60909.45</v>
      </c>
      <c r="AA290">
        <v>44938</v>
      </c>
      <c r="AB290" t="str">
        <v>Riya</v>
      </c>
      <c r="AC290" t="str">
        <v>Chennai</v>
      </c>
      <c r="AD290" t="str">
        <v>Tamil Nadu</v>
      </c>
      <c r="AE290" t="str">
        <v>South</v>
      </c>
      <c r="AF290" t="str">
        <v>Electronics</v>
      </c>
      <c r="AG290" t="str">
        <v>Laptop</v>
      </c>
      <c r="AH290">
        <v>15</v>
      </c>
      <c r="AI290">
        <v>4316.17</v>
      </c>
      <c r="AJ290">
        <v>64742.55</v>
      </c>
    </row>
    <row r="291" spans="1:36">
      <c r="A291" s="25">
        <v>44947</v>
      </c>
      <c r="B291" t="s">
        <v>1705</v>
      </c>
      <c r="C291" t="s">
        <v>1701</v>
      </c>
      <c r="D291" t="s">
        <v>1702</v>
      </c>
      <c r="E291" t="s">
        <v>1703</v>
      </c>
      <c r="F291" t="s">
        <v>97</v>
      </c>
      <c r="G291" t="s">
        <v>1697</v>
      </c>
      <c r="H291">
        <v>15</v>
      </c>
      <c r="I291">
        <v>3765.36</v>
      </c>
      <c r="J291">
        <v>56480.4</v>
      </c>
      <c r="AA291">
        <v>45197</v>
      </c>
      <c r="AB291" t="str">
        <v>Aditi</v>
      </c>
      <c r="AC291" t="str">
        <v>Chennai</v>
      </c>
      <c r="AD291" t="str">
        <v>Tamil Nadu</v>
      </c>
      <c r="AE291" t="str">
        <v>South</v>
      </c>
      <c r="AF291" t="str">
        <v>Electronics</v>
      </c>
      <c r="AG291" t="str">
        <v>Smartphone</v>
      </c>
      <c r="AH291">
        <v>13</v>
      </c>
      <c r="AI291">
        <v>3520.87</v>
      </c>
      <c r="AJ291">
        <v>45771.31</v>
      </c>
    </row>
    <row r="292" spans="1:36">
      <c r="A292" s="25">
        <v>45121</v>
      </c>
      <c r="B292" t="s">
        <v>1689</v>
      </c>
      <c r="C292" t="s">
        <v>1701</v>
      </c>
      <c r="D292" t="s">
        <v>1702</v>
      </c>
      <c r="E292" t="s">
        <v>1703</v>
      </c>
      <c r="F292" t="s">
        <v>97</v>
      </c>
      <c r="G292" t="s">
        <v>1697</v>
      </c>
      <c r="H292">
        <v>8</v>
      </c>
      <c r="I292">
        <v>4930.67</v>
      </c>
      <c r="J292">
        <v>39445.360000000001</v>
      </c>
      <c r="AA292">
        <v>44961</v>
      </c>
      <c r="AB292" t="str">
        <v>Aryan</v>
      </c>
      <c r="AC292" t="str">
        <v>Chennai</v>
      </c>
      <c r="AD292" t="str">
        <v>Tamil Nadu</v>
      </c>
      <c r="AE292" t="str">
        <v>South</v>
      </c>
      <c r="AF292" t="str">
        <v>Electronics</v>
      </c>
      <c r="AG292" t="str">
        <v>Tablet</v>
      </c>
      <c r="AH292">
        <v>7</v>
      </c>
      <c r="AI292">
        <v>4988.71</v>
      </c>
      <c r="AJ292">
        <v>34920.97</v>
      </c>
    </row>
    <row r="293" spans="1:36">
      <c r="A293" s="25">
        <v>45062</v>
      </c>
      <c r="B293" t="s">
        <v>1681</v>
      </c>
      <c r="C293" t="s">
        <v>1701</v>
      </c>
      <c r="D293" t="s">
        <v>1702</v>
      </c>
      <c r="E293" t="s">
        <v>1703</v>
      </c>
      <c r="F293" t="s">
        <v>97</v>
      </c>
      <c r="G293" t="s">
        <v>1685</v>
      </c>
      <c r="H293">
        <v>11</v>
      </c>
      <c r="I293">
        <v>2212.9</v>
      </c>
      <c r="J293">
        <v>24341.9</v>
      </c>
      <c r="AA293">
        <v>45111</v>
      </c>
      <c r="AB293" t="str">
        <v>Ishita</v>
      </c>
      <c r="AC293" t="str">
        <v>Chennai</v>
      </c>
      <c r="AD293" t="str">
        <v>Tamil Nadu</v>
      </c>
      <c r="AE293" t="str">
        <v>South</v>
      </c>
      <c r="AF293" t="str">
        <v>Electronics</v>
      </c>
      <c r="AG293" t="str">
        <v>Headphones</v>
      </c>
      <c r="AH293">
        <v>14</v>
      </c>
      <c r="AI293">
        <v>2161.65</v>
      </c>
      <c r="AJ293">
        <v>30263.1</v>
      </c>
    </row>
    <row r="294" spans="1:36">
      <c r="A294" s="25">
        <v>45258</v>
      </c>
      <c r="B294" t="s">
        <v>1692</v>
      </c>
      <c r="C294" t="s">
        <v>1701</v>
      </c>
      <c r="D294" t="s">
        <v>1702</v>
      </c>
      <c r="E294" t="s">
        <v>1703</v>
      </c>
      <c r="F294" t="s">
        <v>97</v>
      </c>
      <c r="G294" t="s">
        <v>1699</v>
      </c>
      <c r="H294">
        <v>9</v>
      </c>
      <c r="I294">
        <v>2634.14</v>
      </c>
      <c r="J294">
        <v>23707.26</v>
      </c>
      <c r="AA294">
        <v>45112</v>
      </c>
      <c r="AB294" t="str">
        <v>Aryan</v>
      </c>
      <c r="AC294" t="str">
        <v>Chennai</v>
      </c>
      <c r="AD294" t="str">
        <v>Tamil Nadu</v>
      </c>
      <c r="AE294" t="str">
        <v>South</v>
      </c>
      <c r="AF294" t="str">
        <v>Electronics</v>
      </c>
      <c r="AG294" t="str">
        <v>Tablet</v>
      </c>
      <c r="AH294">
        <v>18</v>
      </c>
      <c r="AI294">
        <v>1599.01</v>
      </c>
      <c r="AJ294">
        <v>28782.18</v>
      </c>
    </row>
    <row r="295" spans="1:36">
      <c r="A295" s="25">
        <v>45258</v>
      </c>
      <c r="B295" t="s">
        <v>1692</v>
      </c>
      <c r="C295" t="s">
        <v>1701</v>
      </c>
      <c r="D295" t="s">
        <v>1702</v>
      </c>
      <c r="E295" t="s">
        <v>1703</v>
      </c>
      <c r="F295" t="s">
        <v>97</v>
      </c>
      <c r="G295" t="s">
        <v>1699</v>
      </c>
      <c r="H295">
        <v>12</v>
      </c>
      <c r="I295">
        <v>1958.77</v>
      </c>
      <c r="J295">
        <v>23505.24</v>
      </c>
      <c r="AA295">
        <v>45230</v>
      </c>
      <c r="AB295" t="str">
        <v>Meera</v>
      </c>
      <c r="AC295" t="str">
        <v>Chennai</v>
      </c>
      <c r="AD295" t="str">
        <v>Tamil Nadu</v>
      </c>
      <c r="AE295" t="str">
        <v>South</v>
      </c>
      <c r="AF295" t="str">
        <v>Electronics</v>
      </c>
      <c r="AG295" t="str">
        <v>Headphones</v>
      </c>
      <c r="AH295">
        <v>12</v>
      </c>
      <c r="AI295">
        <v>1982.64</v>
      </c>
      <c r="AJ295">
        <v>23791.68</v>
      </c>
    </row>
    <row r="296" spans="1:36">
      <c r="A296" s="25">
        <v>45076</v>
      </c>
      <c r="B296" t="s">
        <v>1689</v>
      </c>
      <c r="C296" t="s">
        <v>1701</v>
      </c>
      <c r="D296" t="s">
        <v>1702</v>
      </c>
      <c r="E296" t="s">
        <v>1703</v>
      </c>
      <c r="F296" t="s">
        <v>97</v>
      </c>
      <c r="G296" t="s">
        <v>1699</v>
      </c>
      <c r="H296">
        <v>5</v>
      </c>
      <c r="I296">
        <v>3395.71</v>
      </c>
      <c r="J296">
        <v>16978.55</v>
      </c>
      <c r="AA296">
        <v>45266</v>
      </c>
      <c r="AB296" t="str">
        <v>Vihaan</v>
      </c>
      <c r="AC296" t="str">
        <v>Chennai</v>
      </c>
      <c r="AD296" t="str">
        <v>Tamil Nadu</v>
      </c>
      <c r="AE296" t="str">
        <v>South</v>
      </c>
      <c r="AF296" t="str">
        <v>Electronics</v>
      </c>
      <c r="AG296" t="str">
        <v>Headphones</v>
      </c>
      <c r="AH296">
        <v>18</v>
      </c>
      <c r="AI296">
        <v>1039.3800000000001</v>
      </c>
      <c r="AJ296">
        <v>18708.84</v>
      </c>
    </row>
    <row r="297" spans="1:36">
      <c r="A297" s="25">
        <v>45243</v>
      </c>
      <c r="B297" t="s">
        <v>1694</v>
      </c>
      <c r="C297" t="s">
        <v>1701</v>
      </c>
      <c r="D297" t="s">
        <v>1702</v>
      </c>
      <c r="E297" t="s">
        <v>1703</v>
      </c>
      <c r="F297" t="s">
        <v>97</v>
      </c>
      <c r="G297" t="s">
        <v>1685</v>
      </c>
      <c r="H297">
        <v>7</v>
      </c>
      <c r="I297">
        <v>1628.68</v>
      </c>
      <c r="J297">
        <v>11400.76</v>
      </c>
      <c r="AA297">
        <v>45109</v>
      </c>
      <c r="AB297" t="str">
        <v>Aditi</v>
      </c>
      <c r="AC297" t="str">
        <v>Chennai</v>
      </c>
      <c r="AD297" t="str">
        <v>Tamil Nadu</v>
      </c>
      <c r="AE297" t="str">
        <v>South</v>
      </c>
      <c r="AF297" t="str">
        <v>Electronics</v>
      </c>
      <c r="AG297" t="str">
        <v>Laptop</v>
      </c>
      <c r="AH297">
        <v>6</v>
      </c>
      <c r="AI297">
        <v>2862.86</v>
      </c>
      <c r="AJ297">
        <v>17177.16</v>
      </c>
    </row>
    <row r="298" spans="1:36">
      <c r="A298" s="25">
        <v>45145</v>
      </c>
      <c r="B298" t="s">
        <v>1694</v>
      </c>
      <c r="C298" t="s">
        <v>1701</v>
      </c>
      <c r="D298" t="s">
        <v>1702</v>
      </c>
      <c r="E298" t="s">
        <v>1703</v>
      </c>
      <c r="F298" t="s">
        <v>97</v>
      </c>
      <c r="G298" t="s">
        <v>1697</v>
      </c>
      <c r="H298">
        <v>3</v>
      </c>
      <c r="I298">
        <v>2488.34</v>
      </c>
      <c r="J298">
        <v>7465.02</v>
      </c>
      <c r="AA298">
        <v>45143</v>
      </c>
      <c r="AB298" t="str">
        <v>Aryan</v>
      </c>
      <c r="AC298" t="str">
        <v>Chennai</v>
      </c>
      <c r="AD298" t="str">
        <v>Tamil Nadu</v>
      </c>
      <c r="AE298" t="str">
        <v>South</v>
      </c>
      <c r="AF298" t="str">
        <v>Electronics</v>
      </c>
      <c r="AG298" t="str">
        <v>Tablet</v>
      </c>
      <c r="AH298">
        <v>4</v>
      </c>
      <c r="AI298">
        <v>4062.52</v>
      </c>
      <c r="AJ298">
        <v>16250.08</v>
      </c>
    </row>
    <row r="299" spans="1:36">
      <c r="A299" s="25">
        <v>44993</v>
      </c>
      <c r="B299" t="s">
        <v>1681</v>
      </c>
      <c r="C299" t="s">
        <v>1701</v>
      </c>
      <c r="D299" t="s">
        <v>1702</v>
      </c>
      <c r="E299" t="s">
        <v>1703</v>
      </c>
      <c r="F299" t="s">
        <v>97</v>
      </c>
      <c r="G299" t="s">
        <v>1685</v>
      </c>
      <c r="H299">
        <v>14</v>
      </c>
      <c r="I299">
        <v>271.27</v>
      </c>
      <c r="J299">
        <v>3797.78</v>
      </c>
      <c r="AA299">
        <v>45273</v>
      </c>
      <c r="AB299" t="str">
        <v>Riya</v>
      </c>
      <c r="AC299" t="str">
        <v>Chennai</v>
      </c>
      <c r="AD299" t="str">
        <v>Tamil Nadu</v>
      </c>
      <c r="AE299" t="str">
        <v>South</v>
      </c>
      <c r="AF299" t="str">
        <v>Electronics</v>
      </c>
      <c r="AG299" t="str">
        <v>Tablet</v>
      </c>
      <c r="AH299">
        <v>3</v>
      </c>
      <c r="AI299">
        <v>3102.92</v>
      </c>
      <c r="AJ299">
        <v>9308.76</v>
      </c>
    </row>
    <row r="300" spans="1:36">
      <c r="A300" s="25">
        <v>45257</v>
      </c>
      <c r="B300" t="s">
        <v>1705</v>
      </c>
      <c r="C300" t="s">
        <v>1701</v>
      </c>
      <c r="D300" t="s">
        <v>1702</v>
      </c>
      <c r="E300" t="s">
        <v>1703</v>
      </c>
      <c r="F300" t="s">
        <v>97</v>
      </c>
      <c r="G300" t="s">
        <v>1697</v>
      </c>
      <c r="H300">
        <v>20</v>
      </c>
      <c r="I300">
        <v>138.6</v>
      </c>
      <c r="J300">
        <v>2772</v>
      </c>
      <c r="AA300">
        <v>45237</v>
      </c>
      <c r="AB300" t="str">
        <v>Ishita</v>
      </c>
      <c r="AC300" t="str">
        <v>Chennai</v>
      </c>
      <c r="AD300" t="str">
        <v>Tamil Nadu</v>
      </c>
      <c r="AE300" t="str">
        <v>South</v>
      </c>
      <c r="AF300" t="str">
        <v>Electronics</v>
      </c>
      <c r="AG300" t="str">
        <v>Laptop</v>
      </c>
      <c r="AH300">
        <v>5</v>
      </c>
      <c r="AI300">
        <v>1488.21</v>
      </c>
      <c r="AJ300">
        <v>7441.05</v>
      </c>
    </row>
    <row r="301" spans="1:36">
      <c r="A301" s="25">
        <v>45148</v>
      </c>
      <c r="B301" t="s">
        <v>1689</v>
      </c>
      <c r="C301" t="s">
        <v>1701</v>
      </c>
      <c r="D301" t="s">
        <v>1702</v>
      </c>
      <c r="E301" t="s">
        <v>1703</v>
      </c>
      <c r="F301" t="s">
        <v>97</v>
      </c>
      <c r="G301" t="s">
        <v>1685</v>
      </c>
      <c r="H301">
        <v>17</v>
      </c>
      <c r="I301">
        <v>102.62</v>
      </c>
      <c r="J301">
        <v>1744.54</v>
      </c>
      <c r="AA301">
        <v>45214</v>
      </c>
      <c r="AB301" t="str">
        <v>Kabir</v>
      </c>
      <c r="AC301" t="str">
        <v>Chennai</v>
      </c>
      <c r="AD301" t="str">
        <v>Tamil Nadu</v>
      </c>
      <c r="AE301" t="str">
        <v>South</v>
      </c>
      <c r="AF301" t="str">
        <v>Electronics</v>
      </c>
      <c r="AG301" t="str">
        <v>Tablet</v>
      </c>
      <c r="AH301">
        <v>4</v>
      </c>
      <c r="AI301">
        <v>1241.21</v>
      </c>
      <c r="AJ301">
        <v>4964.84</v>
      </c>
    </row>
    <row r="302" spans="1:36">
      <c r="A302" s="25">
        <v>45211</v>
      </c>
      <c r="B302" t="s">
        <v>1671</v>
      </c>
      <c r="C302" t="s">
        <v>1701</v>
      </c>
      <c r="D302" t="s">
        <v>1702</v>
      </c>
      <c r="E302" t="s">
        <v>1703</v>
      </c>
      <c r="F302" t="s">
        <v>89</v>
      </c>
      <c r="G302" t="s">
        <v>1714</v>
      </c>
      <c r="H302">
        <v>20</v>
      </c>
      <c r="I302">
        <v>4049.4</v>
      </c>
      <c r="J302">
        <v>80988</v>
      </c>
      <c r="AA302">
        <v>45189</v>
      </c>
      <c r="AB302" t="str">
        <v>Ishita</v>
      </c>
      <c r="AC302" t="str">
        <v>Chennai</v>
      </c>
      <c r="AD302" t="str">
        <v>Tamil Nadu</v>
      </c>
      <c r="AE302" t="str">
        <v>South</v>
      </c>
      <c r="AF302" t="str">
        <v>Electronics</v>
      </c>
      <c r="AG302" t="str">
        <v>Tablet</v>
      </c>
      <c r="AH302">
        <v>1</v>
      </c>
      <c r="AI302">
        <v>4175.7</v>
      </c>
      <c r="AJ302">
        <v>4175.7</v>
      </c>
    </row>
    <row r="303" spans="1:36">
      <c r="A303" s="25">
        <v>45090</v>
      </c>
      <c r="B303" t="s">
        <v>1705</v>
      </c>
      <c r="C303" t="s">
        <v>1701</v>
      </c>
      <c r="D303" t="s">
        <v>1702</v>
      </c>
      <c r="E303" t="s">
        <v>1703</v>
      </c>
      <c r="F303" t="s">
        <v>89</v>
      </c>
      <c r="G303" t="s">
        <v>1106</v>
      </c>
      <c r="H303">
        <v>15</v>
      </c>
      <c r="I303">
        <v>4554.78</v>
      </c>
      <c r="J303">
        <v>68321.7</v>
      </c>
      <c r="AA303">
        <v>45013</v>
      </c>
      <c r="AB303" t="str">
        <v>Ishita</v>
      </c>
      <c r="AC303" t="str">
        <v>Chennai</v>
      </c>
      <c r="AD303" t="str">
        <v>Tamil Nadu</v>
      </c>
      <c r="AE303" t="str">
        <v>South</v>
      </c>
      <c r="AF303" t="str">
        <v>Electronics</v>
      </c>
      <c r="AG303" t="str">
        <v>Laptop</v>
      </c>
      <c r="AH303">
        <v>1</v>
      </c>
      <c r="AI303">
        <v>2918.29</v>
      </c>
      <c r="AJ303">
        <v>2918.29</v>
      </c>
    </row>
    <row r="304" spans="1:36">
      <c r="A304" s="25">
        <v>45223</v>
      </c>
      <c r="B304" t="s">
        <v>1692</v>
      </c>
      <c r="C304" t="s">
        <v>1701</v>
      </c>
      <c r="D304" t="s">
        <v>1702</v>
      </c>
      <c r="E304" t="s">
        <v>1703</v>
      </c>
      <c r="F304" t="s">
        <v>89</v>
      </c>
      <c r="G304" t="s">
        <v>1713</v>
      </c>
      <c r="H304">
        <v>16</v>
      </c>
      <c r="I304">
        <v>3337.15</v>
      </c>
      <c r="J304">
        <v>53394.400000000001</v>
      </c>
      <c r="AA304">
        <v>44944</v>
      </c>
      <c r="AB304" t="str">
        <v>Aarav</v>
      </c>
      <c r="AC304" t="str">
        <v>Chennai</v>
      </c>
      <c r="AD304" t="str">
        <v>Tamil Nadu</v>
      </c>
      <c r="AE304" t="str">
        <v>South</v>
      </c>
      <c r="AF304" t="str">
        <v>Electronics</v>
      </c>
      <c r="AG304" t="str">
        <v>Laptop</v>
      </c>
      <c r="AH304">
        <v>1</v>
      </c>
      <c r="AI304">
        <v>1811.76</v>
      </c>
      <c r="AJ304">
        <v>1811.76</v>
      </c>
    </row>
    <row r="305" spans="1:36">
      <c r="A305" s="25">
        <v>45004</v>
      </c>
      <c r="B305" t="s">
        <v>1689</v>
      </c>
      <c r="C305" t="s">
        <v>1701</v>
      </c>
      <c r="D305" t="s">
        <v>1702</v>
      </c>
      <c r="E305" t="s">
        <v>1703</v>
      </c>
      <c r="F305" t="s">
        <v>89</v>
      </c>
      <c r="G305" t="s">
        <v>1105</v>
      </c>
      <c r="H305">
        <v>19</v>
      </c>
      <c r="I305">
        <v>2006.79</v>
      </c>
      <c r="J305">
        <v>38129.01</v>
      </c>
      <c r="AA305">
        <v>44989</v>
      </c>
      <c r="AB305" t="str">
        <v>Aryan</v>
      </c>
      <c r="AC305" t="str">
        <v>Chennai</v>
      </c>
      <c r="AD305" t="str">
        <v>Tamil Nadu</v>
      </c>
      <c r="AE305" t="str">
        <v>South</v>
      </c>
      <c r="AF305" t="str">
        <v>Furniture</v>
      </c>
      <c r="AG305" t="str">
        <v>Chair</v>
      </c>
      <c r="AH305">
        <v>16</v>
      </c>
      <c r="AI305">
        <v>4817.63</v>
      </c>
      <c r="AJ305">
        <v>77082.080000000002</v>
      </c>
    </row>
    <row r="306" spans="1:36">
      <c r="A306" s="25">
        <v>44977</v>
      </c>
      <c r="B306" t="s">
        <v>1676</v>
      </c>
      <c r="C306" t="s">
        <v>1701</v>
      </c>
      <c r="D306" t="s">
        <v>1702</v>
      </c>
      <c r="E306" t="s">
        <v>1703</v>
      </c>
      <c r="F306" t="s">
        <v>89</v>
      </c>
      <c r="G306" t="s">
        <v>1105</v>
      </c>
      <c r="H306">
        <v>10</v>
      </c>
      <c r="I306">
        <v>3633.26</v>
      </c>
      <c r="J306">
        <v>36332.6</v>
      </c>
      <c r="AA306">
        <v>45254</v>
      </c>
      <c r="AB306" t="str">
        <v>Aarav</v>
      </c>
      <c r="AC306" t="str">
        <v>Chennai</v>
      </c>
      <c r="AD306" t="str">
        <v>Tamil Nadu</v>
      </c>
      <c r="AE306" t="str">
        <v>South</v>
      </c>
      <c r="AF306" t="str">
        <v>Furniture</v>
      </c>
      <c r="AG306" t="str">
        <v>Chair</v>
      </c>
      <c r="AH306">
        <v>17</v>
      </c>
      <c r="AI306">
        <v>2246.8200000000002</v>
      </c>
      <c r="AJ306">
        <v>38195.94</v>
      </c>
    </row>
    <row r="307" spans="1:36">
      <c r="A307" s="25">
        <v>45041</v>
      </c>
      <c r="B307" t="s">
        <v>1689</v>
      </c>
      <c r="C307" t="s">
        <v>1701</v>
      </c>
      <c r="D307" t="s">
        <v>1702</v>
      </c>
      <c r="E307" t="s">
        <v>1703</v>
      </c>
      <c r="F307" t="s">
        <v>89</v>
      </c>
      <c r="G307" t="s">
        <v>1713</v>
      </c>
      <c r="H307">
        <v>7</v>
      </c>
      <c r="I307">
        <v>4933.0600000000004</v>
      </c>
      <c r="J307">
        <v>34531.42</v>
      </c>
      <c r="AA307">
        <v>44933</v>
      </c>
      <c r="AB307" t="str">
        <v>Meera</v>
      </c>
      <c r="AC307" t="str">
        <v>Chennai</v>
      </c>
      <c r="AD307" t="str">
        <v>Tamil Nadu</v>
      </c>
      <c r="AE307" t="str">
        <v>South</v>
      </c>
      <c r="AF307" t="str">
        <v>Furniture</v>
      </c>
      <c r="AG307" t="str">
        <v>Chair</v>
      </c>
      <c r="AH307">
        <v>8</v>
      </c>
      <c r="AI307">
        <v>4021.86</v>
      </c>
      <c r="AJ307">
        <v>32174.880000000001</v>
      </c>
    </row>
    <row r="308" spans="1:36">
      <c r="A308" s="25">
        <v>44998</v>
      </c>
      <c r="B308" t="s">
        <v>1676</v>
      </c>
      <c r="C308" t="s">
        <v>1701</v>
      </c>
      <c r="D308" t="s">
        <v>1702</v>
      </c>
      <c r="E308" t="s">
        <v>1703</v>
      </c>
      <c r="F308" t="s">
        <v>89</v>
      </c>
      <c r="G308" t="s">
        <v>1105</v>
      </c>
      <c r="H308">
        <v>20</v>
      </c>
      <c r="I308">
        <v>1637.44</v>
      </c>
      <c r="J308">
        <v>32748.799999999999</v>
      </c>
      <c r="AA308">
        <v>45247</v>
      </c>
      <c r="AB308" t="str">
        <v>Nishant</v>
      </c>
      <c r="AC308" t="str">
        <v>Chennai</v>
      </c>
      <c r="AD308" t="str">
        <v>Tamil Nadu</v>
      </c>
      <c r="AE308" t="str">
        <v>South</v>
      </c>
      <c r="AF308" t="str">
        <v>Furniture</v>
      </c>
      <c r="AG308" t="str">
        <v>Table</v>
      </c>
      <c r="AH308">
        <v>10</v>
      </c>
      <c r="AI308">
        <v>2754.3</v>
      </c>
      <c r="AJ308">
        <v>27543</v>
      </c>
    </row>
    <row r="309" spans="1:36">
      <c r="A309" s="25">
        <v>44988</v>
      </c>
      <c r="B309" t="s">
        <v>1694</v>
      </c>
      <c r="C309" t="s">
        <v>1701</v>
      </c>
      <c r="D309" t="s">
        <v>1702</v>
      </c>
      <c r="E309" t="s">
        <v>1703</v>
      </c>
      <c r="F309" t="s">
        <v>89</v>
      </c>
      <c r="G309" t="s">
        <v>1106</v>
      </c>
      <c r="H309">
        <v>9</v>
      </c>
      <c r="I309">
        <v>3122.72</v>
      </c>
      <c r="J309">
        <v>28104.48</v>
      </c>
      <c r="AA309">
        <v>45270</v>
      </c>
      <c r="AB309" t="str">
        <v>Ananya</v>
      </c>
      <c r="AC309" t="str">
        <v>Chennai</v>
      </c>
      <c r="AD309" t="str">
        <v>Tamil Nadu</v>
      </c>
      <c r="AE309" t="str">
        <v>South</v>
      </c>
      <c r="AF309" t="str">
        <v>Furniture</v>
      </c>
      <c r="AG309" t="str">
        <v>Chair</v>
      </c>
      <c r="AH309">
        <v>12</v>
      </c>
      <c r="AI309">
        <v>1799.38</v>
      </c>
      <c r="AJ309">
        <v>21592.560000000001</v>
      </c>
    </row>
    <row r="310" spans="1:36">
      <c r="A310" s="25">
        <v>45089</v>
      </c>
      <c r="B310" t="s">
        <v>1689</v>
      </c>
      <c r="C310" t="s">
        <v>1701</v>
      </c>
      <c r="D310" t="s">
        <v>1702</v>
      </c>
      <c r="E310" t="s">
        <v>1703</v>
      </c>
      <c r="F310" t="s">
        <v>89</v>
      </c>
      <c r="G310" t="s">
        <v>1105</v>
      </c>
      <c r="H310">
        <v>17</v>
      </c>
      <c r="I310">
        <v>1574.45</v>
      </c>
      <c r="J310">
        <v>26765.65</v>
      </c>
      <c r="AA310">
        <v>45049</v>
      </c>
      <c r="AB310" t="str">
        <v>Riya</v>
      </c>
      <c r="AC310" t="str">
        <v>Chennai</v>
      </c>
      <c r="AD310" t="str">
        <v>Tamil Nadu</v>
      </c>
      <c r="AE310" t="str">
        <v>South</v>
      </c>
      <c r="AF310" t="str">
        <v>Furniture</v>
      </c>
      <c r="AG310" t="str">
        <v>Chair</v>
      </c>
      <c r="AH310">
        <v>13</v>
      </c>
      <c r="AI310">
        <v>1330.85</v>
      </c>
      <c r="AJ310">
        <v>17301.05</v>
      </c>
    </row>
    <row r="311" spans="1:36">
      <c r="A311" s="25">
        <v>45091</v>
      </c>
      <c r="B311" t="s">
        <v>1705</v>
      </c>
      <c r="C311" t="s">
        <v>1701</v>
      </c>
      <c r="D311" t="s">
        <v>1702</v>
      </c>
      <c r="E311" t="s">
        <v>1703</v>
      </c>
      <c r="F311" t="s">
        <v>89</v>
      </c>
      <c r="G311" t="s">
        <v>1713</v>
      </c>
      <c r="H311">
        <v>19</v>
      </c>
      <c r="I311">
        <v>1067.94</v>
      </c>
      <c r="J311">
        <v>20290.86</v>
      </c>
      <c r="AA311">
        <v>44928</v>
      </c>
      <c r="AB311" t="str">
        <v>Nishant</v>
      </c>
      <c r="AC311" t="str">
        <v>Chennai</v>
      </c>
      <c r="AD311" t="str">
        <v>Tamil Nadu</v>
      </c>
      <c r="AE311" t="str">
        <v>South</v>
      </c>
      <c r="AF311" t="str">
        <v>Furniture</v>
      </c>
      <c r="AG311" t="str">
        <v>Chair</v>
      </c>
      <c r="AH311">
        <v>3</v>
      </c>
      <c r="AI311">
        <v>4359.8999999999996</v>
      </c>
      <c r="AJ311">
        <v>13079.7</v>
      </c>
    </row>
    <row r="312" spans="1:36">
      <c r="A312" s="25">
        <v>45017</v>
      </c>
      <c r="B312" t="s">
        <v>1705</v>
      </c>
      <c r="C312" t="s">
        <v>1701</v>
      </c>
      <c r="D312" t="s">
        <v>1702</v>
      </c>
      <c r="E312" t="s">
        <v>1703</v>
      </c>
      <c r="F312" t="s">
        <v>89</v>
      </c>
      <c r="G312" t="s">
        <v>1713</v>
      </c>
      <c r="H312">
        <v>3</v>
      </c>
      <c r="I312">
        <v>3754.7</v>
      </c>
      <c r="J312">
        <v>11264.1</v>
      </c>
      <c r="AA312">
        <v>45187</v>
      </c>
      <c r="AB312" t="str">
        <v>Meera</v>
      </c>
      <c r="AC312" t="str">
        <v>Chennai</v>
      </c>
      <c r="AD312" t="str">
        <v>Tamil Nadu</v>
      </c>
      <c r="AE312" t="str">
        <v>South</v>
      </c>
      <c r="AF312" t="str">
        <v>Furniture</v>
      </c>
      <c r="AG312" t="str">
        <v>Sofa</v>
      </c>
      <c r="AH312">
        <v>19</v>
      </c>
      <c r="AI312">
        <v>618.02</v>
      </c>
      <c r="AJ312">
        <v>11742.38</v>
      </c>
    </row>
    <row r="313" spans="1:36">
      <c r="A313" s="25">
        <v>45018</v>
      </c>
      <c r="B313" t="s">
        <v>1686</v>
      </c>
      <c r="C313" t="s">
        <v>1701</v>
      </c>
      <c r="D313" t="s">
        <v>1702</v>
      </c>
      <c r="E313" t="s">
        <v>1703</v>
      </c>
      <c r="F313" t="s">
        <v>89</v>
      </c>
      <c r="G313" t="s">
        <v>1105</v>
      </c>
      <c r="H313">
        <v>1</v>
      </c>
      <c r="I313">
        <v>3187.31</v>
      </c>
      <c r="J313">
        <v>3187.31</v>
      </c>
      <c r="AA313">
        <v>44956</v>
      </c>
      <c r="AB313" t="str">
        <v>Nishant</v>
      </c>
      <c r="AC313" t="str">
        <v>Chennai</v>
      </c>
      <c r="AD313" t="str">
        <v>Tamil Nadu</v>
      </c>
      <c r="AE313" t="str">
        <v>South</v>
      </c>
      <c r="AF313" t="str">
        <v>Furniture</v>
      </c>
      <c r="AG313" t="str">
        <v>Sofa</v>
      </c>
      <c r="AH313">
        <v>18</v>
      </c>
      <c r="AI313">
        <v>620.92999999999995</v>
      </c>
      <c r="AJ313">
        <v>11176.74</v>
      </c>
    </row>
    <row r="314" spans="1:36">
      <c r="A314" s="25">
        <v>45206</v>
      </c>
      <c r="B314" t="s">
        <v>1692</v>
      </c>
      <c r="C314" t="s">
        <v>1701</v>
      </c>
      <c r="D314" t="s">
        <v>1702</v>
      </c>
      <c r="E314" t="s">
        <v>1703</v>
      </c>
      <c r="F314" t="s">
        <v>101</v>
      </c>
      <c r="G314" t="s">
        <v>1715</v>
      </c>
      <c r="H314">
        <v>19</v>
      </c>
      <c r="I314">
        <v>4089.21</v>
      </c>
      <c r="J314">
        <v>77694.990000000005</v>
      </c>
      <c r="AA314">
        <v>45202</v>
      </c>
      <c r="AB314" t="str">
        <v>Vihaan</v>
      </c>
      <c r="AC314" t="str">
        <v>Chennai</v>
      </c>
      <c r="AD314" t="str">
        <v>Tamil Nadu</v>
      </c>
      <c r="AE314" t="str">
        <v>South</v>
      </c>
      <c r="AF314" t="str">
        <v>Furniture</v>
      </c>
      <c r="AG314" t="str">
        <v>Sofa</v>
      </c>
      <c r="AH314">
        <v>3</v>
      </c>
      <c r="AI314">
        <v>3613.98</v>
      </c>
      <c r="AJ314">
        <v>10841.94</v>
      </c>
    </row>
    <row r="315" spans="1:36">
      <c r="A315" s="25">
        <v>45206</v>
      </c>
      <c r="B315" t="s">
        <v>1694</v>
      </c>
      <c r="C315" t="s">
        <v>1701</v>
      </c>
      <c r="D315" t="s">
        <v>1702</v>
      </c>
      <c r="E315" t="s">
        <v>1703</v>
      </c>
      <c r="F315" t="s">
        <v>101</v>
      </c>
      <c r="G315" t="s">
        <v>1715</v>
      </c>
      <c r="H315">
        <v>16</v>
      </c>
      <c r="I315">
        <v>3296.61</v>
      </c>
      <c r="J315">
        <v>52745.760000000002</v>
      </c>
      <c r="AA315">
        <v>45085</v>
      </c>
      <c r="AB315" t="str">
        <v>Aarav</v>
      </c>
      <c r="AC315" t="str">
        <v>Chennai</v>
      </c>
      <c r="AD315" t="str">
        <v>Tamil Nadu</v>
      </c>
      <c r="AE315" t="str">
        <v>South</v>
      </c>
      <c r="AF315" t="str">
        <v>Furniture</v>
      </c>
      <c r="AG315" t="str">
        <v>Sofa</v>
      </c>
      <c r="AH315">
        <v>5</v>
      </c>
      <c r="AI315">
        <v>1599.65</v>
      </c>
      <c r="AJ315">
        <v>7998.25</v>
      </c>
    </row>
    <row r="316" spans="1:36">
      <c r="A316" s="25">
        <v>44954</v>
      </c>
      <c r="B316" t="s">
        <v>1705</v>
      </c>
      <c r="C316" t="s">
        <v>1701</v>
      </c>
      <c r="D316" t="s">
        <v>1702</v>
      </c>
      <c r="E316" t="s">
        <v>1703</v>
      </c>
      <c r="F316" t="s">
        <v>101</v>
      </c>
      <c r="G316" t="s">
        <v>1715</v>
      </c>
      <c r="H316">
        <v>8</v>
      </c>
      <c r="I316">
        <v>4523.4399999999996</v>
      </c>
      <c r="J316">
        <v>36187.519999999997</v>
      </c>
      <c r="AA316">
        <v>45077</v>
      </c>
      <c r="AB316" t="str">
        <v>Vihaan</v>
      </c>
      <c r="AC316" t="str">
        <v>Chennai</v>
      </c>
      <c r="AD316" t="str">
        <v>Tamil Nadu</v>
      </c>
      <c r="AE316" t="str">
        <v>South</v>
      </c>
      <c r="AF316" t="str">
        <v>Groceries</v>
      </c>
      <c r="AG316" t="str">
        <v>Sugar</v>
      </c>
      <c r="AH316">
        <v>20</v>
      </c>
      <c r="AI316">
        <v>4072.4</v>
      </c>
      <c r="AJ316">
        <v>81448</v>
      </c>
    </row>
    <row r="317" spans="1:36">
      <c r="A317" s="25">
        <v>45201</v>
      </c>
      <c r="B317" t="s">
        <v>1689</v>
      </c>
      <c r="C317" t="s">
        <v>1701</v>
      </c>
      <c r="D317" t="s">
        <v>1702</v>
      </c>
      <c r="E317" t="s">
        <v>1703</v>
      </c>
      <c r="F317" t="s">
        <v>101</v>
      </c>
      <c r="G317" t="s">
        <v>1715</v>
      </c>
      <c r="H317">
        <v>14</v>
      </c>
      <c r="I317">
        <v>2145.21</v>
      </c>
      <c r="J317">
        <v>30032.94</v>
      </c>
      <c r="AA317">
        <v>44953</v>
      </c>
      <c r="AB317" t="str">
        <v>Kabir</v>
      </c>
      <c r="AC317" t="str">
        <v>Chennai</v>
      </c>
      <c r="AD317" t="str">
        <v>Tamil Nadu</v>
      </c>
      <c r="AE317" t="str">
        <v>South</v>
      </c>
      <c r="AF317" t="str">
        <v>Groceries</v>
      </c>
      <c r="AG317" t="str">
        <v>Rice</v>
      </c>
      <c r="AH317">
        <v>15</v>
      </c>
      <c r="AI317">
        <v>4945.79</v>
      </c>
      <c r="AJ317">
        <v>74186.850000000006</v>
      </c>
    </row>
    <row r="318" spans="1:36">
      <c r="A318" s="25">
        <v>44962</v>
      </c>
      <c r="B318" t="s">
        <v>1671</v>
      </c>
      <c r="C318" t="s">
        <v>1701</v>
      </c>
      <c r="D318" t="s">
        <v>1702</v>
      </c>
      <c r="E318" t="s">
        <v>1703</v>
      </c>
      <c r="F318" t="s">
        <v>101</v>
      </c>
      <c r="G318" t="s">
        <v>1675</v>
      </c>
      <c r="H318">
        <v>13</v>
      </c>
      <c r="I318">
        <v>2098.65</v>
      </c>
      <c r="J318">
        <v>27282.45</v>
      </c>
      <c r="AA318">
        <v>45101</v>
      </c>
      <c r="AB318" t="str">
        <v>Aarav</v>
      </c>
      <c r="AC318" t="str">
        <v>Chennai</v>
      </c>
      <c r="AD318" t="str">
        <v>Tamil Nadu</v>
      </c>
      <c r="AE318" t="str">
        <v>South</v>
      </c>
      <c r="AF318" t="str">
        <v>Groceries</v>
      </c>
      <c r="AG318" t="str">
        <v>Sugar</v>
      </c>
      <c r="AH318">
        <v>15</v>
      </c>
      <c r="AI318">
        <v>3368.77</v>
      </c>
      <c r="AJ318">
        <v>50531.55</v>
      </c>
    </row>
    <row r="319" spans="1:36">
      <c r="A319" s="25">
        <v>45025</v>
      </c>
      <c r="B319" t="s">
        <v>1671</v>
      </c>
      <c r="C319" t="s">
        <v>1701</v>
      </c>
      <c r="D319" t="s">
        <v>1702</v>
      </c>
      <c r="E319" t="s">
        <v>1703</v>
      </c>
      <c r="F319" t="s">
        <v>101</v>
      </c>
      <c r="G319" t="s">
        <v>1719</v>
      </c>
      <c r="H319">
        <v>7</v>
      </c>
      <c r="I319">
        <v>3273.61</v>
      </c>
      <c r="J319">
        <v>22915.27</v>
      </c>
      <c r="AA319">
        <v>45175</v>
      </c>
      <c r="AB319" t="str">
        <v>Ananya</v>
      </c>
      <c r="AC319" t="str">
        <v>Chennai</v>
      </c>
      <c r="AD319" t="str">
        <v>Tamil Nadu</v>
      </c>
      <c r="AE319" t="str">
        <v>South</v>
      </c>
      <c r="AF319" t="str">
        <v>Groceries</v>
      </c>
      <c r="AG319" t="str">
        <v>Oil</v>
      </c>
      <c r="AH319">
        <v>17</v>
      </c>
      <c r="AI319">
        <v>2448.5100000000002</v>
      </c>
      <c r="AJ319">
        <v>41624.67</v>
      </c>
    </row>
    <row r="320" spans="1:36">
      <c r="A320" s="25">
        <v>45257</v>
      </c>
      <c r="B320" t="s">
        <v>1686</v>
      </c>
      <c r="C320" t="s">
        <v>1701</v>
      </c>
      <c r="D320" t="s">
        <v>1702</v>
      </c>
      <c r="E320" t="s">
        <v>1703</v>
      </c>
      <c r="F320" t="s">
        <v>101</v>
      </c>
      <c r="G320" t="s">
        <v>1675</v>
      </c>
      <c r="H320">
        <v>4</v>
      </c>
      <c r="I320">
        <v>4553.5200000000004</v>
      </c>
      <c r="J320">
        <v>18214.080000000002</v>
      </c>
      <c r="AA320">
        <v>45088</v>
      </c>
      <c r="AB320" t="str">
        <v>Ananya</v>
      </c>
      <c r="AC320" t="str">
        <v>Chennai</v>
      </c>
      <c r="AD320" t="str">
        <v>Tamil Nadu</v>
      </c>
      <c r="AE320" t="str">
        <v>South</v>
      </c>
      <c r="AF320" t="str">
        <v>Groceries</v>
      </c>
      <c r="AG320" t="str">
        <v>Oil</v>
      </c>
      <c r="AH320">
        <v>19</v>
      </c>
      <c r="AI320">
        <v>2183.09</v>
      </c>
      <c r="AJ320">
        <v>41478.71</v>
      </c>
    </row>
    <row r="321" spans="1:36">
      <c r="A321" s="25">
        <v>45036</v>
      </c>
      <c r="B321" t="s">
        <v>1671</v>
      </c>
      <c r="C321" t="s">
        <v>1701</v>
      </c>
      <c r="D321" t="s">
        <v>1702</v>
      </c>
      <c r="E321" t="s">
        <v>1703</v>
      </c>
      <c r="F321" t="s">
        <v>101</v>
      </c>
      <c r="G321" t="s">
        <v>1675</v>
      </c>
      <c r="H321">
        <v>17</v>
      </c>
      <c r="I321">
        <v>1005.44</v>
      </c>
      <c r="J321">
        <v>17092.48</v>
      </c>
      <c r="AA321">
        <v>44995</v>
      </c>
      <c r="AB321" t="str">
        <v>Vihaan</v>
      </c>
      <c r="AC321" t="str">
        <v>Chennai</v>
      </c>
      <c r="AD321" t="str">
        <v>Tamil Nadu</v>
      </c>
      <c r="AE321" t="str">
        <v>South</v>
      </c>
      <c r="AF321" t="str">
        <v>Groceries</v>
      </c>
      <c r="AG321" t="str">
        <v>Oil</v>
      </c>
      <c r="AH321">
        <v>18</v>
      </c>
      <c r="AI321">
        <v>2299.9299999999998</v>
      </c>
      <c r="AJ321">
        <v>41398.74</v>
      </c>
    </row>
    <row r="322" spans="1:36">
      <c r="A322" s="25">
        <v>45163</v>
      </c>
      <c r="B322" t="s">
        <v>1689</v>
      </c>
      <c r="C322" t="s">
        <v>1701</v>
      </c>
      <c r="D322" t="s">
        <v>1702</v>
      </c>
      <c r="E322" t="s">
        <v>1703</v>
      </c>
      <c r="F322" t="s">
        <v>101</v>
      </c>
      <c r="G322" t="s">
        <v>1709</v>
      </c>
      <c r="H322">
        <v>5</v>
      </c>
      <c r="I322">
        <v>2536.65</v>
      </c>
      <c r="J322">
        <v>12683.25</v>
      </c>
      <c r="AA322">
        <v>45244</v>
      </c>
      <c r="AB322" t="str">
        <v>Vihaan</v>
      </c>
      <c r="AC322" t="str">
        <v>Chennai</v>
      </c>
      <c r="AD322" t="str">
        <v>Tamil Nadu</v>
      </c>
      <c r="AE322" t="str">
        <v>South</v>
      </c>
      <c r="AF322" t="str">
        <v>Groceries</v>
      </c>
      <c r="AG322" t="str">
        <v>Rice</v>
      </c>
      <c r="AH322">
        <v>19</v>
      </c>
      <c r="AI322">
        <v>1933.19</v>
      </c>
      <c r="AJ322">
        <v>36730.61</v>
      </c>
    </row>
    <row r="323" spans="1:36">
      <c r="A323" s="25">
        <v>45125</v>
      </c>
      <c r="B323" t="s">
        <v>1681</v>
      </c>
      <c r="C323" t="s">
        <v>1701</v>
      </c>
      <c r="D323" t="s">
        <v>1702</v>
      </c>
      <c r="E323" t="s">
        <v>1703</v>
      </c>
      <c r="F323" t="s">
        <v>101</v>
      </c>
      <c r="G323" t="s">
        <v>1719</v>
      </c>
      <c r="H323">
        <v>15</v>
      </c>
      <c r="I323">
        <v>834.13</v>
      </c>
      <c r="J323">
        <v>12511.95</v>
      </c>
      <c r="AA323">
        <v>45190</v>
      </c>
      <c r="AB323" t="str">
        <v>Aditi</v>
      </c>
      <c r="AC323" t="str">
        <v>Chennai</v>
      </c>
      <c r="AD323" t="str">
        <v>Tamil Nadu</v>
      </c>
      <c r="AE323" t="str">
        <v>South</v>
      </c>
      <c r="AF323" t="str">
        <v>Groceries</v>
      </c>
      <c r="AG323" t="str">
        <v>Rice</v>
      </c>
      <c r="AH323">
        <v>6</v>
      </c>
      <c r="AI323">
        <v>4911.79</v>
      </c>
      <c r="AJ323">
        <v>29470.74</v>
      </c>
    </row>
    <row r="324" spans="1:36">
      <c r="A324" s="25">
        <v>45234</v>
      </c>
      <c r="B324" t="s">
        <v>1692</v>
      </c>
      <c r="C324" t="s">
        <v>1701</v>
      </c>
      <c r="D324" t="s">
        <v>1702</v>
      </c>
      <c r="E324" t="s">
        <v>1703</v>
      </c>
      <c r="F324" t="s">
        <v>101</v>
      </c>
      <c r="G324" t="s">
        <v>1719</v>
      </c>
      <c r="H324">
        <v>10</v>
      </c>
      <c r="I324">
        <v>1050.8399999999999</v>
      </c>
      <c r="J324">
        <v>10508.4</v>
      </c>
      <c r="AA324">
        <v>45144</v>
      </c>
      <c r="AB324" t="str">
        <v>Riya</v>
      </c>
      <c r="AC324" t="str">
        <v>Chennai</v>
      </c>
      <c r="AD324" t="str">
        <v>Tamil Nadu</v>
      </c>
      <c r="AE324" t="str">
        <v>South</v>
      </c>
      <c r="AF324" t="str">
        <v>Groceries</v>
      </c>
      <c r="AG324" t="str">
        <v>Oil</v>
      </c>
      <c r="AH324">
        <v>6</v>
      </c>
      <c r="AI324">
        <v>3842.46</v>
      </c>
      <c r="AJ324">
        <v>23054.76</v>
      </c>
    </row>
    <row r="325" spans="1:36">
      <c r="A325" s="25">
        <v>44987</v>
      </c>
      <c r="B325" t="s">
        <v>1686</v>
      </c>
      <c r="C325" t="s">
        <v>1701</v>
      </c>
      <c r="D325" t="s">
        <v>1702</v>
      </c>
      <c r="E325" t="s">
        <v>1703</v>
      </c>
      <c r="F325" t="s">
        <v>101</v>
      </c>
      <c r="G325" t="s">
        <v>1675</v>
      </c>
      <c r="H325">
        <v>17</v>
      </c>
      <c r="I325">
        <v>578.66999999999996</v>
      </c>
      <c r="J325">
        <v>9837.39</v>
      </c>
      <c r="AA325">
        <v>45130</v>
      </c>
      <c r="AB325" t="str">
        <v>Nishant</v>
      </c>
      <c r="AC325" t="str">
        <v>Chennai</v>
      </c>
      <c r="AD325" t="str">
        <v>Tamil Nadu</v>
      </c>
      <c r="AE325" t="str">
        <v>South</v>
      </c>
      <c r="AF325" t="str">
        <v>Groceries</v>
      </c>
      <c r="AG325" t="str">
        <v>Rice</v>
      </c>
      <c r="AH325">
        <v>6</v>
      </c>
      <c r="AI325">
        <v>2260.16</v>
      </c>
      <c r="AJ325">
        <v>13560.96</v>
      </c>
    </row>
    <row r="326" spans="1:36">
      <c r="A326" s="25">
        <v>45041</v>
      </c>
      <c r="B326" t="s">
        <v>1705</v>
      </c>
      <c r="C326" t="s">
        <v>1701</v>
      </c>
      <c r="D326" t="s">
        <v>1702</v>
      </c>
      <c r="E326" t="s">
        <v>1703</v>
      </c>
      <c r="F326" t="s">
        <v>101</v>
      </c>
      <c r="G326" t="s">
        <v>1709</v>
      </c>
      <c r="H326">
        <v>6</v>
      </c>
      <c r="I326">
        <v>1523.33</v>
      </c>
      <c r="J326">
        <v>9139.98</v>
      </c>
      <c r="AA326">
        <v>45032</v>
      </c>
      <c r="AB326" t="str">
        <v>Ananya</v>
      </c>
      <c r="AC326" t="str">
        <v>Chennai</v>
      </c>
      <c r="AD326" t="str">
        <v>Tamil Nadu</v>
      </c>
      <c r="AE326" t="str">
        <v>South</v>
      </c>
      <c r="AF326" t="str">
        <v>Groceries</v>
      </c>
      <c r="AG326" t="str">
        <v>Oil</v>
      </c>
      <c r="AH326">
        <v>4</v>
      </c>
      <c r="AI326">
        <v>2395.66</v>
      </c>
      <c r="AJ326">
        <v>9582.64</v>
      </c>
    </row>
    <row r="327" spans="1:36">
      <c r="A327" s="25">
        <v>45273</v>
      </c>
      <c r="B327" t="s">
        <v>1689</v>
      </c>
      <c r="C327" t="s">
        <v>1701</v>
      </c>
      <c r="D327" t="s">
        <v>1702</v>
      </c>
      <c r="E327" t="s">
        <v>1703</v>
      </c>
      <c r="F327" t="s">
        <v>101</v>
      </c>
      <c r="G327" t="s">
        <v>1715</v>
      </c>
      <c r="H327">
        <v>2</v>
      </c>
      <c r="I327">
        <v>4248</v>
      </c>
      <c r="J327">
        <v>8496</v>
      </c>
      <c r="AA327">
        <v>45279</v>
      </c>
      <c r="AB327" t="str">
        <v>Ananya</v>
      </c>
      <c r="AC327" t="str">
        <v>Chennai</v>
      </c>
      <c r="AD327" t="str">
        <v>Tamil Nadu</v>
      </c>
      <c r="AE327" t="str">
        <v>South</v>
      </c>
      <c r="AF327" t="str">
        <v>Groceries</v>
      </c>
      <c r="AG327" t="str">
        <v>Lentils</v>
      </c>
      <c r="AH327">
        <v>8</v>
      </c>
      <c r="AI327">
        <v>978.4</v>
      </c>
      <c r="AJ327">
        <v>7827.2</v>
      </c>
    </row>
    <row r="328" spans="1:36">
      <c r="A328" s="25">
        <v>45072</v>
      </c>
      <c r="B328" t="s">
        <v>1692</v>
      </c>
      <c r="C328" t="s">
        <v>1701</v>
      </c>
      <c r="D328" t="s">
        <v>1702</v>
      </c>
      <c r="E328" t="s">
        <v>1703</v>
      </c>
      <c r="F328" t="s">
        <v>101</v>
      </c>
      <c r="G328" t="s">
        <v>1675</v>
      </c>
      <c r="H328">
        <v>2</v>
      </c>
      <c r="I328">
        <v>4100.3999999999996</v>
      </c>
      <c r="J328">
        <v>8200.7999999999993</v>
      </c>
      <c r="AA328">
        <v>44944</v>
      </c>
      <c r="AB328" t="str">
        <v>Aditi</v>
      </c>
      <c r="AC328" t="str">
        <v>Chennai</v>
      </c>
      <c r="AD328" t="str">
        <v>Tamil Nadu</v>
      </c>
      <c r="AE328" t="str">
        <v>South</v>
      </c>
      <c r="AF328" t="str">
        <v>Groceries</v>
      </c>
      <c r="AG328" t="str">
        <v>Rice</v>
      </c>
      <c r="AH328">
        <v>2</v>
      </c>
      <c r="AI328">
        <v>771.23</v>
      </c>
      <c r="AJ328">
        <v>1542.46</v>
      </c>
    </row>
    <row r="329" spans="1:36">
      <c r="A329" s="25">
        <v>44948</v>
      </c>
      <c r="B329" t="s">
        <v>1681</v>
      </c>
      <c r="C329" t="s">
        <v>1701</v>
      </c>
      <c r="D329" t="s">
        <v>1702</v>
      </c>
      <c r="E329" t="s">
        <v>1703</v>
      </c>
      <c r="F329" t="s">
        <v>101</v>
      </c>
      <c r="G329" t="s">
        <v>1715</v>
      </c>
      <c r="H329">
        <v>10</v>
      </c>
      <c r="I329">
        <v>505.39</v>
      </c>
      <c r="J329">
        <v>5053.8999999999996</v>
      </c>
      <c r="AA329">
        <v>45077</v>
      </c>
      <c r="AB329" t="str">
        <v>Riya</v>
      </c>
      <c r="AC329" t="str">
        <v>Chennai</v>
      </c>
      <c r="AD329" t="str">
        <v>Tamil Nadu</v>
      </c>
      <c r="AE329" t="str">
        <v>South</v>
      </c>
      <c r="AF329" t="str">
        <v>Groceries</v>
      </c>
      <c r="AG329" t="str">
        <v>Rice</v>
      </c>
      <c r="AH329">
        <v>2</v>
      </c>
      <c r="AI329">
        <v>591.6</v>
      </c>
      <c r="AJ329">
        <v>1183.2</v>
      </c>
    </row>
    <row r="330" spans="1:36">
      <c r="A330" s="25">
        <v>44956</v>
      </c>
      <c r="B330" t="s">
        <v>1700</v>
      </c>
      <c r="C330" t="s">
        <v>1701</v>
      </c>
      <c r="D330" t="s">
        <v>1702</v>
      </c>
      <c r="E330" t="s">
        <v>1703</v>
      </c>
      <c r="F330" t="s">
        <v>101</v>
      </c>
      <c r="G330" t="s">
        <v>1715</v>
      </c>
      <c r="H330">
        <v>3</v>
      </c>
      <c r="I330">
        <v>1105.46</v>
      </c>
      <c r="J330">
        <v>3316.38</v>
      </c>
      <c r="AA330">
        <v>45040</v>
      </c>
      <c r="AB330" t="str">
        <v>Vihaan</v>
      </c>
      <c r="AC330" t="str">
        <v>Chennai</v>
      </c>
      <c r="AD330" t="str">
        <v>Tamil Nadu</v>
      </c>
      <c r="AE330" t="str">
        <v>South</v>
      </c>
      <c r="AF330" t="str">
        <v>Stationery</v>
      </c>
      <c r="AG330" t="str">
        <v>Ruler</v>
      </c>
      <c r="AH330">
        <v>19</v>
      </c>
      <c r="AI330">
        <v>2636.08</v>
      </c>
      <c r="AJ330">
        <v>50085.52</v>
      </c>
    </row>
    <row r="331" spans="1:36">
      <c r="A331" s="25">
        <v>45200</v>
      </c>
      <c r="B331" t="s">
        <v>1694</v>
      </c>
      <c r="C331" t="s">
        <v>1701</v>
      </c>
      <c r="D331" t="s">
        <v>1702</v>
      </c>
      <c r="E331" t="s">
        <v>1703</v>
      </c>
      <c r="F331" t="s">
        <v>101</v>
      </c>
      <c r="G331" t="s">
        <v>1675</v>
      </c>
      <c r="H331">
        <v>7</v>
      </c>
      <c r="I331">
        <v>405.27</v>
      </c>
      <c r="J331">
        <v>2836.89</v>
      </c>
      <c r="AA331">
        <v>44945</v>
      </c>
      <c r="AB331" t="str">
        <v>Ishita</v>
      </c>
      <c r="AC331" t="str">
        <v>Chennai</v>
      </c>
      <c r="AD331" t="str">
        <v>Tamil Nadu</v>
      </c>
      <c r="AE331" t="str">
        <v>South</v>
      </c>
      <c r="AF331" t="str">
        <v>Stationery</v>
      </c>
      <c r="AG331" t="str">
        <v>Eraser</v>
      </c>
      <c r="AH331">
        <v>14</v>
      </c>
      <c r="AI331">
        <v>3507.25</v>
      </c>
      <c r="AJ331">
        <v>49101.5</v>
      </c>
    </row>
    <row r="332" spans="1:36">
      <c r="A332" s="25">
        <v>45242</v>
      </c>
      <c r="B332" t="s">
        <v>1694</v>
      </c>
      <c r="C332" t="s">
        <v>1701</v>
      </c>
      <c r="D332" t="s">
        <v>1702</v>
      </c>
      <c r="E332" t="s">
        <v>1703</v>
      </c>
      <c r="F332" t="s">
        <v>101</v>
      </c>
      <c r="G332" t="s">
        <v>1715</v>
      </c>
      <c r="H332">
        <v>3</v>
      </c>
      <c r="I332">
        <v>672.84</v>
      </c>
      <c r="J332">
        <v>2018.52</v>
      </c>
      <c r="AA332">
        <v>44950</v>
      </c>
      <c r="AB332" t="str">
        <v>Riya</v>
      </c>
      <c r="AC332" t="str">
        <v>Chennai</v>
      </c>
      <c r="AD332" t="str">
        <v>Tamil Nadu</v>
      </c>
      <c r="AE332" t="str">
        <v>South</v>
      </c>
      <c r="AF332" t="str">
        <v>Stationery</v>
      </c>
      <c r="AG332" t="str">
        <v>Pen</v>
      </c>
      <c r="AH332">
        <v>9</v>
      </c>
      <c r="AI332">
        <v>3892.79</v>
      </c>
      <c r="AJ332">
        <v>35035.11</v>
      </c>
    </row>
    <row r="333" spans="1:36">
      <c r="A333" s="25">
        <v>45122</v>
      </c>
      <c r="B333" t="s">
        <v>1692</v>
      </c>
      <c r="C333" t="s">
        <v>1701</v>
      </c>
      <c r="D333" t="s">
        <v>1702</v>
      </c>
      <c r="E333" t="s">
        <v>1703</v>
      </c>
      <c r="F333" t="s">
        <v>1687</v>
      </c>
      <c r="G333" t="s">
        <v>1708</v>
      </c>
      <c r="H333">
        <v>20</v>
      </c>
      <c r="I333">
        <v>4711.51</v>
      </c>
      <c r="J333">
        <v>94230.2</v>
      </c>
      <c r="AA333">
        <v>45283</v>
      </c>
      <c r="AB333" t="str">
        <v>Ishita</v>
      </c>
      <c r="AC333" t="str">
        <v>Chennai</v>
      </c>
      <c r="AD333" t="str">
        <v>Tamil Nadu</v>
      </c>
      <c r="AE333" t="str">
        <v>South</v>
      </c>
      <c r="AF333" t="str">
        <v>Stationery</v>
      </c>
      <c r="AG333" t="str">
        <v>Eraser</v>
      </c>
      <c r="AH333">
        <v>7</v>
      </c>
      <c r="AI333">
        <v>4772.29</v>
      </c>
      <c r="AJ333">
        <v>33406.03</v>
      </c>
    </row>
    <row r="334" spans="1:36">
      <c r="A334" s="25">
        <v>45103</v>
      </c>
      <c r="B334" t="s">
        <v>1700</v>
      </c>
      <c r="C334" t="s">
        <v>1701</v>
      </c>
      <c r="D334" t="s">
        <v>1702</v>
      </c>
      <c r="E334" t="s">
        <v>1703</v>
      </c>
      <c r="F334" t="s">
        <v>1687</v>
      </c>
      <c r="G334" t="s">
        <v>1710</v>
      </c>
      <c r="H334">
        <v>14</v>
      </c>
      <c r="I334">
        <v>3829.68</v>
      </c>
      <c r="J334">
        <v>53615.519999999997</v>
      </c>
      <c r="AA334">
        <v>45178</v>
      </c>
      <c r="AB334" t="str">
        <v>Aryan</v>
      </c>
      <c r="AC334" t="str">
        <v>Chennai</v>
      </c>
      <c r="AD334" t="str">
        <v>Tamil Nadu</v>
      </c>
      <c r="AE334" t="str">
        <v>South</v>
      </c>
      <c r="AF334" t="str">
        <v>Stationery</v>
      </c>
      <c r="AG334" t="str">
        <v>Pen</v>
      </c>
      <c r="AH334">
        <v>8</v>
      </c>
      <c r="AI334">
        <v>3927.74</v>
      </c>
      <c r="AJ334">
        <v>31421.919999999998</v>
      </c>
    </row>
    <row r="335" spans="1:36">
      <c r="A335" s="25">
        <v>45034</v>
      </c>
      <c r="B335" t="s">
        <v>1692</v>
      </c>
      <c r="C335" t="s">
        <v>1701</v>
      </c>
      <c r="D335" t="s">
        <v>1702</v>
      </c>
      <c r="E335" t="s">
        <v>1703</v>
      </c>
      <c r="F335" t="s">
        <v>1687</v>
      </c>
      <c r="G335" t="s">
        <v>1688</v>
      </c>
      <c r="H335">
        <v>5</v>
      </c>
      <c r="I335">
        <v>3199.14</v>
      </c>
      <c r="J335">
        <v>15995.7</v>
      </c>
      <c r="AA335">
        <v>44965</v>
      </c>
      <c r="AB335" t="str">
        <v>Aditi</v>
      </c>
      <c r="AC335" t="str">
        <v>Chennai</v>
      </c>
      <c r="AD335" t="str">
        <v>Tamil Nadu</v>
      </c>
      <c r="AE335" t="str">
        <v>South</v>
      </c>
      <c r="AF335" t="str">
        <v>Stationery</v>
      </c>
      <c r="AG335" t="str">
        <v>Pen</v>
      </c>
      <c r="AH335">
        <v>12</v>
      </c>
      <c r="AI335">
        <v>2519.65</v>
      </c>
      <c r="AJ335">
        <v>30235.8</v>
      </c>
    </row>
    <row r="336" spans="1:36">
      <c r="A336" s="25">
        <v>45286</v>
      </c>
      <c r="B336" t="s">
        <v>1681</v>
      </c>
      <c r="C336" t="s">
        <v>1701</v>
      </c>
      <c r="D336" t="s">
        <v>1702</v>
      </c>
      <c r="E336" t="s">
        <v>1703</v>
      </c>
      <c r="F336" t="s">
        <v>1687</v>
      </c>
      <c r="G336" t="s">
        <v>1710</v>
      </c>
      <c r="H336">
        <v>18</v>
      </c>
      <c r="I336">
        <v>330.49</v>
      </c>
      <c r="J336">
        <v>5948.82</v>
      </c>
      <c r="AA336">
        <v>44942</v>
      </c>
      <c r="AB336" t="str">
        <v>Ananya</v>
      </c>
      <c r="AC336" t="str">
        <v>Chennai</v>
      </c>
      <c r="AD336" t="str">
        <v>Tamil Nadu</v>
      </c>
      <c r="AE336" t="str">
        <v>South</v>
      </c>
      <c r="AF336" t="str">
        <v>Stationery</v>
      </c>
      <c r="AG336" t="str">
        <v>Pen</v>
      </c>
      <c r="AH336">
        <v>6</v>
      </c>
      <c r="AI336">
        <v>4862.26</v>
      </c>
      <c r="AJ336">
        <v>29173.56</v>
      </c>
    </row>
    <row r="337" spans="1:36">
      <c r="A337" s="25">
        <v>45214</v>
      </c>
      <c r="B337" t="s">
        <v>1694</v>
      </c>
      <c r="C337" t="s">
        <v>1701</v>
      </c>
      <c r="D337" t="s">
        <v>1702</v>
      </c>
      <c r="E337" t="s">
        <v>1703</v>
      </c>
      <c r="F337" t="s">
        <v>1687</v>
      </c>
      <c r="G337" t="s">
        <v>1708</v>
      </c>
      <c r="H337">
        <v>6</v>
      </c>
      <c r="I337">
        <v>830.82</v>
      </c>
      <c r="J337">
        <v>4984.92</v>
      </c>
      <c r="AA337">
        <v>45062</v>
      </c>
      <c r="AB337" t="str">
        <v>Nishant</v>
      </c>
      <c r="AC337" t="str">
        <v>Chennai</v>
      </c>
      <c r="AD337" t="str">
        <v>Tamil Nadu</v>
      </c>
      <c r="AE337" t="str">
        <v>South</v>
      </c>
      <c r="AF337" t="str">
        <v>Stationery</v>
      </c>
      <c r="AG337" t="str">
        <v>Ruler</v>
      </c>
      <c r="AH337">
        <v>12</v>
      </c>
      <c r="AI337">
        <v>2127.2800000000002</v>
      </c>
      <c r="AJ337">
        <v>25527.360000000001</v>
      </c>
    </row>
    <row r="338" spans="1:36">
      <c r="A338" s="25">
        <v>45034</v>
      </c>
      <c r="B338" t="s">
        <v>1681</v>
      </c>
      <c r="C338" t="s">
        <v>1701</v>
      </c>
      <c r="D338" t="s">
        <v>1702</v>
      </c>
      <c r="E338" t="s">
        <v>1703</v>
      </c>
      <c r="F338" t="s">
        <v>1687</v>
      </c>
      <c r="G338" t="s">
        <v>1710</v>
      </c>
      <c r="H338">
        <v>2</v>
      </c>
      <c r="I338">
        <v>2338.61</v>
      </c>
      <c r="J338">
        <v>4677.22</v>
      </c>
      <c r="AA338">
        <v>45265</v>
      </c>
      <c r="AB338" t="str">
        <v>Ishita</v>
      </c>
      <c r="AC338" t="str">
        <v>Chennai</v>
      </c>
      <c r="AD338" t="str">
        <v>Tamil Nadu</v>
      </c>
      <c r="AE338" t="str">
        <v>South</v>
      </c>
      <c r="AF338" t="str">
        <v>Stationery</v>
      </c>
      <c r="AG338" t="str">
        <v>Ruler</v>
      </c>
      <c r="AH338">
        <v>9</v>
      </c>
      <c r="AI338">
        <v>2251.19</v>
      </c>
      <c r="AJ338">
        <v>20260.71</v>
      </c>
    </row>
    <row r="339" spans="1:36">
      <c r="A339" s="25">
        <v>45089</v>
      </c>
      <c r="B339" t="s">
        <v>1692</v>
      </c>
      <c r="C339" t="s">
        <v>1701</v>
      </c>
      <c r="D339" t="s">
        <v>1702</v>
      </c>
      <c r="E339" t="s">
        <v>1703</v>
      </c>
      <c r="F339" t="s">
        <v>1687</v>
      </c>
      <c r="G339" t="s">
        <v>1708</v>
      </c>
      <c r="H339">
        <v>7</v>
      </c>
      <c r="I339">
        <v>256.57</v>
      </c>
      <c r="J339">
        <v>1795.99</v>
      </c>
      <c r="AA339">
        <v>45240</v>
      </c>
      <c r="AB339" t="str">
        <v>Aditi</v>
      </c>
      <c r="AC339" t="str">
        <v>Chennai</v>
      </c>
      <c r="AD339" t="str">
        <v>Tamil Nadu</v>
      </c>
      <c r="AE339" t="str">
        <v>South</v>
      </c>
      <c r="AF339" t="str">
        <v>Stationery</v>
      </c>
      <c r="AG339" t="str">
        <v>Ruler</v>
      </c>
      <c r="AH339">
        <v>14</v>
      </c>
      <c r="AI339">
        <v>1410.91</v>
      </c>
      <c r="AJ339">
        <v>19752.740000000002</v>
      </c>
    </row>
    <row r="340" spans="1:36">
      <c r="A340" s="25">
        <v>44977</v>
      </c>
      <c r="B340" t="s">
        <v>1689</v>
      </c>
      <c r="C340" t="s">
        <v>1701</v>
      </c>
      <c r="D340" t="s">
        <v>1702</v>
      </c>
      <c r="E340" t="s">
        <v>1703</v>
      </c>
      <c r="F340" t="s">
        <v>114</v>
      </c>
      <c r="G340" t="s">
        <v>1691</v>
      </c>
      <c r="H340">
        <v>19</v>
      </c>
      <c r="I340">
        <v>4528.95</v>
      </c>
      <c r="J340">
        <v>86050.05</v>
      </c>
      <c r="AA340">
        <v>45092</v>
      </c>
      <c r="AB340" t="str">
        <v>Riya</v>
      </c>
      <c r="AC340" t="str">
        <v>Chennai</v>
      </c>
      <c r="AD340" t="str">
        <v>Tamil Nadu</v>
      </c>
      <c r="AE340" t="str">
        <v>South</v>
      </c>
      <c r="AF340" t="str">
        <v>Stationery</v>
      </c>
      <c r="AG340" t="str">
        <v>Ruler</v>
      </c>
      <c r="AH340">
        <v>4</v>
      </c>
      <c r="AI340">
        <v>4795.3999999999996</v>
      </c>
      <c r="AJ340">
        <v>19181.599999999999</v>
      </c>
    </row>
    <row r="341" spans="1:36">
      <c r="A341" s="25">
        <v>45071</v>
      </c>
      <c r="B341" t="s">
        <v>1671</v>
      </c>
      <c r="C341" t="s">
        <v>1701</v>
      </c>
      <c r="D341" t="s">
        <v>1702</v>
      </c>
      <c r="E341" t="s">
        <v>1703</v>
      </c>
      <c r="F341" t="s">
        <v>114</v>
      </c>
      <c r="G341" t="s">
        <v>1712</v>
      </c>
      <c r="H341">
        <v>20</v>
      </c>
      <c r="I341">
        <v>3393.01</v>
      </c>
      <c r="J341">
        <v>67860.2</v>
      </c>
      <c r="AA341">
        <v>45084</v>
      </c>
      <c r="AB341" t="str">
        <v>Aryan</v>
      </c>
      <c r="AC341" t="str">
        <v>Chennai</v>
      </c>
      <c r="AD341" t="str">
        <v>Tamil Nadu</v>
      </c>
      <c r="AE341" t="str">
        <v>South</v>
      </c>
      <c r="AF341" t="str">
        <v>Stationery</v>
      </c>
      <c r="AG341" t="str">
        <v>Notebook</v>
      </c>
      <c r="AH341">
        <v>18</v>
      </c>
      <c r="AI341">
        <v>509.79</v>
      </c>
      <c r="AJ341">
        <v>9176.2199999999993</v>
      </c>
    </row>
    <row r="342" spans="1:36">
      <c r="A342" s="25">
        <v>45055</v>
      </c>
      <c r="B342" t="s">
        <v>1681</v>
      </c>
      <c r="C342" t="s">
        <v>1701</v>
      </c>
      <c r="D342" t="s">
        <v>1702</v>
      </c>
      <c r="E342" t="s">
        <v>1703</v>
      </c>
      <c r="F342" t="s">
        <v>114</v>
      </c>
      <c r="G342" t="s">
        <v>1691</v>
      </c>
      <c r="H342">
        <v>18</v>
      </c>
      <c r="I342">
        <v>3093.44</v>
      </c>
      <c r="J342">
        <v>55681.919999999998</v>
      </c>
      <c r="AA342">
        <v>44961</v>
      </c>
      <c r="AB342" t="str">
        <v>Meera</v>
      </c>
      <c r="AC342" t="str">
        <v>Chennai</v>
      </c>
      <c r="AD342" t="str">
        <v>Tamil Nadu</v>
      </c>
      <c r="AE342" t="str">
        <v>South</v>
      </c>
      <c r="AF342" t="str">
        <v>Stationery</v>
      </c>
      <c r="AG342" t="str">
        <v>Notebook</v>
      </c>
      <c r="AH342">
        <v>2</v>
      </c>
      <c r="AI342">
        <v>4137.49</v>
      </c>
      <c r="AJ342">
        <v>8274.98</v>
      </c>
    </row>
    <row r="343" spans="1:36">
      <c r="A343" s="25">
        <v>45043</v>
      </c>
      <c r="B343" t="s">
        <v>1671</v>
      </c>
      <c r="C343" t="s">
        <v>1701</v>
      </c>
      <c r="D343" t="s">
        <v>1702</v>
      </c>
      <c r="E343" t="s">
        <v>1703</v>
      </c>
      <c r="F343" t="s">
        <v>114</v>
      </c>
      <c r="G343" t="s">
        <v>1718</v>
      </c>
      <c r="H343">
        <v>19</v>
      </c>
      <c r="I343">
        <v>2816.52</v>
      </c>
      <c r="J343">
        <v>53513.88</v>
      </c>
      <c r="AA343">
        <v>45276</v>
      </c>
      <c r="AB343" t="str">
        <v>Meera</v>
      </c>
      <c r="AC343" t="str">
        <v>Chennai</v>
      </c>
      <c r="AD343" t="str">
        <v>Tamil Nadu</v>
      </c>
      <c r="AE343" t="str">
        <v>South</v>
      </c>
      <c r="AF343" t="str">
        <v>Stationery</v>
      </c>
      <c r="AG343" t="str">
        <v>Pen</v>
      </c>
      <c r="AH343">
        <v>2</v>
      </c>
      <c r="AI343">
        <v>2789.92</v>
      </c>
      <c r="AJ343">
        <v>5579.84</v>
      </c>
    </row>
    <row r="344" spans="1:36">
      <c r="A344" s="25">
        <v>45043</v>
      </c>
      <c r="B344" t="s">
        <v>1705</v>
      </c>
      <c r="C344" t="s">
        <v>1701</v>
      </c>
      <c r="D344" t="s">
        <v>1702</v>
      </c>
      <c r="E344" t="s">
        <v>1703</v>
      </c>
      <c r="F344" t="s">
        <v>114</v>
      </c>
      <c r="G344" t="s">
        <v>1680</v>
      </c>
      <c r="H344">
        <v>12</v>
      </c>
      <c r="I344">
        <v>4298</v>
      </c>
      <c r="J344">
        <v>51576</v>
      </c>
      <c r="AA344">
        <v>45156</v>
      </c>
      <c r="AB344" t="str">
        <v>Meera</v>
      </c>
      <c r="AC344" t="str">
        <v>Chennai</v>
      </c>
      <c r="AD344" t="str">
        <v>Tamil Nadu</v>
      </c>
      <c r="AE344" t="str">
        <v>South</v>
      </c>
      <c r="AF344" t="str">
        <v>Stationery</v>
      </c>
      <c r="AG344" t="str">
        <v>Pen</v>
      </c>
      <c r="AH344">
        <v>15</v>
      </c>
      <c r="AI344">
        <v>202.66</v>
      </c>
      <c r="AJ344">
        <v>3039.9</v>
      </c>
    </row>
    <row r="345" spans="1:36">
      <c r="A345" s="25">
        <v>45171</v>
      </c>
      <c r="B345" t="s">
        <v>1671</v>
      </c>
      <c r="C345" t="s">
        <v>1701</v>
      </c>
      <c r="D345" t="s">
        <v>1702</v>
      </c>
      <c r="E345" t="s">
        <v>1703</v>
      </c>
      <c r="F345" t="s">
        <v>114</v>
      </c>
      <c r="G345" t="s">
        <v>1680</v>
      </c>
      <c r="H345">
        <v>12</v>
      </c>
      <c r="I345">
        <v>3040.08</v>
      </c>
      <c r="J345">
        <v>36480.959999999999</v>
      </c>
      <c r="AA345">
        <v>45254</v>
      </c>
      <c r="AB345" t="str">
        <v>Meera</v>
      </c>
      <c r="AC345" t="str">
        <v>Chennai</v>
      </c>
      <c r="AD345" t="str">
        <v>Tamil Nadu</v>
      </c>
      <c r="AE345" t="str">
        <v>South</v>
      </c>
      <c r="AF345" t="str">
        <v>Stationery</v>
      </c>
      <c r="AG345" t="str">
        <v>Notebook</v>
      </c>
      <c r="AH345">
        <v>1</v>
      </c>
      <c r="AI345">
        <v>2993.55</v>
      </c>
      <c r="AJ345">
        <v>2993.55</v>
      </c>
    </row>
    <row r="346" spans="1:36">
      <c r="A346" s="25">
        <v>45280</v>
      </c>
      <c r="B346" t="s">
        <v>1700</v>
      </c>
      <c r="C346" t="s">
        <v>1701</v>
      </c>
      <c r="D346" t="s">
        <v>1702</v>
      </c>
      <c r="E346" t="s">
        <v>1703</v>
      </c>
      <c r="F346" t="s">
        <v>114</v>
      </c>
      <c r="G346" t="s">
        <v>1691</v>
      </c>
      <c r="H346">
        <v>7</v>
      </c>
      <c r="I346">
        <v>4673.3100000000004</v>
      </c>
      <c r="J346">
        <v>32713.17</v>
      </c>
      <c r="AA346">
        <v>45168</v>
      </c>
      <c r="AB346" t="str">
        <v>Ishita</v>
      </c>
      <c r="AC346" t="str">
        <v>Coimbatore</v>
      </c>
      <c r="AD346" t="str">
        <v>Tamil Nadu</v>
      </c>
      <c r="AE346" t="str">
        <v>South</v>
      </c>
      <c r="AF346" t="str">
        <v>Clothing</v>
      </c>
      <c r="AG346" t="str">
        <v>Jacket</v>
      </c>
      <c r="AH346">
        <v>20</v>
      </c>
      <c r="AI346">
        <v>4751.1400000000003</v>
      </c>
      <c r="AJ346">
        <v>95022.8</v>
      </c>
    </row>
    <row r="347" spans="1:36">
      <c r="A347" s="25">
        <v>45229</v>
      </c>
      <c r="B347" t="s">
        <v>1705</v>
      </c>
      <c r="C347" t="s">
        <v>1701</v>
      </c>
      <c r="D347" t="s">
        <v>1702</v>
      </c>
      <c r="E347" t="s">
        <v>1703</v>
      </c>
      <c r="F347" t="s">
        <v>114</v>
      </c>
      <c r="G347" t="s">
        <v>1680</v>
      </c>
      <c r="H347">
        <v>13</v>
      </c>
      <c r="I347">
        <v>1782.01</v>
      </c>
      <c r="J347">
        <v>23166.13</v>
      </c>
      <c r="AA347">
        <v>44985</v>
      </c>
      <c r="AB347" t="str">
        <v>Vihaan</v>
      </c>
      <c r="AC347" t="str">
        <v>Coimbatore</v>
      </c>
      <c r="AD347" t="str">
        <v>Tamil Nadu</v>
      </c>
      <c r="AE347" t="str">
        <v>South</v>
      </c>
      <c r="AF347" t="str">
        <v>Clothing</v>
      </c>
      <c r="AG347" t="str">
        <v>Pants</v>
      </c>
      <c r="AH347">
        <v>16</v>
      </c>
      <c r="AI347">
        <v>4090.26</v>
      </c>
      <c r="AJ347">
        <v>65444.160000000003</v>
      </c>
    </row>
    <row r="348" spans="1:36">
      <c r="A348" s="25">
        <v>45228</v>
      </c>
      <c r="B348" t="s">
        <v>1705</v>
      </c>
      <c r="C348" t="s">
        <v>1701</v>
      </c>
      <c r="D348" t="s">
        <v>1702</v>
      </c>
      <c r="E348" t="s">
        <v>1703</v>
      </c>
      <c r="F348" t="s">
        <v>114</v>
      </c>
      <c r="G348" t="s">
        <v>1680</v>
      </c>
      <c r="H348">
        <v>9</v>
      </c>
      <c r="I348">
        <v>2304.23</v>
      </c>
      <c r="J348">
        <v>20738.07</v>
      </c>
      <c r="AA348">
        <v>45086</v>
      </c>
      <c r="AB348" t="str">
        <v>Aryan</v>
      </c>
      <c r="AC348" t="str">
        <v>Coimbatore</v>
      </c>
      <c r="AD348" t="str">
        <v>Tamil Nadu</v>
      </c>
      <c r="AE348" t="str">
        <v>South</v>
      </c>
      <c r="AF348" t="str">
        <v>Clothing</v>
      </c>
      <c r="AG348" t="str">
        <v>Jacket</v>
      </c>
      <c r="AH348">
        <v>16</v>
      </c>
      <c r="AI348">
        <v>3046.66</v>
      </c>
      <c r="AJ348">
        <v>48746.559999999998</v>
      </c>
    </row>
    <row r="349" spans="1:36">
      <c r="A349" s="25">
        <v>45116</v>
      </c>
      <c r="B349" t="s">
        <v>1681</v>
      </c>
      <c r="C349" t="s">
        <v>1701</v>
      </c>
      <c r="D349" t="s">
        <v>1702</v>
      </c>
      <c r="E349" t="s">
        <v>1703</v>
      </c>
      <c r="F349" t="s">
        <v>114</v>
      </c>
      <c r="G349" t="s">
        <v>1691</v>
      </c>
      <c r="H349">
        <v>7</v>
      </c>
      <c r="I349">
        <v>2861.67</v>
      </c>
      <c r="J349">
        <v>20031.689999999999</v>
      </c>
      <c r="AA349">
        <v>45050</v>
      </c>
      <c r="AB349" t="str">
        <v>Ananya</v>
      </c>
      <c r="AC349" t="str">
        <v>Coimbatore</v>
      </c>
      <c r="AD349" t="str">
        <v>Tamil Nadu</v>
      </c>
      <c r="AE349" t="str">
        <v>South</v>
      </c>
      <c r="AF349" t="str">
        <v>Clothing</v>
      </c>
      <c r="AG349" t="str">
        <v>Shirt</v>
      </c>
      <c r="AH349">
        <v>9</v>
      </c>
      <c r="AI349">
        <v>3927.83</v>
      </c>
      <c r="AJ349">
        <v>35350.47</v>
      </c>
    </row>
    <row r="350" spans="1:36">
      <c r="A350" s="25">
        <v>44930</v>
      </c>
      <c r="B350" t="s">
        <v>1705</v>
      </c>
      <c r="C350" t="s">
        <v>1701</v>
      </c>
      <c r="D350" t="s">
        <v>1702</v>
      </c>
      <c r="E350" t="s">
        <v>1703</v>
      </c>
      <c r="F350" t="s">
        <v>114</v>
      </c>
      <c r="G350" t="s">
        <v>1691</v>
      </c>
      <c r="H350">
        <v>18</v>
      </c>
      <c r="I350">
        <v>1042.99</v>
      </c>
      <c r="J350">
        <v>18773.82</v>
      </c>
      <c r="AA350">
        <v>44965</v>
      </c>
      <c r="AB350" t="str">
        <v>Aditi</v>
      </c>
      <c r="AC350" t="str">
        <v>Coimbatore</v>
      </c>
      <c r="AD350" t="str">
        <v>Tamil Nadu</v>
      </c>
      <c r="AE350" t="str">
        <v>South</v>
      </c>
      <c r="AF350" t="str">
        <v>Clothing</v>
      </c>
      <c r="AG350" t="str">
        <v>Jacket</v>
      </c>
      <c r="AH350">
        <v>14</v>
      </c>
      <c r="AI350">
        <v>2355.56</v>
      </c>
      <c r="AJ350">
        <v>32977.839999999997</v>
      </c>
    </row>
    <row r="351" spans="1:36">
      <c r="A351" s="25">
        <v>45105</v>
      </c>
      <c r="B351" t="s">
        <v>1694</v>
      </c>
      <c r="C351" t="s">
        <v>1701</v>
      </c>
      <c r="D351" t="s">
        <v>1702</v>
      </c>
      <c r="E351" t="s">
        <v>1703</v>
      </c>
      <c r="F351" t="s">
        <v>114</v>
      </c>
      <c r="G351" t="s">
        <v>1712</v>
      </c>
      <c r="H351">
        <v>13</v>
      </c>
      <c r="I351">
        <v>1367.15</v>
      </c>
      <c r="J351">
        <v>17772.95</v>
      </c>
      <c r="AA351">
        <v>45126</v>
      </c>
      <c r="AB351" t="str">
        <v>Meera</v>
      </c>
      <c r="AC351" t="str">
        <v>Coimbatore</v>
      </c>
      <c r="AD351" t="str">
        <v>Tamil Nadu</v>
      </c>
      <c r="AE351" t="str">
        <v>South</v>
      </c>
      <c r="AF351" t="str">
        <v>Clothing</v>
      </c>
      <c r="AG351" t="str">
        <v>Shirt</v>
      </c>
      <c r="AH351">
        <v>15</v>
      </c>
      <c r="AI351">
        <v>2158.2199999999998</v>
      </c>
      <c r="AJ351">
        <v>32373.3</v>
      </c>
    </row>
    <row r="352" spans="1:36">
      <c r="A352" s="25">
        <v>45086</v>
      </c>
      <c r="B352" t="s">
        <v>1700</v>
      </c>
      <c r="C352" t="s">
        <v>1701</v>
      </c>
      <c r="D352" t="s">
        <v>1702</v>
      </c>
      <c r="E352" t="s">
        <v>1703</v>
      </c>
      <c r="F352" t="s">
        <v>114</v>
      </c>
      <c r="G352" t="s">
        <v>1680</v>
      </c>
      <c r="H352">
        <v>14</v>
      </c>
      <c r="I352">
        <v>630.45000000000005</v>
      </c>
      <c r="J352">
        <v>8826.2999999999993</v>
      </c>
      <c r="AA352">
        <v>45098</v>
      </c>
      <c r="AB352" t="str">
        <v>Ishita</v>
      </c>
      <c r="AC352" t="str">
        <v>Coimbatore</v>
      </c>
      <c r="AD352" t="str">
        <v>Tamil Nadu</v>
      </c>
      <c r="AE352" t="str">
        <v>South</v>
      </c>
      <c r="AF352" t="str">
        <v>Clothing</v>
      </c>
      <c r="AG352" t="str">
        <v>Jacket</v>
      </c>
      <c r="AH352">
        <v>7</v>
      </c>
      <c r="AI352">
        <v>3911.96</v>
      </c>
      <c r="AJ352">
        <v>27383.72</v>
      </c>
    </row>
    <row r="353" spans="1:36">
      <c r="A353" s="25">
        <v>45011</v>
      </c>
      <c r="B353" t="s">
        <v>1698</v>
      </c>
      <c r="C353" t="s">
        <v>1701</v>
      </c>
      <c r="D353" t="s">
        <v>1702</v>
      </c>
      <c r="E353" t="s">
        <v>1703</v>
      </c>
      <c r="F353" t="s">
        <v>114</v>
      </c>
      <c r="G353" t="s">
        <v>1712</v>
      </c>
      <c r="H353">
        <v>5</v>
      </c>
      <c r="I353">
        <v>355.6</v>
      </c>
      <c r="J353">
        <v>1778</v>
      </c>
      <c r="AA353">
        <v>44964</v>
      </c>
      <c r="AB353" t="str">
        <v>Meera</v>
      </c>
      <c r="AC353" t="str">
        <v>Coimbatore</v>
      </c>
      <c r="AD353" t="str">
        <v>Tamil Nadu</v>
      </c>
      <c r="AE353" t="str">
        <v>South</v>
      </c>
      <c r="AF353" t="str">
        <v>Clothing</v>
      </c>
      <c r="AG353" t="str">
        <v>Jacket</v>
      </c>
      <c r="AH353">
        <v>11</v>
      </c>
      <c r="AI353">
        <v>2471.65</v>
      </c>
      <c r="AJ353">
        <v>27188.15</v>
      </c>
    </row>
    <row r="354" spans="1:36">
      <c r="A354" s="25">
        <v>45037</v>
      </c>
      <c r="B354" t="s">
        <v>1705</v>
      </c>
      <c r="C354" t="s">
        <v>1707</v>
      </c>
      <c r="D354" t="s">
        <v>1683</v>
      </c>
      <c r="E354" t="s">
        <v>1679</v>
      </c>
      <c r="F354" t="s">
        <v>97</v>
      </c>
      <c r="G354" t="s">
        <v>1711</v>
      </c>
      <c r="H354">
        <v>19</v>
      </c>
      <c r="I354">
        <v>4513.6000000000004</v>
      </c>
      <c r="J354">
        <v>85758.399999999994</v>
      </c>
      <c r="AA354">
        <v>44980</v>
      </c>
      <c r="AB354" t="str">
        <v>Ananya</v>
      </c>
      <c r="AC354" t="str">
        <v>Coimbatore</v>
      </c>
      <c r="AD354" t="str">
        <v>Tamil Nadu</v>
      </c>
      <c r="AE354" t="str">
        <v>South</v>
      </c>
      <c r="AF354" t="str">
        <v>Clothing</v>
      </c>
      <c r="AG354" t="str">
        <v>Pants</v>
      </c>
      <c r="AH354">
        <v>18</v>
      </c>
      <c r="AI354">
        <v>809.24</v>
      </c>
      <c r="AJ354">
        <v>14566.32</v>
      </c>
    </row>
    <row r="355" spans="1:36">
      <c r="A355" s="25">
        <v>45075</v>
      </c>
      <c r="B355" t="s">
        <v>1700</v>
      </c>
      <c r="C355" t="s">
        <v>1707</v>
      </c>
      <c r="D355" t="s">
        <v>1683</v>
      </c>
      <c r="E355" t="s">
        <v>1679</v>
      </c>
      <c r="F355" t="s">
        <v>97</v>
      </c>
      <c r="G355" t="s">
        <v>1685</v>
      </c>
      <c r="H355">
        <v>12</v>
      </c>
      <c r="I355">
        <v>4446.1499999999996</v>
      </c>
      <c r="J355">
        <v>53353.8</v>
      </c>
      <c r="AA355">
        <v>45047</v>
      </c>
      <c r="AB355" t="str">
        <v>Riya</v>
      </c>
      <c r="AC355" t="str">
        <v>Coimbatore</v>
      </c>
      <c r="AD355" t="str">
        <v>Tamil Nadu</v>
      </c>
      <c r="AE355" t="str">
        <v>South</v>
      </c>
      <c r="AF355" t="str">
        <v>Clothing</v>
      </c>
      <c r="AG355" t="str">
        <v>Shirt</v>
      </c>
      <c r="AH355">
        <v>11</v>
      </c>
      <c r="AI355">
        <v>1286.08</v>
      </c>
      <c r="AJ355">
        <v>14146.88</v>
      </c>
    </row>
    <row r="356" spans="1:36">
      <c r="A356" s="25">
        <v>45284</v>
      </c>
      <c r="B356" t="s">
        <v>1686</v>
      </c>
      <c r="C356" t="s">
        <v>1707</v>
      </c>
      <c r="D356" t="s">
        <v>1683</v>
      </c>
      <c r="E356" t="s">
        <v>1679</v>
      </c>
      <c r="F356" t="s">
        <v>97</v>
      </c>
      <c r="G356" t="s">
        <v>1685</v>
      </c>
      <c r="H356">
        <v>8</v>
      </c>
      <c r="I356">
        <v>4775.74</v>
      </c>
      <c r="J356">
        <v>38205.919999999998</v>
      </c>
      <c r="AA356">
        <v>45136</v>
      </c>
      <c r="AB356" t="str">
        <v>Ananya</v>
      </c>
      <c r="AC356" t="str">
        <v>Coimbatore</v>
      </c>
      <c r="AD356" t="str">
        <v>Tamil Nadu</v>
      </c>
      <c r="AE356" t="str">
        <v>South</v>
      </c>
      <c r="AF356" t="str">
        <v>Clothing</v>
      </c>
      <c r="AG356" t="str">
        <v>Shirt</v>
      </c>
      <c r="AH356">
        <v>14</v>
      </c>
      <c r="AI356">
        <v>816.99</v>
      </c>
      <c r="AJ356">
        <v>11437.86</v>
      </c>
    </row>
    <row r="357" spans="1:36">
      <c r="A357" s="25">
        <v>45029</v>
      </c>
      <c r="B357" t="s">
        <v>1705</v>
      </c>
      <c r="C357" t="s">
        <v>1707</v>
      </c>
      <c r="D357" t="s">
        <v>1683</v>
      </c>
      <c r="E357" t="s">
        <v>1679</v>
      </c>
      <c r="F357" t="s">
        <v>97</v>
      </c>
      <c r="G357" t="s">
        <v>1711</v>
      </c>
      <c r="H357">
        <v>15</v>
      </c>
      <c r="I357">
        <v>2503.4699999999998</v>
      </c>
      <c r="J357">
        <v>37552.050000000003</v>
      </c>
      <c r="AA357">
        <v>45144</v>
      </c>
      <c r="AB357" t="str">
        <v>Aarav</v>
      </c>
      <c r="AC357" t="str">
        <v>Coimbatore</v>
      </c>
      <c r="AD357" t="str">
        <v>Tamil Nadu</v>
      </c>
      <c r="AE357" t="str">
        <v>South</v>
      </c>
      <c r="AF357" t="str">
        <v>Clothing</v>
      </c>
      <c r="AG357" t="str">
        <v>Jacket</v>
      </c>
      <c r="AH357">
        <v>13</v>
      </c>
      <c r="AI357">
        <v>566.55999999999995</v>
      </c>
      <c r="AJ357">
        <v>7365.28</v>
      </c>
    </row>
    <row r="358" spans="1:36">
      <c r="A358" s="25">
        <v>45161</v>
      </c>
      <c r="B358" t="s">
        <v>1698</v>
      </c>
      <c r="C358" t="s">
        <v>1707</v>
      </c>
      <c r="D358" t="s">
        <v>1683</v>
      </c>
      <c r="E358" t="s">
        <v>1679</v>
      </c>
      <c r="F358" t="s">
        <v>97</v>
      </c>
      <c r="G358" t="s">
        <v>1711</v>
      </c>
      <c r="H358">
        <v>11</v>
      </c>
      <c r="I358">
        <v>3385.93</v>
      </c>
      <c r="J358">
        <v>37245.230000000003</v>
      </c>
      <c r="AA358">
        <v>45167</v>
      </c>
      <c r="AB358" t="str">
        <v>Aryan</v>
      </c>
      <c r="AC358" t="str">
        <v>Coimbatore</v>
      </c>
      <c r="AD358" t="str">
        <v>Tamil Nadu</v>
      </c>
      <c r="AE358" t="str">
        <v>South</v>
      </c>
      <c r="AF358" t="str">
        <v>Clothing</v>
      </c>
      <c r="AG358" t="str">
        <v>Pants</v>
      </c>
      <c r="AH358">
        <v>4</v>
      </c>
      <c r="AI358">
        <v>791.28</v>
      </c>
      <c r="AJ358">
        <v>3165.12</v>
      </c>
    </row>
    <row r="359" spans="1:36">
      <c r="A359" s="25">
        <v>45258</v>
      </c>
      <c r="B359" t="s">
        <v>1692</v>
      </c>
      <c r="C359" t="s">
        <v>1707</v>
      </c>
      <c r="D359" t="s">
        <v>1683</v>
      </c>
      <c r="E359" t="s">
        <v>1679</v>
      </c>
      <c r="F359" t="s">
        <v>97</v>
      </c>
      <c r="G359" t="s">
        <v>1711</v>
      </c>
      <c r="H359">
        <v>6</v>
      </c>
      <c r="I359">
        <v>2867.98</v>
      </c>
      <c r="J359">
        <v>17207.88</v>
      </c>
      <c r="AA359">
        <v>45171</v>
      </c>
      <c r="AB359" t="str">
        <v>Ananya</v>
      </c>
      <c r="AC359" t="str">
        <v>Coimbatore</v>
      </c>
      <c r="AD359" t="str">
        <v>Tamil Nadu</v>
      </c>
      <c r="AE359" t="str">
        <v>South</v>
      </c>
      <c r="AF359" t="str">
        <v>Electronics</v>
      </c>
      <c r="AG359" t="str">
        <v>Headphones</v>
      </c>
      <c r="AH359">
        <v>16</v>
      </c>
      <c r="AI359">
        <v>3942.95</v>
      </c>
      <c r="AJ359">
        <v>63087.199999999997</v>
      </c>
    </row>
    <row r="360" spans="1:36">
      <c r="A360" s="25">
        <v>45063</v>
      </c>
      <c r="B360" t="s">
        <v>1681</v>
      </c>
      <c r="C360" t="s">
        <v>1707</v>
      </c>
      <c r="D360" t="s">
        <v>1683</v>
      </c>
      <c r="E360" t="s">
        <v>1679</v>
      </c>
      <c r="F360" t="s">
        <v>97</v>
      </c>
      <c r="G360" t="s">
        <v>1711</v>
      </c>
      <c r="H360">
        <v>10</v>
      </c>
      <c r="I360">
        <v>1468.96</v>
      </c>
      <c r="J360">
        <v>14689.6</v>
      </c>
      <c r="AA360">
        <v>45149</v>
      </c>
      <c r="AB360" t="str">
        <v>Meera</v>
      </c>
      <c r="AC360" t="str">
        <v>Coimbatore</v>
      </c>
      <c r="AD360" t="str">
        <v>Tamil Nadu</v>
      </c>
      <c r="AE360" t="str">
        <v>South</v>
      </c>
      <c r="AF360" t="str">
        <v>Electronics</v>
      </c>
      <c r="AG360" t="str">
        <v>Headphones</v>
      </c>
      <c r="AH360">
        <v>13</v>
      </c>
      <c r="AI360">
        <v>3994.86</v>
      </c>
      <c r="AJ360">
        <v>51933.18</v>
      </c>
    </row>
    <row r="361" spans="1:36">
      <c r="A361" s="25">
        <v>45151</v>
      </c>
      <c r="B361" t="s">
        <v>1676</v>
      </c>
      <c r="C361" t="s">
        <v>1707</v>
      </c>
      <c r="D361" t="s">
        <v>1683</v>
      </c>
      <c r="E361" t="s">
        <v>1679</v>
      </c>
      <c r="F361" t="s">
        <v>97</v>
      </c>
      <c r="G361" t="s">
        <v>1711</v>
      </c>
      <c r="H361">
        <v>4</v>
      </c>
      <c r="I361">
        <v>3659.61</v>
      </c>
      <c r="J361">
        <v>14638.44</v>
      </c>
      <c r="AA361">
        <v>45001</v>
      </c>
      <c r="AB361" t="str">
        <v>Nishant</v>
      </c>
      <c r="AC361" t="str">
        <v>Coimbatore</v>
      </c>
      <c r="AD361" t="str">
        <v>Tamil Nadu</v>
      </c>
      <c r="AE361" t="str">
        <v>South</v>
      </c>
      <c r="AF361" t="str">
        <v>Electronics</v>
      </c>
      <c r="AG361" t="str">
        <v>Smartphone</v>
      </c>
      <c r="AH361">
        <v>19</v>
      </c>
      <c r="AI361">
        <v>2240.89</v>
      </c>
      <c r="AJ361">
        <v>42576.91</v>
      </c>
    </row>
    <row r="362" spans="1:36">
      <c r="A362" s="25">
        <v>45190</v>
      </c>
      <c r="B362" t="s">
        <v>1681</v>
      </c>
      <c r="C362" t="s">
        <v>1707</v>
      </c>
      <c r="D362" t="s">
        <v>1683</v>
      </c>
      <c r="E362" t="s">
        <v>1679</v>
      </c>
      <c r="F362" t="s">
        <v>97</v>
      </c>
      <c r="G362" t="s">
        <v>1699</v>
      </c>
      <c r="H362">
        <v>14</v>
      </c>
      <c r="I362">
        <v>1024.22</v>
      </c>
      <c r="J362">
        <v>14339.08</v>
      </c>
      <c r="AA362">
        <v>45179</v>
      </c>
      <c r="AB362" t="str">
        <v>Ananya</v>
      </c>
      <c r="AC362" t="str">
        <v>Coimbatore</v>
      </c>
      <c r="AD362" t="str">
        <v>Tamil Nadu</v>
      </c>
      <c r="AE362" t="str">
        <v>South</v>
      </c>
      <c r="AF362" t="str">
        <v>Electronics</v>
      </c>
      <c r="AG362" t="str">
        <v>Tablet</v>
      </c>
      <c r="AH362">
        <v>14</v>
      </c>
      <c r="AI362">
        <v>2833.44</v>
      </c>
      <c r="AJ362">
        <v>39668.160000000003</v>
      </c>
    </row>
    <row r="363" spans="1:36">
      <c r="A363" s="25">
        <v>45035</v>
      </c>
      <c r="B363" t="s">
        <v>1694</v>
      </c>
      <c r="C363" t="s">
        <v>1707</v>
      </c>
      <c r="D363" t="s">
        <v>1683</v>
      </c>
      <c r="E363" t="s">
        <v>1679</v>
      </c>
      <c r="F363" t="s">
        <v>97</v>
      </c>
      <c r="G363" t="s">
        <v>1697</v>
      </c>
      <c r="H363">
        <v>9</v>
      </c>
      <c r="I363">
        <v>1328.13</v>
      </c>
      <c r="J363">
        <v>11953.17</v>
      </c>
      <c r="AA363">
        <v>45276</v>
      </c>
      <c r="AB363" t="str">
        <v>Nishant</v>
      </c>
      <c r="AC363" t="str">
        <v>Coimbatore</v>
      </c>
      <c r="AD363" t="str">
        <v>Tamil Nadu</v>
      </c>
      <c r="AE363" t="str">
        <v>South</v>
      </c>
      <c r="AF363" t="str">
        <v>Electronics</v>
      </c>
      <c r="AG363" t="str">
        <v>Headphones</v>
      </c>
      <c r="AH363">
        <v>14</v>
      </c>
      <c r="AI363">
        <v>2343.4</v>
      </c>
      <c r="AJ363">
        <v>32807.599999999999</v>
      </c>
    </row>
    <row r="364" spans="1:36">
      <c r="A364" s="25">
        <v>45076</v>
      </c>
      <c r="B364" t="s">
        <v>1698</v>
      </c>
      <c r="C364" t="s">
        <v>1707</v>
      </c>
      <c r="D364" t="s">
        <v>1683</v>
      </c>
      <c r="E364" t="s">
        <v>1679</v>
      </c>
      <c r="F364" t="s">
        <v>89</v>
      </c>
      <c r="G364" t="s">
        <v>1105</v>
      </c>
      <c r="H364">
        <v>11</v>
      </c>
      <c r="I364">
        <v>4564.7299999999996</v>
      </c>
      <c r="J364">
        <v>50212.03</v>
      </c>
      <c r="AA364">
        <v>45146</v>
      </c>
      <c r="AB364" t="str">
        <v>Aarav</v>
      </c>
      <c r="AC364" t="str">
        <v>Coimbatore</v>
      </c>
      <c r="AD364" t="str">
        <v>Tamil Nadu</v>
      </c>
      <c r="AE364" t="str">
        <v>South</v>
      </c>
      <c r="AF364" t="str">
        <v>Electronics</v>
      </c>
      <c r="AG364" t="str">
        <v>Tablet</v>
      </c>
      <c r="AH364">
        <v>2</v>
      </c>
      <c r="AI364">
        <v>2078.33</v>
      </c>
      <c r="AJ364">
        <v>4156.66</v>
      </c>
    </row>
    <row r="365" spans="1:36">
      <c r="A365" s="25">
        <v>45254</v>
      </c>
      <c r="B365" t="s">
        <v>1698</v>
      </c>
      <c r="C365" t="s">
        <v>1707</v>
      </c>
      <c r="D365" t="s">
        <v>1683</v>
      </c>
      <c r="E365" t="s">
        <v>1679</v>
      </c>
      <c r="F365" t="s">
        <v>89</v>
      </c>
      <c r="G365" t="s">
        <v>1713</v>
      </c>
      <c r="H365">
        <v>8</v>
      </c>
      <c r="I365">
        <v>4997.45</v>
      </c>
      <c r="J365">
        <v>39979.599999999999</v>
      </c>
      <c r="AA365">
        <v>45255</v>
      </c>
      <c r="AB365" t="str">
        <v>Vihaan</v>
      </c>
      <c r="AC365" t="str">
        <v>Coimbatore</v>
      </c>
      <c r="AD365" t="str">
        <v>Tamil Nadu</v>
      </c>
      <c r="AE365" t="str">
        <v>South</v>
      </c>
      <c r="AF365" t="str">
        <v>Electronics</v>
      </c>
      <c r="AG365" t="str">
        <v>Smartphone</v>
      </c>
      <c r="AH365">
        <v>2</v>
      </c>
      <c r="AI365">
        <v>1195.99</v>
      </c>
      <c r="AJ365">
        <v>2391.98</v>
      </c>
    </row>
    <row r="366" spans="1:36">
      <c r="A366" s="25">
        <v>44986</v>
      </c>
      <c r="B366" t="s">
        <v>1676</v>
      </c>
      <c r="C366" t="s">
        <v>1707</v>
      </c>
      <c r="D366" t="s">
        <v>1683</v>
      </c>
      <c r="E366" t="s">
        <v>1679</v>
      </c>
      <c r="F366" t="s">
        <v>89</v>
      </c>
      <c r="G366" t="s">
        <v>1106</v>
      </c>
      <c r="H366">
        <v>8</v>
      </c>
      <c r="I366">
        <v>4105.17</v>
      </c>
      <c r="J366">
        <v>32841.360000000001</v>
      </c>
      <c r="AA366">
        <v>45030</v>
      </c>
      <c r="AB366" t="str">
        <v>Kabir</v>
      </c>
      <c r="AC366" t="str">
        <v>Coimbatore</v>
      </c>
      <c r="AD366" t="str">
        <v>Tamil Nadu</v>
      </c>
      <c r="AE366" t="str">
        <v>South</v>
      </c>
      <c r="AF366" t="str">
        <v>Electronics</v>
      </c>
      <c r="AG366" t="str">
        <v>Laptop</v>
      </c>
      <c r="AH366">
        <v>3</v>
      </c>
      <c r="AI366">
        <v>413.26</v>
      </c>
      <c r="AJ366">
        <v>1239.78</v>
      </c>
    </row>
    <row r="367" spans="1:36">
      <c r="A367" s="25">
        <v>45239</v>
      </c>
      <c r="B367" t="s">
        <v>1686</v>
      </c>
      <c r="C367" t="s">
        <v>1707</v>
      </c>
      <c r="D367" t="s">
        <v>1683</v>
      </c>
      <c r="E367" t="s">
        <v>1679</v>
      </c>
      <c r="F367" t="s">
        <v>89</v>
      </c>
      <c r="G367" t="s">
        <v>1713</v>
      </c>
      <c r="H367">
        <v>7</v>
      </c>
      <c r="I367">
        <v>4535.1400000000003</v>
      </c>
      <c r="J367">
        <v>31745.98</v>
      </c>
      <c r="AA367">
        <v>45062</v>
      </c>
      <c r="AB367" t="str">
        <v>Aryan</v>
      </c>
      <c r="AC367" t="str">
        <v>Coimbatore</v>
      </c>
      <c r="AD367" t="str">
        <v>Tamil Nadu</v>
      </c>
      <c r="AE367" t="str">
        <v>South</v>
      </c>
      <c r="AF367" t="str">
        <v>Furniture</v>
      </c>
      <c r="AG367" t="str">
        <v>Table</v>
      </c>
      <c r="AH367">
        <v>18</v>
      </c>
      <c r="AI367">
        <v>4937.99</v>
      </c>
      <c r="AJ367">
        <v>88883.82</v>
      </c>
    </row>
    <row r="368" spans="1:36">
      <c r="A368" s="25">
        <v>45257</v>
      </c>
      <c r="B368" t="s">
        <v>1694</v>
      </c>
      <c r="C368" t="s">
        <v>1707</v>
      </c>
      <c r="D368" t="s">
        <v>1683</v>
      </c>
      <c r="E368" t="s">
        <v>1679</v>
      </c>
      <c r="F368" t="s">
        <v>89</v>
      </c>
      <c r="G368" t="s">
        <v>1106</v>
      </c>
      <c r="H368">
        <v>6</v>
      </c>
      <c r="I368">
        <v>3470.44</v>
      </c>
      <c r="J368">
        <v>20822.64</v>
      </c>
      <c r="AA368">
        <v>44989</v>
      </c>
      <c r="AB368" t="str">
        <v>Ishita</v>
      </c>
      <c r="AC368" t="str">
        <v>Coimbatore</v>
      </c>
      <c r="AD368" t="str">
        <v>Tamil Nadu</v>
      </c>
      <c r="AE368" t="str">
        <v>South</v>
      </c>
      <c r="AF368" t="str">
        <v>Furniture</v>
      </c>
      <c r="AG368" t="str">
        <v>Sofa</v>
      </c>
      <c r="AH368">
        <v>17</v>
      </c>
      <c r="AI368">
        <v>4415.8500000000004</v>
      </c>
      <c r="AJ368">
        <v>75069.45</v>
      </c>
    </row>
    <row r="369" spans="1:36">
      <c r="A369" s="25">
        <v>45037</v>
      </c>
      <c r="B369" t="s">
        <v>1692</v>
      </c>
      <c r="C369" t="s">
        <v>1707</v>
      </c>
      <c r="D369" t="s">
        <v>1683</v>
      </c>
      <c r="E369" t="s">
        <v>1679</v>
      </c>
      <c r="F369" t="s">
        <v>89</v>
      </c>
      <c r="G369" t="s">
        <v>1714</v>
      </c>
      <c r="H369">
        <v>17</v>
      </c>
      <c r="I369">
        <v>1122.98</v>
      </c>
      <c r="J369">
        <v>19090.66</v>
      </c>
      <c r="AA369">
        <v>44962</v>
      </c>
      <c r="AB369" t="str">
        <v>Kabir</v>
      </c>
      <c r="AC369" t="str">
        <v>Coimbatore</v>
      </c>
      <c r="AD369" t="str">
        <v>Tamil Nadu</v>
      </c>
      <c r="AE369" t="str">
        <v>South</v>
      </c>
      <c r="AF369" t="str">
        <v>Furniture</v>
      </c>
      <c r="AG369" t="str">
        <v>Sofa</v>
      </c>
      <c r="AH369">
        <v>15</v>
      </c>
      <c r="AI369">
        <v>4748.62</v>
      </c>
      <c r="AJ369">
        <v>71229.3</v>
      </c>
    </row>
    <row r="370" spans="1:36">
      <c r="A370" s="25">
        <v>45116</v>
      </c>
      <c r="B370" t="s">
        <v>1698</v>
      </c>
      <c r="C370" t="s">
        <v>1707</v>
      </c>
      <c r="D370" t="s">
        <v>1683</v>
      </c>
      <c r="E370" t="s">
        <v>1679</v>
      </c>
      <c r="F370" t="s">
        <v>89</v>
      </c>
      <c r="G370" t="s">
        <v>1105</v>
      </c>
      <c r="H370">
        <v>19</v>
      </c>
      <c r="I370">
        <v>717.29</v>
      </c>
      <c r="J370">
        <v>13628.51</v>
      </c>
      <c r="AA370">
        <v>45282</v>
      </c>
      <c r="AB370" t="str">
        <v>Aryan</v>
      </c>
      <c r="AC370" t="str">
        <v>Coimbatore</v>
      </c>
      <c r="AD370" t="str">
        <v>Tamil Nadu</v>
      </c>
      <c r="AE370" t="str">
        <v>South</v>
      </c>
      <c r="AF370" t="str">
        <v>Furniture</v>
      </c>
      <c r="AG370" t="str">
        <v>Chair</v>
      </c>
      <c r="AH370">
        <v>19</v>
      </c>
      <c r="AI370">
        <v>3196.27</v>
      </c>
      <c r="AJ370">
        <v>60729.13</v>
      </c>
    </row>
    <row r="371" spans="1:36">
      <c r="A371" s="25">
        <v>45164</v>
      </c>
      <c r="B371" t="s">
        <v>1681</v>
      </c>
      <c r="C371" t="s">
        <v>1707</v>
      </c>
      <c r="D371" t="s">
        <v>1683</v>
      </c>
      <c r="E371" t="s">
        <v>1679</v>
      </c>
      <c r="F371" t="s">
        <v>89</v>
      </c>
      <c r="G371" t="s">
        <v>1106</v>
      </c>
      <c r="H371">
        <v>5</v>
      </c>
      <c r="I371">
        <v>2480.84</v>
      </c>
      <c r="J371">
        <v>12404.2</v>
      </c>
      <c r="AA371">
        <v>45212</v>
      </c>
      <c r="AB371" t="str">
        <v>Nishant</v>
      </c>
      <c r="AC371" t="str">
        <v>Coimbatore</v>
      </c>
      <c r="AD371" t="str">
        <v>Tamil Nadu</v>
      </c>
      <c r="AE371" t="str">
        <v>South</v>
      </c>
      <c r="AF371" t="str">
        <v>Furniture</v>
      </c>
      <c r="AG371" t="str">
        <v>Chair</v>
      </c>
      <c r="AH371">
        <v>20</v>
      </c>
      <c r="AI371">
        <v>2449.44</v>
      </c>
      <c r="AJ371">
        <v>48988.800000000003</v>
      </c>
    </row>
    <row r="372" spans="1:36">
      <c r="A372" s="25">
        <v>44993</v>
      </c>
      <c r="B372" t="s">
        <v>1698</v>
      </c>
      <c r="C372" t="s">
        <v>1707</v>
      </c>
      <c r="D372" t="s">
        <v>1683</v>
      </c>
      <c r="E372" t="s">
        <v>1679</v>
      </c>
      <c r="F372" t="s">
        <v>89</v>
      </c>
      <c r="G372" t="s">
        <v>1714</v>
      </c>
      <c r="H372">
        <v>4</v>
      </c>
      <c r="I372">
        <v>3022.21</v>
      </c>
      <c r="J372">
        <v>12088.84</v>
      </c>
      <c r="AA372">
        <v>44937</v>
      </c>
      <c r="AB372" t="str">
        <v>Ananya</v>
      </c>
      <c r="AC372" t="str">
        <v>Coimbatore</v>
      </c>
      <c r="AD372" t="str">
        <v>Tamil Nadu</v>
      </c>
      <c r="AE372" t="str">
        <v>South</v>
      </c>
      <c r="AF372" t="str">
        <v>Furniture</v>
      </c>
      <c r="AG372" t="str">
        <v>Chair</v>
      </c>
      <c r="AH372">
        <v>11</v>
      </c>
      <c r="AI372">
        <v>3514.12</v>
      </c>
      <c r="AJ372">
        <v>38655.32</v>
      </c>
    </row>
    <row r="373" spans="1:36">
      <c r="A373" s="25">
        <v>44964</v>
      </c>
      <c r="B373" t="s">
        <v>1692</v>
      </c>
      <c r="C373" t="s">
        <v>1707</v>
      </c>
      <c r="D373" t="s">
        <v>1683</v>
      </c>
      <c r="E373" t="s">
        <v>1679</v>
      </c>
      <c r="F373" t="s">
        <v>89</v>
      </c>
      <c r="G373" t="s">
        <v>1714</v>
      </c>
      <c r="H373">
        <v>6</v>
      </c>
      <c r="I373">
        <v>1246.5899999999999</v>
      </c>
      <c r="J373">
        <v>7479.54</v>
      </c>
      <c r="AA373">
        <v>45168</v>
      </c>
      <c r="AB373" t="str">
        <v>Vihaan</v>
      </c>
      <c r="AC373" t="str">
        <v>Coimbatore</v>
      </c>
      <c r="AD373" t="str">
        <v>Tamil Nadu</v>
      </c>
      <c r="AE373" t="str">
        <v>South</v>
      </c>
      <c r="AF373" t="str">
        <v>Furniture</v>
      </c>
      <c r="AG373" t="str">
        <v>Table</v>
      </c>
      <c r="AH373">
        <v>7</v>
      </c>
      <c r="AI373">
        <v>4847.62</v>
      </c>
      <c r="AJ373">
        <v>33933.339999999997</v>
      </c>
    </row>
    <row r="374" spans="1:36">
      <c r="A374" s="25">
        <v>45224</v>
      </c>
      <c r="B374" t="s">
        <v>1686</v>
      </c>
      <c r="C374" t="s">
        <v>1707</v>
      </c>
      <c r="D374" t="s">
        <v>1683</v>
      </c>
      <c r="E374" t="s">
        <v>1679</v>
      </c>
      <c r="F374" t="s">
        <v>89</v>
      </c>
      <c r="G374" t="s">
        <v>1713</v>
      </c>
      <c r="H374">
        <v>6</v>
      </c>
      <c r="I374">
        <v>809.57</v>
      </c>
      <c r="J374">
        <v>4857.42</v>
      </c>
      <c r="AA374">
        <v>45059</v>
      </c>
      <c r="AB374" t="str">
        <v>Meera</v>
      </c>
      <c r="AC374" t="str">
        <v>Coimbatore</v>
      </c>
      <c r="AD374" t="str">
        <v>Tamil Nadu</v>
      </c>
      <c r="AE374" t="str">
        <v>South</v>
      </c>
      <c r="AF374" t="str">
        <v>Furniture</v>
      </c>
      <c r="AG374" t="str">
        <v>Sofa</v>
      </c>
      <c r="AH374">
        <v>8</v>
      </c>
      <c r="AI374">
        <v>3859.28</v>
      </c>
      <c r="AJ374">
        <v>30874.240000000002</v>
      </c>
    </row>
    <row r="375" spans="1:36">
      <c r="A375" s="25">
        <v>45072</v>
      </c>
      <c r="B375" t="s">
        <v>1671</v>
      </c>
      <c r="C375" t="s">
        <v>1707</v>
      </c>
      <c r="D375" t="s">
        <v>1683</v>
      </c>
      <c r="E375" t="s">
        <v>1679</v>
      </c>
      <c r="F375" t="s">
        <v>101</v>
      </c>
      <c r="G375" t="s">
        <v>1715</v>
      </c>
      <c r="H375">
        <v>16</v>
      </c>
      <c r="I375">
        <v>4896.07</v>
      </c>
      <c r="J375">
        <v>78337.119999999995</v>
      </c>
      <c r="AA375">
        <v>45011</v>
      </c>
      <c r="AB375" t="str">
        <v>Riya</v>
      </c>
      <c r="AC375" t="str">
        <v>Coimbatore</v>
      </c>
      <c r="AD375" t="str">
        <v>Tamil Nadu</v>
      </c>
      <c r="AE375" t="str">
        <v>South</v>
      </c>
      <c r="AF375" t="str">
        <v>Furniture</v>
      </c>
      <c r="AG375" t="str">
        <v>Table</v>
      </c>
      <c r="AH375">
        <v>17</v>
      </c>
      <c r="AI375">
        <v>1801.69</v>
      </c>
      <c r="AJ375">
        <v>30628.73</v>
      </c>
    </row>
    <row r="376" spans="1:36">
      <c r="A376" s="25">
        <v>44964</v>
      </c>
      <c r="B376" t="s">
        <v>1686</v>
      </c>
      <c r="C376" t="s">
        <v>1707</v>
      </c>
      <c r="D376" t="s">
        <v>1683</v>
      </c>
      <c r="E376" t="s">
        <v>1679</v>
      </c>
      <c r="F376" t="s">
        <v>101</v>
      </c>
      <c r="G376" t="s">
        <v>1719</v>
      </c>
      <c r="H376">
        <v>19</v>
      </c>
      <c r="I376">
        <v>2880.28</v>
      </c>
      <c r="J376">
        <v>54725.32</v>
      </c>
      <c r="AA376">
        <v>45245</v>
      </c>
      <c r="AB376" t="str">
        <v>Aarav</v>
      </c>
      <c r="AC376" t="str">
        <v>Coimbatore</v>
      </c>
      <c r="AD376" t="str">
        <v>Tamil Nadu</v>
      </c>
      <c r="AE376" t="str">
        <v>South</v>
      </c>
      <c r="AF376" t="str">
        <v>Furniture</v>
      </c>
      <c r="AG376" t="str">
        <v>Table</v>
      </c>
      <c r="AH376">
        <v>7</v>
      </c>
      <c r="AI376">
        <v>4077.95</v>
      </c>
      <c r="AJ376">
        <v>28545.65</v>
      </c>
    </row>
    <row r="377" spans="1:36">
      <c r="A377" s="25">
        <v>45168</v>
      </c>
      <c r="B377" t="s">
        <v>1705</v>
      </c>
      <c r="C377" t="s">
        <v>1707</v>
      </c>
      <c r="D377" t="s">
        <v>1683</v>
      </c>
      <c r="E377" t="s">
        <v>1679</v>
      </c>
      <c r="F377" t="s">
        <v>101</v>
      </c>
      <c r="G377" t="s">
        <v>1715</v>
      </c>
      <c r="H377">
        <v>14</v>
      </c>
      <c r="I377">
        <v>3726.3</v>
      </c>
      <c r="J377">
        <v>52168.2</v>
      </c>
      <c r="AA377">
        <v>44957</v>
      </c>
      <c r="AB377" t="str">
        <v>Ishita</v>
      </c>
      <c r="AC377" t="str">
        <v>Coimbatore</v>
      </c>
      <c r="AD377" t="str">
        <v>Tamil Nadu</v>
      </c>
      <c r="AE377" t="str">
        <v>South</v>
      </c>
      <c r="AF377" t="str">
        <v>Furniture</v>
      </c>
      <c r="AG377" t="str">
        <v>Sofa</v>
      </c>
      <c r="AH377">
        <v>8</v>
      </c>
      <c r="AI377">
        <v>3402.24</v>
      </c>
      <c r="AJ377">
        <v>27217.919999999998</v>
      </c>
    </row>
    <row r="378" spans="1:36">
      <c r="A378" s="25">
        <v>45060</v>
      </c>
      <c r="B378" t="s">
        <v>1681</v>
      </c>
      <c r="C378" t="s">
        <v>1707</v>
      </c>
      <c r="D378" t="s">
        <v>1683</v>
      </c>
      <c r="E378" t="s">
        <v>1679</v>
      </c>
      <c r="F378" t="s">
        <v>101</v>
      </c>
      <c r="G378" t="s">
        <v>1715</v>
      </c>
      <c r="H378">
        <v>14</v>
      </c>
      <c r="I378">
        <v>3177.8</v>
      </c>
      <c r="J378">
        <v>44489.2</v>
      </c>
      <c r="AA378">
        <v>45128</v>
      </c>
      <c r="AB378" t="str">
        <v>Meera</v>
      </c>
      <c r="AC378" t="str">
        <v>Coimbatore</v>
      </c>
      <c r="AD378" t="str">
        <v>Tamil Nadu</v>
      </c>
      <c r="AE378" t="str">
        <v>South</v>
      </c>
      <c r="AF378" t="str">
        <v>Furniture</v>
      </c>
      <c r="AG378" t="str">
        <v>Chair</v>
      </c>
      <c r="AH378">
        <v>8</v>
      </c>
      <c r="AI378">
        <v>2394.87</v>
      </c>
      <c r="AJ378">
        <v>19158.96</v>
      </c>
    </row>
    <row r="379" spans="1:36">
      <c r="A379" s="25">
        <v>45135</v>
      </c>
      <c r="B379" t="s">
        <v>1700</v>
      </c>
      <c r="C379" t="s">
        <v>1707</v>
      </c>
      <c r="D379" t="s">
        <v>1683</v>
      </c>
      <c r="E379" t="s">
        <v>1679</v>
      </c>
      <c r="F379" t="s">
        <v>101</v>
      </c>
      <c r="G379" t="s">
        <v>1719</v>
      </c>
      <c r="H379">
        <v>13</v>
      </c>
      <c r="I379">
        <v>1764.64</v>
      </c>
      <c r="J379">
        <v>22940.32</v>
      </c>
      <c r="AA379">
        <v>45126</v>
      </c>
      <c r="AB379" t="str">
        <v>Nishant</v>
      </c>
      <c r="AC379" t="str">
        <v>Coimbatore</v>
      </c>
      <c r="AD379" t="str">
        <v>Tamil Nadu</v>
      </c>
      <c r="AE379" t="str">
        <v>South</v>
      </c>
      <c r="AF379" t="str">
        <v>Furniture</v>
      </c>
      <c r="AG379" t="str">
        <v>Sofa</v>
      </c>
      <c r="AH379">
        <v>8</v>
      </c>
      <c r="AI379">
        <v>1990</v>
      </c>
      <c r="AJ379">
        <v>15920</v>
      </c>
    </row>
    <row r="380" spans="1:36">
      <c r="A380" s="25">
        <v>45175</v>
      </c>
      <c r="B380" t="s">
        <v>1705</v>
      </c>
      <c r="C380" t="s">
        <v>1707</v>
      </c>
      <c r="D380" t="s">
        <v>1683</v>
      </c>
      <c r="E380" t="s">
        <v>1679</v>
      </c>
      <c r="F380" t="s">
        <v>101</v>
      </c>
      <c r="G380" t="s">
        <v>1719</v>
      </c>
      <c r="H380">
        <v>5</v>
      </c>
      <c r="I380">
        <v>4423.53</v>
      </c>
      <c r="J380">
        <v>22117.65</v>
      </c>
      <c r="AA380">
        <v>45014</v>
      </c>
      <c r="AB380" t="str">
        <v>Vihaan</v>
      </c>
      <c r="AC380" t="str">
        <v>Coimbatore</v>
      </c>
      <c r="AD380" t="str">
        <v>Tamil Nadu</v>
      </c>
      <c r="AE380" t="str">
        <v>South</v>
      </c>
      <c r="AF380" t="str">
        <v>Furniture</v>
      </c>
      <c r="AG380" t="str">
        <v>Bed</v>
      </c>
      <c r="AH380">
        <v>8</v>
      </c>
      <c r="AI380">
        <v>1807.67</v>
      </c>
      <c r="AJ380">
        <v>14461.36</v>
      </c>
    </row>
    <row r="381" spans="1:36">
      <c r="A381" s="25">
        <v>45075</v>
      </c>
      <c r="B381" t="s">
        <v>1700</v>
      </c>
      <c r="C381" t="s">
        <v>1707</v>
      </c>
      <c r="D381" t="s">
        <v>1683</v>
      </c>
      <c r="E381" t="s">
        <v>1679</v>
      </c>
      <c r="F381" t="s">
        <v>101</v>
      </c>
      <c r="G381" t="s">
        <v>1709</v>
      </c>
      <c r="H381">
        <v>4</v>
      </c>
      <c r="I381">
        <v>4485.82</v>
      </c>
      <c r="J381">
        <v>17943.28</v>
      </c>
      <c r="AA381">
        <v>44963</v>
      </c>
      <c r="AB381" t="str">
        <v>Kabir</v>
      </c>
      <c r="AC381" t="str">
        <v>Coimbatore</v>
      </c>
      <c r="AD381" t="str">
        <v>Tamil Nadu</v>
      </c>
      <c r="AE381" t="str">
        <v>South</v>
      </c>
      <c r="AF381" t="str">
        <v>Furniture</v>
      </c>
      <c r="AG381" t="str">
        <v>Sofa</v>
      </c>
      <c r="AH381">
        <v>10</v>
      </c>
      <c r="AI381">
        <v>1229.56</v>
      </c>
      <c r="AJ381">
        <v>12295.6</v>
      </c>
    </row>
    <row r="382" spans="1:36">
      <c r="A382" s="25">
        <v>45240</v>
      </c>
      <c r="B382" t="s">
        <v>1692</v>
      </c>
      <c r="C382" t="s">
        <v>1707</v>
      </c>
      <c r="D382" t="s">
        <v>1683</v>
      </c>
      <c r="E382" t="s">
        <v>1679</v>
      </c>
      <c r="F382" t="s">
        <v>101</v>
      </c>
      <c r="G382" t="s">
        <v>1709</v>
      </c>
      <c r="H382">
        <v>7</v>
      </c>
      <c r="I382">
        <v>2186.75</v>
      </c>
      <c r="J382">
        <v>15307.25</v>
      </c>
      <c r="AA382">
        <v>44968</v>
      </c>
      <c r="AB382" t="str">
        <v>Nishant</v>
      </c>
      <c r="AC382" t="str">
        <v>Coimbatore</v>
      </c>
      <c r="AD382" t="str">
        <v>Tamil Nadu</v>
      </c>
      <c r="AE382" t="str">
        <v>South</v>
      </c>
      <c r="AF382" t="str">
        <v>Furniture</v>
      </c>
      <c r="AG382" t="str">
        <v>Bed</v>
      </c>
      <c r="AH382">
        <v>6</v>
      </c>
      <c r="AI382">
        <v>1750.35</v>
      </c>
      <c r="AJ382">
        <v>10502.1</v>
      </c>
    </row>
    <row r="383" spans="1:36">
      <c r="A383" s="25">
        <v>45209</v>
      </c>
      <c r="B383" t="s">
        <v>1689</v>
      </c>
      <c r="C383" t="s">
        <v>1707</v>
      </c>
      <c r="D383" t="s">
        <v>1683</v>
      </c>
      <c r="E383" t="s">
        <v>1679</v>
      </c>
      <c r="F383" t="s">
        <v>101</v>
      </c>
      <c r="G383" t="s">
        <v>1709</v>
      </c>
      <c r="H383">
        <v>3</v>
      </c>
      <c r="I383">
        <v>3591.92</v>
      </c>
      <c r="J383">
        <v>10775.76</v>
      </c>
      <c r="AA383">
        <v>45105</v>
      </c>
      <c r="AB383" t="str">
        <v>Kabir</v>
      </c>
      <c r="AC383" t="str">
        <v>Coimbatore</v>
      </c>
      <c r="AD383" t="str">
        <v>Tamil Nadu</v>
      </c>
      <c r="AE383" t="str">
        <v>South</v>
      </c>
      <c r="AF383" t="str">
        <v>Furniture</v>
      </c>
      <c r="AG383" t="str">
        <v>Table</v>
      </c>
      <c r="AH383">
        <v>3</v>
      </c>
      <c r="AI383">
        <v>3276.84</v>
      </c>
      <c r="AJ383">
        <v>9830.52</v>
      </c>
    </row>
    <row r="384" spans="1:36">
      <c r="A384" s="25">
        <v>45152</v>
      </c>
      <c r="B384" t="s">
        <v>1676</v>
      </c>
      <c r="C384" t="s">
        <v>1707</v>
      </c>
      <c r="D384" t="s">
        <v>1683</v>
      </c>
      <c r="E384" t="s">
        <v>1679</v>
      </c>
      <c r="F384" t="s">
        <v>101</v>
      </c>
      <c r="G384" t="s">
        <v>1709</v>
      </c>
      <c r="H384">
        <v>3</v>
      </c>
      <c r="I384">
        <v>3389.2</v>
      </c>
      <c r="J384">
        <v>10167.6</v>
      </c>
      <c r="AA384">
        <v>45183</v>
      </c>
      <c r="AB384" t="str">
        <v>Aryan</v>
      </c>
      <c r="AC384" t="str">
        <v>Coimbatore</v>
      </c>
      <c r="AD384" t="str">
        <v>Tamil Nadu</v>
      </c>
      <c r="AE384" t="str">
        <v>South</v>
      </c>
      <c r="AF384" t="str">
        <v>Furniture</v>
      </c>
      <c r="AG384" t="str">
        <v>Bed</v>
      </c>
      <c r="AH384">
        <v>7</v>
      </c>
      <c r="AI384">
        <v>1373.41</v>
      </c>
      <c r="AJ384">
        <v>9613.8700000000008</v>
      </c>
    </row>
    <row r="385" spans="1:36">
      <c r="A385" s="25">
        <v>44945</v>
      </c>
      <c r="B385" t="s">
        <v>1694</v>
      </c>
      <c r="C385" t="s">
        <v>1707</v>
      </c>
      <c r="D385" t="s">
        <v>1683</v>
      </c>
      <c r="E385" t="s">
        <v>1679</v>
      </c>
      <c r="F385" t="s">
        <v>101</v>
      </c>
      <c r="G385" t="s">
        <v>1709</v>
      </c>
      <c r="H385">
        <v>5</v>
      </c>
      <c r="I385">
        <v>1947.01</v>
      </c>
      <c r="J385">
        <v>9735.0499999999993</v>
      </c>
      <c r="AA385">
        <v>45105</v>
      </c>
      <c r="AB385" t="str">
        <v>Aryan</v>
      </c>
      <c r="AC385" t="str">
        <v>Coimbatore</v>
      </c>
      <c r="AD385" t="str">
        <v>Tamil Nadu</v>
      </c>
      <c r="AE385" t="str">
        <v>South</v>
      </c>
      <c r="AF385" t="str">
        <v>Furniture</v>
      </c>
      <c r="AG385" t="str">
        <v>Sofa</v>
      </c>
      <c r="AH385">
        <v>2</v>
      </c>
      <c r="AI385">
        <v>3719.83</v>
      </c>
      <c r="AJ385">
        <v>7439.66</v>
      </c>
    </row>
    <row r="386" spans="1:36">
      <c r="A386" s="25">
        <v>44985</v>
      </c>
      <c r="B386" t="s">
        <v>1676</v>
      </c>
      <c r="C386" t="s">
        <v>1707</v>
      </c>
      <c r="D386" t="s">
        <v>1683</v>
      </c>
      <c r="E386" t="s">
        <v>1679</v>
      </c>
      <c r="F386" t="s">
        <v>101</v>
      </c>
      <c r="G386" t="s">
        <v>1715</v>
      </c>
      <c r="H386">
        <v>1</v>
      </c>
      <c r="I386">
        <v>2498.7399999999998</v>
      </c>
      <c r="J386">
        <v>2498.7399999999998</v>
      </c>
      <c r="AA386">
        <v>45246</v>
      </c>
      <c r="AB386" t="str">
        <v>Ananya</v>
      </c>
      <c r="AC386" t="str">
        <v>Coimbatore</v>
      </c>
      <c r="AD386" t="str">
        <v>Tamil Nadu</v>
      </c>
      <c r="AE386" t="str">
        <v>South</v>
      </c>
      <c r="AF386" t="str">
        <v>Furniture</v>
      </c>
      <c r="AG386" t="str">
        <v>Sofa</v>
      </c>
      <c r="AH386">
        <v>14</v>
      </c>
      <c r="AI386">
        <v>414.51</v>
      </c>
      <c r="AJ386">
        <v>5803.14</v>
      </c>
    </row>
    <row r="387" spans="1:36">
      <c r="A387" s="25">
        <v>45189</v>
      </c>
      <c r="B387" t="s">
        <v>1700</v>
      </c>
      <c r="C387" t="s">
        <v>1707</v>
      </c>
      <c r="D387" t="s">
        <v>1683</v>
      </c>
      <c r="E387" t="s">
        <v>1679</v>
      </c>
      <c r="F387" t="s">
        <v>101</v>
      </c>
      <c r="G387" t="s">
        <v>1709</v>
      </c>
      <c r="H387">
        <v>1</v>
      </c>
      <c r="I387">
        <v>1083.26</v>
      </c>
      <c r="J387">
        <v>1083.26</v>
      </c>
      <c r="AA387">
        <v>45044</v>
      </c>
      <c r="AB387" t="str">
        <v>Nishant</v>
      </c>
      <c r="AC387" t="str">
        <v>Coimbatore</v>
      </c>
      <c r="AD387" t="str">
        <v>Tamil Nadu</v>
      </c>
      <c r="AE387" t="str">
        <v>South</v>
      </c>
      <c r="AF387" t="str">
        <v>Furniture</v>
      </c>
      <c r="AG387" t="str">
        <v>Bed</v>
      </c>
      <c r="AH387">
        <v>20</v>
      </c>
      <c r="AI387">
        <v>278.55</v>
      </c>
      <c r="AJ387">
        <v>5571</v>
      </c>
    </row>
    <row r="388" spans="1:36">
      <c r="A388" s="25">
        <v>45010</v>
      </c>
      <c r="B388" t="s">
        <v>1705</v>
      </c>
      <c r="C388" t="s">
        <v>1707</v>
      </c>
      <c r="D388" t="s">
        <v>1683</v>
      </c>
      <c r="E388" t="s">
        <v>1679</v>
      </c>
      <c r="F388" t="s">
        <v>1687</v>
      </c>
      <c r="G388" t="s">
        <v>1710</v>
      </c>
      <c r="H388">
        <v>18</v>
      </c>
      <c r="I388">
        <v>2773.93</v>
      </c>
      <c r="J388">
        <v>49930.74</v>
      </c>
      <c r="AA388">
        <v>45203</v>
      </c>
      <c r="AB388" t="str">
        <v>Aditi</v>
      </c>
      <c r="AC388" t="str">
        <v>Coimbatore</v>
      </c>
      <c r="AD388" t="str">
        <v>Tamil Nadu</v>
      </c>
      <c r="AE388" t="str">
        <v>South</v>
      </c>
      <c r="AF388" t="str">
        <v>Furniture</v>
      </c>
      <c r="AG388" t="str">
        <v>Sofa</v>
      </c>
      <c r="AH388">
        <v>3</v>
      </c>
      <c r="AI388">
        <v>384.96</v>
      </c>
      <c r="AJ388">
        <v>1154.8800000000001</v>
      </c>
    </row>
    <row r="389" spans="1:36">
      <c r="A389" s="25">
        <v>45266</v>
      </c>
      <c r="B389" t="s">
        <v>1694</v>
      </c>
      <c r="C389" t="s">
        <v>1707</v>
      </c>
      <c r="D389" t="s">
        <v>1683</v>
      </c>
      <c r="E389" t="s">
        <v>1679</v>
      </c>
      <c r="F389" t="s">
        <v>1687</v>
      </c>
      <c r="G389" t="s">
        <v>1708</v>
      </c>
      <c r="H389">
        <v>19</v>
      </c>
      <c r="I389">
        <v>2494.11</v>
      </c>
      <c r="J389">
        <v>47388.09</v>
      </c>
      <c r="AA389">
        <v>45044</v>
      </c>
      <c r="AB389" t="str">
        <v>Aditi</v>
      </c>
      <c r="AC389" t="str">
        <v>Coimbatore</v>
      </c>
      <c r="AD389" t="str">
        <v>Tamil Nadu</v>
      </c>
      <c r="AE389" t="str">
        <v>South</v>
      </c>
      <c r="AF389" t="str">
        <v>Groceries</v>
      </c>
      <c r="AG389" t="str">
        <v>Oil</v>
      </c>
      <c r="AH389">
        <v>16</v>
      </c>
      <c r="AI389">
        <v>4047.21</v>
      </c>
      <c r="AJ389">
        <v>64755.360000000001</v>
      </c>
    </row>
    <row r="390" spans="1:36">
      <c r="A390" s="25">
        <v>44937</v>
      </c>
      <c r="B390" t="s">
        <v>1700</v>
      </c>
      <c r="C390" t="s">
        <v>1707</v>
      </c>
      <c r="D390" t="s">
        <v>1683</v>
      </c>
      <c r="E390" t="s">
        <v>1679</v>
      </c>
      <c r="F390" t="s">
        <v>1687</v>
      </c>
      <c r="G390" t="s">
        <v>1710</v>
      </c>
      <c r="H390">
        <v>17</v>
      </c>
      <c r="I390">
        <v>2215.5500000000002</v>
      </c>
      <c r="J390">
        <v>37664.35</v>
      </c>
      <c r="AA390">
        <v>44979</v>
      </c>
      <c r="AB390" t="str">
        <v>Riya</v>
      </c>
      <c r="AC390" t="str">
        <v>Coimbatore</v>
      </c>
      <c r="AD390" t="str">
        <v>Tamil Nadu</v>
      </c>
      <c r="AE390" t="str">
        <v>South</v>
      </c>
      <c r="AF390" t="str">
        <v>Groceries</v>
      </c>
      <c r="AG390" t="str">
        <v>Oil</v>
      </c>
      <c r="AH390">
        <v>14</v>
      </c>
      <c r="AI390">
        <v>4532.88</v>
      </c>
      <c r="AJ390">
        <v>63460.32</v>
      </c>
    </row>
    <row r="391" spans="1:36">
      <c r="A391" s="25">
        <v>45118</v>
      </c>
      <c r="B391" t="s">
        <v>1681</v>
      </c>
      <c r="C391" t="s">
        <v>1707</v>
      </c>
      <c r="D391" t="s">
        <v>1683</v>
      </c>
      <c r="E391" t="s">
        <v>1679</v>
      </c>
      <c r="F391" t="s">
        <v>1687</v>
      </c>
      <c r="G391" t="s">
        <v>1704</v>
      </c>
      <c r="H391">
        <v>13</v>
      </c>
      <c r="I391">
        <v>2244.77</v>
      </c>
      <c r="J391">
        <v>29182.01</v>
      </c>
      <c r="AA391">
        <v>45110</v>
      </c>
      <c r="AB391" t="str">
        <v>Riya</v>
      </c>
      <c r="AC391" t="str">
        <v>Coimbatore</v>
      </c>
      <c r="AD391" t="str">
        <v>Tamil Nadu</v>
      </c>
      <c r="AE391" t="str">
        <v>South</v>
      </c>
      <c r="AF391" t="str">
        <v>Groceries</v>
      </c>
      <c r="AG391" t="str">
        <v>Oil</v>
      </c>
      <c r="AH391">
        <v>13</v>
      </c>
      <c r="AI391">
        <v>4087.03</v>
      </c>
      <c r="AJ391">
        <v>53131.39</v>
      </c>
    </row>
    <row r="392" spans="1:36">
      <c r="A392" s="25">
        <v>45115</v>
      </c>
      <c r="B392" t="s">
        <v>1689</v>
      </c>
      <c r="C392" t="s">
        <v>1707</v>
      </c>
      <c r="D392" t="s">
        <v>1683</v>
      </c>
      <c r="E392" t="s">
        <v>1679</v>
      </c>
      <c r="F392" t="s">
        <v>1687</v>
      </c>
      <c r="G392" t="s">
        <v>1688</v>
      </c>
      <c r="H392">
        <v>12</v>
      </c>
      <c r="I392">
        <v>2393.9699999999998</v>
      </c>
      <c r="J392">
        <v>28727.64</v>
      </c>
      <c r="AA392">
        <v>45193</v>
      </c>
      <c r="AB392" t="str">
        <v>Kabir</v>
      </c>
      <c r="AC392" t="str">
        <v>Coimbatore</v>
      </c>
      <c r="AD392" t="str">
        <v>Tamil Nadu</v>
      </c>
      <c r="AE392" t="str">
        <v>South</v>
      </c>
      <c r="AF392" t="str">
        <v>Groceries</v>
      </c>
      <c r="AG392" t="str">
        <v>Sugar</v>
      </c>
      <c r="AH392">
        <v>11</v>
      </c>
      <c r="AI392">
        <v>4446.37</v>
      </c>
      <c r="AJ392">
        <v>48910.07</v>
      </c>
    </row>
    <row r="393" spans="1:36">
      <c r="A393" s="25">
        <v>45133</v>
      </c>
      <c r="B393" t="s">
        <v>1671</v>
      </c>
      <c r="C393" t="s">
        <v>1707</v>
      </c>
      <c r="D393" t="s">
        <v>1683</v>
      </c>
      <c r="E393" t="s">
        <v>1679</v>
      </c>
      <c r="F393" t="s">
        <v>1687</v>
      </c>
      <c r="G393" t="s">
        <v>1704</v>
      </c>
      <c r="H393">
        <v>7</v>
      </c>
      <c r="I393">
        <v>3168.77</v>
      </c>
      <c r="J393">
        <v>22181.39</v>
      </c>
      <c r="AA393">
        <v>45221</v>
      </c>
      <c r="AB393" t="str">
        <v>Vihaan</v>
      </c>
      <c r="AC393" t="str">
        <v>Coimbatore</v>
      </c>
      <c r="AD393" t="str">
        <v>Tamil Nadu</v>
      </c>
      <c r="AE393" t="str">
        <v>South</v>
      </c>
      <c r="AF393" t="str">
        <v>Groceries</v>
      </c>
      <c r="AG393" t="str">
        <v>Lentils</v>
      </c>
      <c r="AH393">
        <v>20</v>
      </c>
      <c r="AI393">
        <v>2295.08</v>
      </c>
      <c r="AJ393">
        <v>45901.599999999999</v>
      </c>
    </row>
    <row r="394" spans="1:36">
      <c r="A394" s="25">
        <v>45244</v>
      </c>
      <c r="B394" t="s">
        <v>1705</v>
      </c>
      <c r="C394" t="s">
        <v>1707</v>
      </c>
      <c r="D394" t="s">
        <v>1683</v>
      </c>
      <c r="E394" t="s">
        <v>1679</v>
      </c>
      <c r="F394" t="s">
        <v>1687</v>
      </c>
      <c r="G394" t="s">
        <v>1708</v>
      </c>
      <c r="H394">
        <v>7</v>
      </c>
      <c r="I394">
        <v>2264.87</v>
      </c>
      <c r="J394">
        <v>15854.09</v>
      </c>
      <c r="AA394">
        <v>44976</v>
      </c>
      <c r="AB394" t="str">
        <v>Meera</v>
      </c>
      <c r="AC394" t="str">
        <v>Coimbatore</v>
      </c>
      <c r="AD394" t="str">
        <v>Tamil Nadu</v>
      </c>
      <c r="AE394" t="str">
        <v>South</v>
      </c>
      <c r="AF394" t="str">
        <v>Groceries</v>
      </c>
      <c r="AG394" t="str">
        <v>Oil</v>
      </c>
      <c r="AH394">
        <v>20</v>
      </c>
      <c r="AI394">
        <v>1731.99</v>
      </c>
      <c r="AJ394">
        <v>34639.800000000003</v>
      </c>
    </row>
    <row r="395" spans="1:36">
      <c r="A395" s="25">
        <v>45145</v>
      </c>
      <c r="B395" t="s">
        <v>1698</v>
      </c>
      <c r="C395" t="s">
        <v>1707</v>
      </c>
      <c r="D395" t="s">
        <v>1683</v>
      </c>
      <c r="E395" t="s">
        <v>1679</v>
      </c>
      <c r="F395" t="s">
        <v>1687</v>
      </c>
      <c r="G395" t="s">
        <v>1704</v>
      </c>
      <c r="H395">
        <v>2</v>
      </c>
      <c r="I395">
        <v>4883.5600000000004</v>
      </c>
      <c r="J395">
        <v>9767.1200000000008</v>
      </c>
      <c r="AA395">
        <v>45115</v>
      </c>
      <c r="AB395" t="str">
        <v>Ananya</v>
      </c>
      <c r="AC395" t="str">
        <v>Coimbatore</v>
      </c>
      <c r="AD395" t="str">
        <v>Tamil Nadu</v>
      </c>
      <c r="AE395" t="str">
        <v>South</v>
      </c>
      <c r="AF395" t="str">
        <v>Groceries</v>
      </c>
      <c r="AG395" t="str">
        <v>Sugar</v>
      </c>
      <c r="AH395">
        <v>13</v>
      </c>
      <c r="AI395">
        <v>2526.1999999999998</v>
      </c>
      <c r="AJ395">
        <v>32840.6</v>
      </c>
    </row>
    <row r="396" spans="1:36">
      <c r="A396" s="25">
        <v>45260</v>
      </c>
      <c r="B396" t="s">
        <v>1689</v>
      </c>
      <c r="C396" t="s">
        <v>1707</v>
      </c>
      <c r="D396" t="s">
        <v>1683</v>
      </c>
      <c r="E396" t="s">
        <v>1679</v>
      </c>
      <c r="F396" t="s">
        <v>1687</v>
      </c>
      <c r="G396" t="s">
        <v>1704</v>
      </c>
      <c r="H396">
        <v>20</v>
      </c>
      <c r="I396">
        <v>285.95999999999998</v>
      </c>
      <c r="J396">
        <v>5719.2</v>
      </c>
      <c r="AA396">
        <v>45289</v>
      </c>
      <c r="AB396" t="str">
        <v>Vihaan</v>
      </c>
      <c r="AC396" t="str">
        <v>Coimbatore</v>
      </c>
      <c r="AD396" t="str">
        <v>Tamil Nadu</v>
      </c>
      <c r="AE396" t="str">
        <v>South</v>
      </c>
      <c r="AF396" t="str">
        <v>Groceries</v>
      </c>
      <c r="AG396" t="str">
        <v>Lentils</v>
      </c>
      <c r="AH396">
        <v>10</v>
      </c>
      <c r="AI396">
        <v>3031.91</v>
      </c>
      <c r="AJ396">
        <v>30319.1</v>
      </c>
    </row>
    <row r="397" spans="1:36">
      <c r="A397" s="25">
        <v>45000</v>
      </c>
      <c r="B397" t="s">
        <v>1671</v>
      </c>
      <c r="C397" t="s">
        <v>1707</v>
      </c>
      <c r="D397" t="s">
        <v>1683</v>
      </c>
      <c r="E397" t="s">
        <v>1679</v>
      </c>
      <c r="F397" t="s">
        <v>1687</v>
      </c>
      <c r="G397" t="s">
        <v>1688</v>
      </c>
      <c r="H397">
        <v>3</v>
      </c>
      <c r="I397">
        <v>1810.87</v>
      </c>
      <c r="J397">
        <v>5432.61</v>
      </c>
      <c r="AA397">
        <v>45286</v>
      </c>
      <c r="AB397" t="str">
        <v>Riya</v>
      </c>
      <c r="AC397" t="str">
        <v>Coimbatore</v>
      </c>
      <c r="AD397" t="str">
        <v>Tamil Nadu</v>
      </c>
      <c r="AE397" t="str">
        <v>South</v>
      </c>
      <c r="AF397" t="str">
        <v>Groceries</v>
      </c>
      <c r="AG397" t="str">
        <v>Lentils</v>
      </c>
      <c r="AH397">
        <v>19</v>
      </c>
      <c r="AI397">
        <v>1441.02</v>
      </c>
      <c r="AJ397">
        <v>27379.38</v>
      </c>
    </row>
    <row r="398" spans="1:36">
      <c r="A398" s="25">
        <v>45115</v>
      </c>
      <c r="B398" t="s">
        <v>1705</v>
      </c>
      <c r="C398" t="s">
        <v>1707</v>
      </c>
      <c r="D398" t="s">
        <v>1683</v>
      </c>
      <c r="E398" t="s">
        <v>1679</v>
      </c>
      <c r="F398" t="s">
        <v>114</v>
      </c>
      <c r="G398" t="s">
        <v>1712</v>
      </c>
      <c r="H398">
        <v>14</v>
      </c>
      <c r="I398">
        <v>4164.33</v>
      </c>
      <c r="J398">
        <v>58300.62</v>
      </c>
      <c r="AA398">
        <v>45255</v>
      </c>
      <c r="AB398" t="str">
        <v>Aryan</v>
      </c>
      <c r="AC398" t="str">
        <v>Coimbatore</v>
      </c>
      <c r="AD398" t="str">
        <v>Tamil Nadu</v>
      </c>
      <c r="AE398" t="str">
        <v>South</v>
      </c>
      <c r="AF398" t="str">
        <v>Groceries</v>
      </c>
      <c r="AG398" t="str">
        <v>Rice</v>
      </c>
      <c r="AH398">
        <v>6</v>
      </c>
      <c r="AI398">
        <v>4286.28</v>
      </c>
      <c r="AJ398">
        <v>25717.68</v>
      </c>
    </row>
    <row r="399" spans="1:36">
      <c r="A399" s="25">
        <v>45105</v>
      </c>
      <c r="B399" t="s">
        <v>1686</v>
      </c>
      <c r="C399" t="s">
        <v>1707</v>
      </c>
      <c r="D399" t="s">
        <v>1683</v>
      </c>
      <c r="E399" t="s">
        <v>1679</v>
      </c>
      <c r="F399" t="s">
        <v>114</v>
      </c>
      <c r="G399" t="s">
        <v>1712</v>
      </c>
      <c r="H399">
        <v>11</v>
      </c>
      <c r="I399">
        <v>4653.38</v>
      </c>
      <c r="J399">
        <v>51187.18</v>
      </c>
      <c r="AA399">
        <v>45282</v>
      </c>
      <c r="AB399" t="str">
        <v>Aryan</v>
      </c>
      <c r="AC399" t="str">
        <v>Coimbatore</v>
      </c>
      <c r="AD399" t="str">
        <v>Tamil Nadu</v>
      </c>
      <c r="AE399" t="str">
        <v>South</v>
      </c>
      <c r="AF399" t="str">
        <v>Groceries</v>
      </c>
      <c r="AG399" t="str">
        <v>Lentils</v>
      </c>
      <c r="AH399">
        <v>4</v>
      </c>
      <c r="AI399">
        <v>4724.33</v>
      </c>
      <c r="AJ399">
        <v>18897.32</v>
      </c>
    </row>
    <row r="400" spans="1:36">
      <c r="A400" s="25">
        <v>45022</v>
      </c>
      <c r="B400" t="s">
        <v>1689</v>
      </c>
      <c r="C400" t="s">
        <v>1707</v>
      </c>
      <c r="D400" t="s">
        <v>1683</v>
      </c>
      <c r="E400" t="s">
        <v>1679</v>
      </c>
      <c r="F400" t="s">
        <v>114</v>
      </c>
      <c r="G400" t="s">
        <v>1712</v>
      </c>
      <c r="H400">
        <v>18</v>
      </c>
      <c r="I400">
        <v>2722.99</v>
      </c>
      <c r="J400">
        <v>49013.82</v>
      </c>
      <c r="AA400">
        <v>45057</v>
      </c>
      <c r="AB400" t="str">
        <v>Riya</v>
      </c>
      <c r="AC400" t="str">
        <v>Coimbatore</v>
      </c>
      <c r="AD400" t="str">
        <v>Tamil Nadu</v>
      </c>
      <c r="AE400" t="str">
        <v>South</v>
      </c>
      <c r="AF400" t="str">
        <v>Groceries</v>
      </c>
      <c r="AG400" t="str">
        <v>Sugar</v>
      </c>
      <c r="AH400">
        <v>15</v>
      </c>
      <c r="AI400">
        <v>1197.31</v>
      </c>
      <c r="AJ400">
        <v>17959.650000000001</v>
      </c>
    </row>
    <row r="401" spans="1:36">
      <c r="A401" s="25">
        <v>45103</v>
      </c>
      <c r="B401" t="s">
        <v>1694</v>
      </c>
      <c r="C401" t="s">
        <v>1707</v>
      </c>
      <c r="D401" t="s">
        <v>1683</v>
      </c>
      <c r="E401" t="s">
        <v>1679</v>
      </c>
      <c r="F401" t="s">
        <v>114</v>
      </c>
      <c r="G401" t="s">
        <v>1718</v>
      </c>
      <c r="H401">
        <v>13</v>
      </c>
      <c r="I401">
        <v>3616.99</v>
      </c>
      <c r="J401">
        <v>47020.87</v>
      </c>
      <c r="AA401">
        <v>45158</v>
      </c>
      <c r="AB401" t="str">
        <v>Aditi</v>
      </c>
      <c r="AC401" t="str">
        <v>Coimbatore</v>
      </c>
      <c r="AD401" t="str">
        <v>Tamil Nadu</v>
      </c>
      <c r="AE401" t="str">
        <v>South</v>
      </c>
      <c r="AF401" t="str">
        <v>Groceries</v>
      </c>
      <c r="AG401" t="str">
        <v>Rice</v>
      </c>
      <c r="AH401">
        <v>11</v>
      </c>
      <c r="AI401">
        <v>1527.71</v>
      </c>
      <c r="AJ401">
        <v>16804.810000000001</v>
      </c>
    </row>
    <row r="402" spans="1:36">
      <c r="A402" s="25">
        <v>44950</v>
      </c>
      <c r="B402" t="s">
        <v>1689</v>
      </c>
      <c r="C402" t="s">
        <v>1707</v>
      </c>
      <c r="D402" t="s">
        <v>1683</v>
      </c>
      <c r="E402" t="s">
        <v>1679</v>
      </c>
      <c r="F402" t="s">
        <v>114</v>
      </c>
      <c r="G402" t="s">
        <v>1691</v>
      </c>
      <c r="H402">
        <v>9</v>
      </c>
      <c r="I402">
        <v>4965.3</v>
      </c>
      <c r="J402">
        <v>44687.7</v>
      </c>
      <c r="AA402">
        <v>45232</v>
      </c>
      <c r="AB402" t="str">
        <v>Ishita</v>
      </c>
      <c r="AC402" t="str">
        <v>Coimbatore</v>
      </c>
      <c r="AD402" t="str">
        <v>Tamil Nadu</v>
      </c>
      <c r="AE402" t="str">
        <v>South</v>
      </c>
      <c r="AF402" t="str">
        <v>Groceries</v>
      </c>
      <c r="AG402" t="str">
        <v>Oil</v>
      </c>
      <c r="AH402">
        <v>3</v>
      </c>
      <c r="AI402">
        <v>4931.6899999999996</v>
      </c>
      <c r="AJ402">
        <v>14795.07</v>
      </c>
    </row>
    <row r="403" spans="1:36">
      <c r="A403" s="25">
        <v>44971</v>
      </c>
      <c r="B403" t="s">
        <v>1681</v>
      </c>
      <c r="C403" t="s">
        <v>1707</v>
      </c>
      <c r="D403" t="s">
        <v>1683</v>
      </c>
      <c r="E403" t="s">
        <v>1679</v>
      </c>
      <c r="F403" t="s">
        <v>114</v>
      </c>
      <c r="G403" t="s">
        <v>1680</v>
      </c>
      <c r="H403">
        <v>20</v>
      </c>
      <c r="I403">
        <v>2155.17</v>
      </c>
      <c r="J403">
        <v>43103.4</v>
      </c>
      <c r="AA403">
        <v>44960</v>
      </c>
      <c r="AB403" t="str">
        <v>Kabir</v>
      </c>
      <c r="AC403" t="str">
        <v>Coimbatore</v>
      </c>
      <c r="AD403" t="str">
        <v>Tamil Nadu</v>
      </c>
      <c r="AE403" t="str">
        <v>South</v>
      </c>
      <c r="AF403" t="str">
        <v>Groceries</v>
      </c>
      <c r="AG403" t="str">
        <v>Lentils</v>
      </c>
      <c r="AH403">
        <v>16</v>
      </c>
      <c r="AI403">
        <v>827.8</v>
      </c>
      <c r="AJ403">
        <v>13244.8</v>
      </c>
    </row>
    <row r="404" spans="1:36">
      <c r="A404" s="25">
        <v>45145</v>
      </c>
      <c r="B404" t="s">
        <v>1681</v>
      </c>
      <c r="C404" t="s">
        <v>1707</v>
      </c>
      <c r="D404" t="s">
        <v>1683</v>
      </c>
      <c r="E404" t="s">
        <v>1679</v>
      </c>
      <c r="F404" t="s">
        <v>114</v>
      </c>
      <c r="G404" t="s">
        <v>1718</v>
      </c>
      <c r="H404">
        <v>12</v>
      </c>
      <c r="I404">
        <v>2820.88</v>
      </c>
      <c r="J404">
        <v>33850.559999999998</v>
      </c>
      <c r="AA404">
        <v>44939</v>
      </c>
      <c r="AB404" t="str">
        <v>Aryan</v>
      </c>
      <c r="AC404" t="str">
        <v>Coimbatore</v>
      </c>
      <c r="AD404" t="str">
        <v>Tamil Nadu</v>
      </c>
      <c r="AE404" t="str">
        <v>South</v>
      </c>
      <c r="AF404" t="str">
        <v>Groceries</v>
      </c>
      <c r="AG404" t="str">
        <v>Sugar</v>
      </c>
      <c r="AH404">
        <v>14</v>
      </c>
      <c r="AI404">
        <v>859.79</v>
      </c>
      <c r="AJ404">
        <v>12037.06</v>
      </c>
    </row>
    <row r="405" spans="1:36">
      <c r="A405" s="25">
        <v>45290</v>
      </c>
      <c r="B405" t="s">
        <v>1676</v>
      </c>
      <c r="C405" t="s">
        <v>1707</v>
      </c>
      <c r="D405" t="s">
        <v>1683</v>
      </c>
      <c r="E405" t="s">
        <v>1679</v>
      </c>
      <c r="F405" t="s">
        <v>114</v>
      </c>
      <c r="G405" t="s">
        <v>1691</v>
      </c>
      <c r="H405">
        <v>19</v>
      </c>
      <c r="I405">
        <v>1726.65</v>
      </c>
      <c r="J405">
        <v>32806.35</v>
      </c>
      <c r="AA405">
        <v>45230</v>
      </c>
      <c r="AB405" t="str">
        <v>Meera</v>
      </c>
      <c r="AC405" t="str">
        <v>Coimbatore</v>
      </c>
      <c r="AD405" t="str">
        <v>Tamil Nadu</v>
      </c>
      <c r="AE405" t="str">
        <v>South</v>
      </c>
      <c r="AF405" t="str">
        <v>Groceries</v>
      </c>
      <c r="AG405" t="str">
        <v>Lentils</v>
      </c>
      <c r="AH405">
        <v>6</v>
      </c>
      <c r="AI405">
        <v>1105.03</v>
      </c>
      <c r="AJ405">
        <v>6630.18</v>
      </c>
    </row>
    <row r="406" spans="1:36">
      <c r="A406" s="25">
        <v>45199</v>
      </c>
      <c r="B406" t="s">
        <v>1686</v>
      </c>
      <c r="C406" t="s">
        <v>1707</v>
      </c>
      <c r="D406" t="s">
        <v>1683</v>
      </c>
      <c r="E406" t="s">
        <v>1679</v>
      </c>
      <c r="F406" t="s">
        <v>114</v>
      </c>
      <c r="G406" t="s">
        <v>1691</v>
      </c>
      <c r="H406">
        <v>15</v>
      </c>
      <c r="I406">
        <v>1738.86</v>
      </c>
      <c r="J406">
        <v>26082.9</v>
      </c>
      <c r="AA406">
        <v>45159</v>
      </c>
      <c r="AB406" t="str">
        <v>Meera</v>
      </c>
      <c r="AC406" t="str">
        <v>Coimbatore</v>
      </c>
      <c r="AD406" t="str">
        <v>Tamil Nadu</v>
      </c>
      <c r="AE406" t="str">
        <v>South</v>
      </c>
      <c r="AF406" t="str">
        <v>Groceries</v>
      </c>
      <c r="AG406" t="str">
        <v>Rice</v>
      </c>
      <c r="AH406">
        <v>6</v>
      </c>
      <c r="AI406">
        <v>746.23</v>
      </c>
      <c r="AJ406">
        <v>4477.38</v>
      </c>
    </row>
    <row r="407" spans="1:36">
      <c r="A407" s="25">
        <v>44964</v>
      </c>
      <c r="B407" t="s">
        <v>1698</v>
      </c>
      <c r="C407" t="s">
        <v>1707</v>
      </c>
      <c r="D407" t="s">
        <v>1683</v>
      </c>
      <c r="E407" t="s">
        <v>1679</v>
      </c>
      <c r="F407" t="s">
        <v>114</v>
      </c>
      <c r="G407" t="s">
        <v>1691</v>
      </c>
      <c r="H407">
        <v>7</v>
      </c>
      <c r="I407">
        <v>3396.62</v>
      </c>
      <c r="J407">
        <v>23776.34</v>
      </c>
      <c r="AA407">
        <v>45091</v>
      </c>
      <c r="AB407" t="str">
        <v>Aditi</v>
      </c>
      <c r="AC407" t="str">
        <v>Coimbatore</v>
      </c>
      <c r="AD407" t="str">
        <v>Tamil Nadu</v>
      </c>
      <c r="AE407" t="str">
        <v>South</v>
      </c>
      <c r="AF407" t="str">
        <v>Groceries</v>
      </c>
      <c r="AG407" t="str">
        <v>Lentils</v>
      </c>
      <c r="AH407">
        <v>6</v>
      </c>
      <c r="AI407">
        <v>578.64</v>
      </c>
      <c r="AJ407">
        <v>3471.84</v>
      </c>
    </row>
    <row r="408" spans="1:36">
      <c r="A408" s="25">
        <v>45221</v>
      </c>
      <c r="B408" t="s">
        <v>1686</v>
      </c>
      <c r="C408" t="s">
        <v>1707</v>
      </c>
      <c r="D408" t="s">
        <v>1683</v>
      </c>
      <c r="E408" t="s">
        <v>1679</v>
      </c>
      <c r="F408" t="s">
        <v>114</v>
      </c>
      <c r="G408" t="s">
        <v>1718</v>
      </c>
      <c r="H408">
        <v>11</v>
      </c>
      <c r="I408">
        <v>1841.84</v>
      </c>
      <c r="J408">
        <v>20260.240000000002</v>
      </c>
      <c r="AA408">
        <v>45201</v>
      </c>
      <c r="AB408" t="str">
        <v>Meera</v>
      </c>
      <c r="AC408" t="str">
        <v>Coimbatore</v>
      </c>
      <c r="AD408" t="str">
        <v>Tamil Nadu</v>
      </c>
      <c r="AE408" t="str">
        <v>South</v>
      </c>
      <c r="AF408" t="str">
        <v>Groceries</v>
      </c>
      <c r="AG408" t="str">
        <v>Rice</v>
      </c>
      <c r="AH408">
        <v>1</v>
      </c>
      <c r="AI408">
        <v>414.64</v>
      </c>
      <c r="AJ408">
        <v>414.64</v>
      </c>
    </row>
    <row r="409" spans="1:36">
      <c r="A409" s="25">
        <v>45016</v>
      </c>
      <c r="B409" t="s">
        <v>1692</v>
      </c>
      <c r="C409" t="s">
        <v>1707</v>
      </c>
      <c r="D409" t="s">
        <v>1683</v>
      </c>
      <c r="E409" t="s">
        <v>1679</v>
      </c>
      <c r="F409" t="s">
        <v>114</v>
      </c>
      <c r="G409" t="s">
        <v>1718</v>
      </c>
      <c r="H409">
        <v>4</v>
      </c>
      <c r="I409">
        <v>4965.34</v>
      </c>
      <c r="J409">
        <v>19861.36</v>
      </c>
      <c r="AA409">
        <v>44986</v>
      </c>
      <c r="AB409" t="str">
        <v>Nishant</v>
      </c>
      <c r="AC409" t="str">
        <v>Coimbatore</v>
      </c>
      <c r="AD409" t="str">
        <v>Tamil Nadu</v>
      </c>
      <c r="AE409" t="str">
        <v>South</v>
      </c>
      <c r="AF409" t="str">
        <v>Stationery</v>
      </c>
      <c r="AG409" t="str">
        <v>Notebook</v>
      </c>
      <c r="AH409">
        <v>19</v>
      </c>
      <c r="AI409">
        <v>3990.16</v>
      </c>
      <c r="AJ409">
        <v>75813.039999999994</v>
      </c>
    </row>
    <row r="410" spans="1:36">
      <c r="A410" s="25">
        <v>45002</v>
      </c>
      <c r="B410" t="s">
        <v>1689</v>
      </c>
      <c r="C410" t="s">
        <v>1707</v>
      </c>
      <c r="D410" t="s">
        <v>1683</v>
      </c>
      <c r="E410" t="s">
        <v>1679</v>
      </c>
      <c r="F410" t="s">
        <v>114</v>
      </c>
      <c r="G410" t="s">
        <v>1691</v>
      </c>
      <c r="H410">
        <v>6</v>
      </c>
      <c r="I410">
        <v>1919.03</v>
      </c>
      <c r="J410">
        <v>11514.18</v>
      </c>
      <c r="AA410">
        <v>45120</v>
      </c>
      <c r="AB410" t="str">
        <v>Kabir</v>
      </c>
      <c r="AC410" t="str">
        <v>Coimbatore</v>
      </c>
      <c r="AD410" t="str">
        <v>Tamil Nadu</v>
      </c>
      <c r="AE410" t="str">
        <v>South</v>
      </c>
      <c r="AF410" t="str">
        <v>Stationery</v>
      </c>
      <c r="AG410" t="str">
        <v>Pen</v>
      </c>
      <c r="AH410">
        <v>18</v>
      </c>
      <c r="AI410">
        <v>4132.6899999999996</v>
      </c>
      <c r="AJ410">
        <v>74388.42</v>
      </c>
    </row>
    <row r="411" spans="1:36">
      <c r="A411" s="25">
        <v>45056</v>
      </c>
      <c r="B411" t="s">
        <v>1676</v>
      </c>
      <c r="C411" t="s">
        <v>1707</v>
      </c>
      <c r="D411" t="s">
        <v>1683</v>
      </c>
      <c r="E411" t="s">
        <v>1679</v>
      </c>
      <c r="F411" t="s">
        <v>114</v>
      </c>
      <c r="G411" t="s">
        <v>1691</v>
      </c>
      <c r="H411">
        <v>19</v>
      </c>
      <c r="I411">
        <v>491.53</v>
      </c>
      <c r="J411">
        <v>9339.07</v>
      </c>
      <c r="AA411">
        <v>45083</v>
      </c>
      <c r="AB411" t="str">
        <v>Aryan</v>
      </c>
      <c r="AC411" t="str">
        <v>Coimbatore</v>
      </c>
      <c r="AD411" t="str">
        <v>Tamil Nadu</v>
      </c>
      <c r="AE411" t="str">
        <v>South</v>
      </c>
      <c r="AF411" t="str">
        <v>Stationery</v>
      </c>
      <c r="AG411" t="str">
        <v>Eraser</v>
      </c>
      <c r="AH411">
        <v>15</v>
      </c>
      <c r="AI411">
        <v>4599.74</v>
      </c>
      <c r="AJ411">
        <v>68996.100000000006</v>
      </c>
    </row>
    <row r="412" spans="1:36">
      <c r="A412" s="25">
        <v>45203</v>
      </c>
      <c r="B412" t="s">
        <v>1681</v>
      </c>
      <c r="C412" t="s">
        <v>1707</v>
      </c>
      <c r="D412" t="s">
        <v>1683</v>
      </c>
      <c r="E412" t="s">
        <v>1679</v>
      </c>
      <c r="F412" t="s">
        <v>114</v>
      </c>
      <c r="G412" t="s">
        <v>1691</v>
      </c>
      <c r="H412">
        <v>7</v>
      </c>
      <c r="I412">
        <v>1073.54</v>
      </c>
      <c r="J412">
        <v>7514.78</v>
      </c>
      <c r="AA412">
        <v>45009</v>
      </c>
      <c r="AB412" t="str">
        <v>Aryan</v>
      </c>
      <c r="AC412" t="str">
        <v>Coimbatore</v>
      </c>
      <c r="AD412" t="str">
        <v>Tamil Nadu</v>
      </c>
      <c r="AE412" t="str">
        <v>South</v>
      </c>
      <c r="AF412" t="str">
        <v>Stationery</v>
      </c>
      <c r="AG412" t="str">
        <v>Notebook</v>
      </c>
      <c r="AH412">
        <v>11</v>
      </c>
      <c r="AI412">
        <v>4382.91</v>
      </c>
      <c r="AJ412">
        <v>48212.01</v>
      </c>
    </row>
    <row r="413" spans="1:36">
      <c r="A413" s="25">
        <v>45079</v>
      </c>
      <c r="B413" t="s">
        <v>1671</v>
      </c>
      <c r="C413" t="s">
        <v>1707</v>
      </c>
      <c r="D413" t="s">
        <v>1683</v>
      </c>
      <c r="E413" t="s">
        <v>1679</v>
      </c>
      <c r="F413" t="s">
        <v>114</v>
      </c>
      <c r="G413" t="s">
        <v>1712</v>
      </c>
      <c r="H413">
        <v>9</v>
      </c>
      <c r="I413">
        <v>662.41</v>
      </c>
      <c r="J413">
        <v>5961.69</v>
      </c>
      <c r="AA413">
        <v>45051</v>
      </c>
      <c r="AB413" t="str">
        <v>Nishant</v>
      </c>
      <c r="AC413" t="str">
        <v>Coimbatore</v>
      </c>
      <c r="AD413" t="str">
        <v>Tamil Nadu</v>
      </c>
      <c r="AE413" t="str">
        <v>South</v>
      </c>
      <c r="AF413" t="str">
        <v>Stationery</v>
      </c>
      <c r="AG413" t="str">
        <v>Pen</v>
      </c>
      <c r="AH413">
        <v>10</v>
      </c>
      <c r="AI413">
        <v>3776.8</v>
      </c>
      <c r="AJ413">
        <v>37768</v>
      </c>
    </row>
    <row r="414" spans="1:36">
      <c r="A414" s="25">
        <v>45068</v>
      </c>
      <c r="B414" t="s">
        <v>1698</v>
      </c>
      <c r="C414" t="s">
        <v>1706</v>
      </c>
      <c r="D414" t="s">
        <v>1702</v>
      </c>
      <c r="E414" t="s">
        <v>1703</v>
      </c>
      <c r="F414" t="s">
        <v>97</v>
      </c>
      <c r="G414" t="s">
        <v>1697</v>
      </c>
      <c r="H414">
        <v>19</v>
      </c>
      <c r="I414">
        <v>3485.85</v>
      </c>
      <c r="J414">
        <v>66231.149999999994</v>
      </c>
      <c r="AA414">
        <v>45231</v>
      </c>
      <c r="AB414" t="str">
        <v>Vihaan</v>
      </c>
      <c r="AC414" t="str">
        <v>Coimbatore</v>
      </c>
      <c r="AD414" t="str">
        <v>Tamil Nadu</v>
      </c>
      <c r="AE414" t="str">
        <v>South</v>
      </c>
      <c r="AF414" t="str">
        <v>Stationery</v>
      </c>
      <c r="AG414" t="str">
        <v>Ruler</v>
      </c>
      <c r="AH414">
        <v>9</v>
      </c>
      <c r="AI414">
        <v>3801.85</v>
      </c>
      <c r="AJ414">
        <v>34216.65</v>
      </c>
    </row>
    <row r="415" spans="1:36">
      <c r="A415" s="25">
        <v>45087</v>
      </c>
      <c r="B415" t="s">
        <v>1700</v>
      </c>
      <c r="C415" t="s">
        <v>1706</v>
      </c>
      <c r="D415" t="s">
        <v>1702</v>
      </c>
      <c r="E415" t="s">
        <v>1703</v>
      </c>
      <c r="F415" t="s">
        <v>97</v>
      </c>
      <c r="G415" t="s">
        <v>1699</v>
      </c>
      <c r="H415">
        <v>20</v>
      </c>
      <c r="I415">
        <v>2721.24</v>
      </c>
      <c r="J415">
        <v>54424.800000000003</v>
      </c>
      <c r="AA415">
        <v>45044</v>
      </c>
      <c r="AB415" t="str">
        <v>Aditi</v>
      </c>
      <c r="AC415" t="str">
        <v>Coimbatore</v>
      </c>
      <c r="AD415" t="str">
        <v>Tamil Nadu</v>
      </c>
      <c r="AE415" t="str">
        <v>South</v>
      </c>
      <c r="AF415" t="str">
        <v>Stationery</v>
      </c>
      <c r="AG415" t="str">
        <v>Ruler</v>
      </c>
      <c r="AH415">
        <v>18</v>
      </c>
      <c r="AI415">
        <v>698.42</v>
      </c>
      <c r="AJ415">
        <v>12571.56</v>
      </c>
    </row>
    <row r="416" spans="1:36">
      <c r="A416" s="25">
        <v>45207</v>
      </c>
      <c r="B416" t="s">
        <v>1681</v>
      </c>
      <c r="C416" t="s">
        <v>1706</v>
      </c>
      <c r="D416" t="s">
        <v>1702</v>
      </c>
      <c r="E416" t="s">
        <v>1703</v>
      </c>
      <c r="F416" t="s">
        <v>97</v>
      </c>
      <c r="G416" t="s">
        <v>1685</v>
      </c>
      <c r="H416">
        <v>19</v>
      </c>
      <c r="I416">
        <v>2862.47</v>
      </c>
      <c r="J416">
        <v>54386.93</v>
      </c>
      <c r="AA416">
        <v>45037</v>
      </c>
      <c r="AB416" t="str">
        <v>Kabir</v>
      </c>
      <c r="AC416" t="str">
        <v>Hubli</v>
      </c>
      <c r="AD416" t="str">
        <v>Karnataka</v>
      </c>
      <c r="AE416" t="str">
        <v>South</v>
      </c>
      <c r="AF416" t="str">
        <v>Clothing</v>
      </c>
      <c r="AG416" t="str">
        <v>Jacket</v>
      </c>
      <c r="AH416">
        <v>19</v>
      </c>
      <c r="AI416">
        <v>4513.6000000000004</v>
      </c>
      <c r="AJ416">
        <v>85758.399999999994</v>
      </c>
    </row>
    <row r="417" spans="1:36">
      <c r="A417" s="25">
        <v>44940</v>
      </c>
      <c r="B417" t="s">
        <v>1689</v>
      </c>
      <c r="C417" t="s">
        <v>1706</v>
      </c>
      <c r="D417" t="s">
        <v>1702</v>
      </c>
      <c r="E417" t="s">
        <v>1703</v>
      </c>
      <c r="F417" t="s">
        <v>97</v>
      </c>
      <c r="G417" t="s">
        <v>1711</v>
      </c>
      <c r="H417">
        <v>16</v>
      </c>
      <c r="I417">
        <v>2995.01</v>
      </c>
      <c r="J417">
        <v>47920.160000000003</v>
      </c>
      <c r="AA417">
        <v>45075</v>
      </c>
      <c r="AB417" t="str">
        <v>Ananya</v>
      </c>
      <c r="AC417" t="str">
        <v>Hubli</v>
      </c>
      <c r="AD417" t="str">
        <v>Karnataka</v>
      </c>
      <c r="AE417" t="str">
        <v>South</v>
      </c>
      <c r="AF417" t="str">
        <v>Clothing</v>
      </c>
      <c r="AG417" t="str">
        <v>Dress</v>
      </c>
      <c r="AH417">
        <v>12</v>
      </c>
      <c r="AI417">
        <v>4446.1499999999996</v>
      </c>
      <c r="AJ417">
        <v>53353.8</v>
      </c>
    </row>
    <row r="418" spans="1:36">
      <c r="A418" s="25">
        <v>45033</v>
      </c>
      <c r="B418" t="s">
        <v>1686</v>
      </c>
      <c r="C418" t="s">
        <v>1706</v>
      </c>
      <c r="D418" t="s">
        <v>1702</v>
      </c>
      <c r="E418" t="s">
        <v>1703</v>
      </c>
      <c r="F418" t="s">
        <v>97</v>
      </c>
      <c r="G418" t="s">
        <v>1685</v>
      </c>
      <c r="H418">
        <v>19</v>
      </c>
      <c r="I418">
        <v>2253.92</v>
      </c>
      <c r="J418">
        <v>42824.480000000003</v>
      </c>
      <c r="AA418">
        <v>45284</v>
      </c>
      <c r="AB418" t="str">
        <v>Aditi</v>
      </c>
      <c r="AC418" t="str">
        <v>Hubli</v>
      </c>
      <c r="AD418" t="str">
        <v>Karnataka</v>
      </c>
      <c r="AE418" t="str">
        <v>South</v>
      </c>
      <c r="AF418" t="str">
        <v>Clothing</v>
      </c>
      <c r="AG418" t="str">
        <v>Dress</v>
      </c>
      <c r="AH418">
        <v>8</v>
      </c>
      <c r="AI418">
        <v>4775.74</v>
      </c>
      <c r="AJ418">
        <v>38205.919999999998</v>
      </c>
    </row>
    <row r="419" spans="1:36">
      <c r="A419" s="25">
        <v>45110</v>
      </c>
      <c r="B419" t="s">
        <v>1700</v>
      </c>
      <c r="C419" t="s">
        <v>1706</v>
      </c>
      <c r="D419" t="s">
        <v>1702</v>
      </c>
      <c r="E419" t="s">
        <v>1703</v>
      </c>
      <c r="F419" t="s">
        <v>97</v>
      </c>
      <c r="G419" t="s">
        <v>1699</v>
      </c>
      <c r="H419">
        <v>14</v>
      </c>
      <c r="I419">
        <v>2441.0700000000002</v>
      </c>
      <c r="J419">
        <v>34174.980000000003</v>
      </c>
      <c r="AA419">
        <v>45029</v>
      </c>
      <c r="AB419" t="str">
        <v>Kabir</v>
      </c>
      <c r="AC419" t="str">
        <v>Hubli</v>
      </c>
      <c r="AD419" t="str">
        <v>Karnataka</v>
      </c>
      <c r="AE419" t="str">
        <v>South</v>
      </c>
      <c r="AF419" t="str">
        <v>Clothing</v>
      </c>
      <c r="AG419" t="str">
        <v>Jacket</v>
      </c>
      <c r="AH419">
        <v>15</v>
      </c>
      <c r="AI419">
        <v>2503.4699999999998</v>
      </c>
      <c r="AJ419">
        <v>37552.050000000003</v>
      </c>
    </row>
    <row r="420" spans="1:36">
      <c r="A420" s="25">
        <v>45128</v>
      </c>
      <c r="B420" t="s">
        <v>1686</v>
      </c>
      <c r="C420" t="s">
        <v>1706</v>
      </c>
      <c r="D420" t="s">
        <v>1702</v>
      </c>
      <c r="E420" t="s">
        <v>1703</v>
      </c>
      <c r="F420" t="s">
        <v>97</v>
      </c>
      <c r="G420" t="s">
        <v>1697</v>
      </c>
      <c r="H420">
        <v>4</v>
      </c>
      <c r="I420">
        <v>4373.75</v>
      </c>
      <c r="J420">
        <v>17495</v>
      </c>
      <c r="AA420">
        <v>45161</v>
      </c>
      <c r="AB420" t="str">
        <v>Aryan</v>
      </c>
      <c r="AC420" t="str">
        <v>Hubli</v>
      </c>
      <c r="AD420" t="str">
        <v>Karnataka</v>
      </c>
      <c r="AE420" t="str">
        <v>South</v>
      </c>
      <c r="AF420" t="str">
        <v>Clothing</v>
      </c>
      <c r="AG420" t="str">
        <v>Jacket</v>
      </c>
      <c r="AH420">
        <v>11</v>
      </c>
      <c r="AI420">
        <v>3385.93</v>
      </c>
      <c r="AJ420">
        <v>37245.230000000003</v>
      </c>
    </row>
    <row r="421" spans="1:36">
      <c r="A421" s="25">
        <v>45072</v>
      </c>
      <c r="B421" t="s">
        <v>1671</v>
      </c>
      <c r="C421" t="s">
        <v>1706</v>
      </c>
      <c r="D421" t="s">
        <v>1702</v>
      </c>
      <c r="E421" t="s">
        <v>1703</v>
      </c>
      <c r="F421" t="s">
        <v>97</v>
      </c>
      <c r="G421" t="s">
        <v>1685</v>
      </c>
      <c r="H421">
        <v>4</v>
      </c>
      <c r="I421">
        <v>1178.71</v>
      </c>
      <c r="J421">
        <v>4714.84</v>
      </c>
      <c r="AA421">
        <v>45258</v>
      </c>
      <c r="AB421" t="str">
        <v>Aarav</v>
      </c>
      <c r="AC421" t="str">
        <v>Hubli</v>
      </c>
      <c r="AD421" t="str">
        <v>Karnataka</v>
      </c>
      <c r="AE421" t="str">
        <v>South</v>
      </c>
      <c r="AF421" t="str">
        <v>Clothing</v>
      </c>
      <c r="AG421" t="str">
        <v>Jacket</v>
      </c>
      <c r="AH421">
        <v>6</v>
      </c>
      <c r="AI421">
        <v>2867.98</v>
      </c>
      <c r="AJ421">
        <v>17207.88</v>
      </c>
    </row>
    <row r="422" spans="1:36">
      <c r="A422" s="25">
        <v>45077</v>
      </c>
      <c r="B422" t="s">
        <v>1686</v>
      </c>
      <c r="C422" t="s">
        <v>1706</v>
      </c>
      <c r="D422" t="s">
        <v>1702</v>
      </c>
      <c r="E422" t="s">
        <v>1703</v>
      </c>
      <c r="F422" t="s">
        <v>97</v>
      </c>
      <c r="G422" t="s">
        <v>1685</v>
      </c>
      <c r="H422">
        <v>1</v>
      </c>
      <c r="I422">
        <v>3041.26</v>
      </c>
      <c r="J422">
        <v>3041.26</v>
      </c>
      <c r="AA422">
        <v>45063</v>
      </c>
      <c r="AB422" t="str">
        <v>Nishant</v>
      </c>
      <c r="AC422" t="str">
        <v>Hubli</v>
      </c>
      <c r="AD422" t="str">
        <v>Karnataka</v>
      </c>
      <c r="AE422" t="str">
        <v>South</v>
      </c>
      <c r="AF422" t="str">
        <v>Clothing</v>
      </c>
      <c r="AG422" t="str">
        <v>Jacket</v>
      </c>
      <c r="AH422">
        <v>10</v>
      </c>
      <c r="AI422">
        <v>1468.96</v>
      </c>
      <c r="AJ422">
        <v>14689.6</v>
      </c>
    </row>
    <row r="423" spans="1:36">
      <c r="A423" s="25">
        <v>45050</v>
      </c>
      <c r="B423" t="s">
        <v>1705</v>
      </c>
      <c r="C423" t="s">
        <v>1706</v>
      </c>
      <c r="D423" t="s">
        <v>1702</v>
      </c>
      <c r="E423" t="s">
        <v>1703</v>
      </c>
      <c r="F423" t="s">
        <v>89</v>
      </c>
      <c r="G423" t="s">
        <v>1713</v>
      </c>
      <c r="H423">
        <v>17</v>
      </c>
      <c r="I423">
        <v>3259.21</v>
      </c>
      <c r="J423">
        <v>55406.57</v>
      </c>
      <c r="AA423">
        <v>45151</v>
      </c>
      <c r="AB423" t="str">
        <v>Vihaan</v>
      </c>
      <c r="AC423" t="str">
        <v>Hubli</v>
      </c>
      <c r="AD423" t="str">
        <v>Karnataka</v>
      </c>
      <c r="AE423" t="str">
        <v>South</v>
      </c>
      <c r="AF423" t="str">
        <v>Clothing</v>
      </c>
      <c r="AG423" t="str">
        <v>Jacket</v>
      </c>
      <c r="AH423">
        <v>4</v>
      </c>
      <c r="AI423">
        <v>3659.61</v>
      </c>
      <c r="AJ423">
        <v>14638.44</v>
      </c>
    </row>
    <row r="424" spans="1:36">
      <c r="A424" s="25">
        <v>45192</v>
      </c>
      <c r="B424" t="s">
        <v>1698</v>
      </c>
      <c r="C424" t="s">
        <v>1706</v>
      </c>
      <c r="D424" t="s">
        <v>1702</v>
      </c>
      <c r="E424" t="s">
        <v>1703</v>
      </c>
      <c r="F424" t="s">
        <v>89</v>
      </c>
      <c r="G424" t="s">
        <v>1714</v>
      </c>
      <c r="H424">
        <v>13</v>
      </c>
      <c r="I424">
        <v>4121.8</v>
      </c>
      <c r="J424">
        <v>53583.4</v>
      </c>
      <c r="AA424">
        <v>45190</v>
      </c>
      <c r="AB424" t="str">
        <v>Nishant</v>
      </c>
      <c r="AC424" t="str">
        <v>Hubli</v>
      </c>
      <c r="AD424" t="str">
        <v>Karnataka</v>
      </c>
      <c r="AE424" t="str">
        <v>South</v>
      </c>
      <c r="AF424" t="str">
        <v>Clothing</v>
      </c>
      <c r="AG424" t="str">
        <v>Shirt</v>
      </c>
      <c r="AH424">
        <v>14</v>
      </c>
      <c r="AI424">
        <v>1024.22</v>
      </c>
      <c r="AJ424">
        <v>14339.08</v>
      </c>
    </row>
    <row r="425" spans="1:36">
      <c r="A425" s="25">
        <v>45272</v>
      </c>
      <c r="B425" t="s">
        <v>1676</v>
      </c>
      <c r="C425" t="s">
        <v>1706</v>
      </c>
      <c r="D425" t="s">
        <v>1702</v>
      </c>
      <c r="E425" t="s">
        <v>1703</v>
      </c>
      <c r="F425" t="s">
        <v>89</v>
      </c>
      <c r="G425" t="s">
        <v>1713</v>
      </c>
      <c r="H425">
        <v>12</v>
      </c>
      <c r="I425">
        <v>3695.68</v>
      </c>
      <c r="J425">
        <v>44348.160000000003</v>
      </c>
      <c r="AA425">
        <v>45035</v>
      </c>
      <c r="AB425" t="str">
        <v>Riya</v>
      </c>
      <c r="AC425" t="str">
        <v>Hubli</v>
      </c>
      <c r="AD425" t="str">
        <v>Karnataka</v>
      </c>
      <c r="AE425" t="str">
        <v>South</v>
      </c>
      <c r="AF425" t="str">
        <v>Clothing</v>
      </c>
      <c r="AG425" t="str">
        <v>Pants</v>
      </c>
      <c r="AH425">
        <v>9</v>
      </c>
      <c r="AI425">
        <v>1328.13</v>
      </c>
      <c r="AJ425">
        <v>11953.17</v>
      </c>
    </row>
    <row r="426" spans="1:36">
      <c r="A426" s="25">
        <v>45148</v>
      </c>
      <c r="B426" t="s">
        <v>1692</v>
      </c>
      <c r="C426" t="s">
        <v>1706</v>
      </c>
      <c r="D426" t="s">
        <v>1702</v>
      </c>
      <c r="E426" t="s">
        <v>1703</v>
      </c>
      <c r="F426" t="s">
        <v>89</v>
      </c>
      <c r="G426" t="s">
        <v>1714</v>
      </c>
      <c r="H426">
        <v>9</v>
      </c>
      <c r="I426">
        <v>4726.68</v>
      </c>
      <c r="J426">
        <v>42540.12</v>
      </c>
      <c r="AA426">
        <v>45076</v>
      </c>
      <c r="AB426" t="str">
        <v>Aryan</v>
      </c>
      <c r="AC426" t="str">
        <v>Hubli</v>
      </c>
      <c r="AD426" t="str">
        <v>Karnataka</v>
      </c>
      <c r="AE426" t="str">
        <v>South</v>
      </c>
      <c r="AF426" t="str">
        <v>Electronics</v>
      </c>
      <c r="AG426" t="str">
        <v>Headphones</v>
      </c>
      <c r="AH426">
        <v>11</v>
      </c>
      <c r="AI426">
        <v>4564.7299999999996</v>
      </c>
      <c r="AJ426">
        <v>50212.03</v>
      </c>
    </row>
    <row r="427" spans="1:36">
      <c r="A427" s="25">
        <v>45266</v>
      </c>
      <c r="B427" t="s">
        <v>1694</v>
      </c>
      <c r="C427" t="s">
        <v>1706</v>
      </c>
      <c r="D427" t="s">
        <v>1702</v>
      </c>
      <c r="E427" t="s">
        <v>1703</v>
      </c>
      <c r="F427" t="s">
        <v>89</v>
      </c>
      <c r="G427" t="s">
        <v>1106</v>
      </c>
      <c r="H427">
        <v>9</v>
      </c>
      <c r="I427">
        <v>4618.59</v>
      </c>
      <c r="J427">
        <v>41567.31</v>
      </c>
      <c r="AA427">
        <v>45254</v>
      </c>
      <c r="AB427" t="str">
        <v>Aryan</v>
      </c>
      <c r="AC427" t="str">
        <v>Hubli</v>
      </c>
      <c r="AD427" t="str">
        <v>Karnataka</v>
      </c>
      <c r="AE427" t="str">
        <v>South</v>
      </c>
      <c r="AF427" t="str">
        <v>Electronics</v>
      </c>
      <c r="AG427" t="str">
        <v>Smartphone</v>
      </c>
      <c r="AH427">
        <v>8</v>
      </c>
      <c r="AI427">
        <v>4997.45</v>
      </c>
      <c r="AJ427">
        <v>39979.599999999999</v>
      </c>
    </row>
    <row r="428" spans="1:36">
      <c r="A428" s="25">
        <v>45205</v>
      </c>
      <c r="B428" t="s">
        <v>1689</v>
      </c>
      <c r="C428" t="s">
        <v>1706</v>
      </c>
      <c r="D428" t="s">
        <v>1702</v>
      </c>
      <c r="E428" t="s">
        <v>1703</v>
      </c>
      <c r="F428" t="s">
        <v>89</v>
      </c>
      <c r="G428" t="s">
        <v>1714</v>
      </c>
      <c r="H428">
        <v>11</v>
      </c>
      <c r="I428">
        <v>3424.45</v>
      </c>
      <c r="J428">
        <v>37668.949999999997</v>
      </c>
      <c r="AA428">
        <v>44986</v>
      </c>
      <c r="AB428" t="str">
        <v>Vihaan</v>
      </c>
      <c r="AC428" t="str">
        <v>Hubli</v>
      </c>
      <c r="AD428" t="str">
        <v>Karnataka</v>
      </c>
      <c r="AE428" t="str">
        <v>South</v>
      </c>
      <c r="AF428" t="str">
        <v>Electronics</v>
      </c>
      <c r="AG428" t="str">
        <v>Laptop</v>
      </c>
      <c r="AH428">
        <v>8</v>
      </c>
      <c r="AI428">
        <v>4105.17</v>
      </c>
      <c r="AJ428">
        <v>32841.360000000001</v>
      </c>
    </row>
    <row r="429" spans="1:36">
      <c r="A429" s="25">
        <v>45006</v>
      </c>
      <c r="B429" t="s">
        <v>1698</v>
      </c>
      <c r="C429" t="s">
        <v>1706</v>
      </c>
      <c r="D429" t="s">
        <v>1702</v>
      </c>
      <c r="E429" t="s">
        <v>1703</v>
      </c>
      <c r="F429" t="s">
        <v>89</v>
      </c>
      <c r="G429" t="s">
        <v>1713</v>
      </c>
      <c r="H429">
        <v>10</v>
      </c>
      <c r="I429">
        <v>3048.2</v>
      </c>
      <c r="J429">
        <v>30482</v>
      </c>
      <c r="AA429">
        <v>45239</v>
      </c>
      <c r="AB429" t="str">
        <v>Aditi</v>
      </c>
      <c r="AC429" t="str">
        <v>Hubli</v>
      </c>
      <c r="AD429" t="str">
        <v>Karnataka</v>
      </c>
      <c r="AE429" t="str">
        <v>South</v>
      </c>
      <c r="AF429" t="str">
        <v>Electronics</v>
      </c>
      <c r="AG429" t="str">
        <v>Smartphone</v>
      </c>
      <c r="AH429">
        <v>7</v>
      </c>
      <c r="AI429">
        <v>4535.1400000000003</v>
      </c>
      <c r="AJ429">
        <v>31745.98</v>
      </c>
    </row>
    <row r="430" spans="1:36">
      <c r="A430" s="25">
        <v>45275</v>
      </c>
      <c r="B430" t="s">
        <v>1705</v>
      </c>
      <c r="C430" t="s">
        <v>1706</v>
      </c>
      <c r="D430" t="s">
        <v>1702</v>
      </c>
      <c r="E430" t="s">
        <v>1703</v>
      </c>
      <c r="F430" t="s">
        <v>89</v>
      </c>
      <c r="G430" t="s">
        <v>1105</v>
      </c>
      <c r="H430">
        <v>6</v>
      </c>
      <c r="I430">
        <v>4751.7700000000004</v>
      </c>
      <c r="J430">
        <v>28510.62</v>
      </c>
      <c r="AA430">
        <v>45257</v>
      </c>
      <c r="AB430" t="str">
        <v>Riya</v>
      </c>
      <c r="AC430" t="str">
        <v>Hubli</v>
      </c>
      <c r="AD430" t="str">
        <v>Karnataka</v>
      </c>
      <c r="AE430" t="str">
        <v>South</v>
      </c>
      <c r="AF430" t="str">
        <v>Electronics</v>
      </c>
      <c r="AG430" t="str">
        <v>Laptop</v>
      </c>
      <c r="AH430">
        <v>6</v>
      </c>
      <c r="AI430">
        <v>3470.44</v>
      </c>
      <c r="AJ430">
        <v>20822.64</v>
      </c>
    </row>
    <row r="431" spans="1:36">
      <c r="A431" s="25">
        <v>45247</v>
      </c>
      <c r="B431" t="s">
        <v>1676</v>
      </c>
      <c r="C431" t="s">
        <v>1706</v>
      </c>
      <c r="D431" t="s">
        <v>1702</v>
      </c>
      <c r="E431" t="s">
        <v>1703</v>
      </c>
      <c r="F431" t="s">
        <v>89</v>
      </c>
      <c r="G431" t="s">
        <v>1714</v>
      </c>
      <c r="H431">
        <v>6</v>
      </c>
      <c r="I431">
        <v>4707.38</v>
      </c>
      <c r="J431">
        <v>28244.28</v>
      </c>
      <c r="AA431">
        <v>45037</v>
      </c>
      <c r="AB431" t="str">
        <v>Aarav</v>
      </c>
      <c r="AC431" t="str">
        <v>Hubli</v>
      </c>
      <c r="AD431" t="str">
        <v>Karnataka</v>
      </c>
      <c r="AE431" t="str">
        <v>South</v>
      </c>
      <c r="AF431" t="str">
        <v>Electronics</v>
      </c>
      <c r="AG431" t="str">
        <v>Tablet</v>
      </c>
      <c r="AH431">
        <v>17</v>
      </c>
      <c r="AI431">
        <v>1122.98</v>
      </c>
      <c r="AJ431">
        <v>19090.66</v>
      </c>
    </row>
    <row r="432" spans="1:36">
      <c r="A432" s="25">
        <v>45242</v>
      </c>
      <c r="B432" t="s">
        <v>1694</v>
      </c>
      <c r="C432" t="s">
        <v>1706</v>
      </c>
      <c r="D432" t="s">
        <v>1702</v>
      </c>
      <c r="E432" t="s">
        <v>1703</v>
      </c>
      <c r="F432" t="s">
        <v>89</v>
      </c>
      <c r="G432" t="s">
        <v>1713</v>
      </c>
      <c r="H432">
        <v>16</v>
      </c>
      <c r="I432">
        <v>1598.06</v>
      </c>
      <c r="J432">
        <v>25568.959999999999</v>
      </c>
      <c r="AA432">
        <v>45116</v>
      </c>
      <c r="AB432" t="str">
        <v>Aryan</v>
      </c>
      <c r="AC432" t="str">
        <v>Hubli</v>
      </c>
      <c r="AD432" t="str">
        <v>Karnataka</v>
      </c>
      <c r="AE432" t="str">
        <v>South</v>
      </c>
      <c r="AF432" t="str">
        <v>Electronics</v>
      </c>
      <c r="AG432" t="str">
        <v>Headphones</v>
      </c>
      <c r="AH432">
        <v>19</v>
      </c>
      <c r="AI432">
        <v>717.29</v>
      </c>
      <c r="AJ432">
        <v>13628.51</v>
      </c>
    </row>
    <row r="433" spans="1:36">
      <c r="A433" s="25">
        <v>45258</v>
      </c>
      <c r="B433" t="s">
        <v>1694</v>
      </c>
      <c r="C433" t="s">
        <v>1706</v>
      </c>
      <c r="D433" t="s">
        <v>1702</v>
      </c>
      <c r="E433" t="s">
        <v>1703</v>
      </c>
      <c r="F433" t="s">
        <v>89</v>
      </c>
      <c r="G433" t="s">
        <v>1713</v>
      </c>
      <c r="H433">
        <v>5</v>
      </c>
      <c r="I433">
        <v>3572.02</v>
      </c>
      <c r="J433">
        <v>17860.099999999999</v>
      </c>
      <c r="AA433">
        <v>45164</v>
      </c>
      <c r="AB433" t="str">
        <v>Nishant</v>
      </c>
      <c r="AC433" t="str">
        <v>Hubli</v>
      </c>
      <c r="AD433" t="str">
        <v>Karnataka</v>
      </c>
      <c r="AE433" t="str">
        <v>South</v>
      </c>
      <c r="AF433" t="str">
        <v>Electronics</v>
      </c>
      <c r="AG433" t="str">
        <v>Laptop</v>
      </c>
      <c r="AH433">
        <v>5</v>
      </c>
      <c r="AI433">
        <v>2480.84</v>
      </c>
      <c r="AJ433">
        <v>12404.2</v>
      </c>
    </row>
    <row r="434" spans="1:36">
      <c r="A434" s="25">
        <v>45079</v>
      </c>
      <c r="B434" t="s">
        <v>1692</v>
      </c>
      <c r="C434" t="s">
        <v>1706</v>
      </c>
      <c r="D434" t="s">
        <v>1702</v>
      </c>
      <c r="E434" t="s">
        <v>1703</v>
      </c>
      <c r="F434" t="s">
        <v>89</v>
      </c>
      <c r="G434" t="s">
        <v>1714</v>
      </c>
      <c r="H434">
        <v>20</v>
      </c>
      <c r="I434">
        <v>652.87</v>
      </c>
      <c r="J434">
        <v>13057.4</v>
      </c>
      <c r="AA434">
        <v>44993</v>
      </c>
      <c r="AB434" t="str">
        <v>Aryan</v>
      </c>
      <c r="AC434" t="str">
        <v>Hubli</v>
      </c>
      <c r="AD434" t="str">
        <v>Karnataka</v>
      </c>
      <c r="AE434" t="str">
        <v>South</v>
      </c>
      <c r="AF434" t="str">
        <v>Electronics</v>
      </c>
      <c r="AG434" t="str">
        <v>Tablet</v>
      </c>
      <c r="AH434">
        <v>4</v>
      </c>
      <c r="AI434">
        <v>3022.21</v>
      </c>
      <c r="AJ434">
        <v>12088.84</v>
      </c>
    </row>
    <row r="435" spans="1:36">
      <c r="A435" s="25">
        <v>45192</v>
      </c>
      <c r="B435" t="s">
        <v>1671</v>
      </c>
      <c r="C435" t="s">
        <v>1706</v>
      </c>
      <c r="D435" t="s">
        <v>1702</v>
      </c>
      <c r="E435" t="s">
        <v>1703</v>
      </c>
      <c r="F435" t="s">
        <v>89</v>
      </c>
      <c r="G435" t="s">
        <v>1106</v>
      </c>
      <c r="H435">
        <v>20</v>
      </c>
      <c r="I435">
        <v>598.97</v>
      </c>
      <c r="J435">
        <v>11979.4</v>
      </c>
      <c r="AA435">
        <v>44964</v>
      </c>
      <c r="AB435" t="str">
        <v>Aarav</v>
      </c>
      <c r="AC435" t="str">
        <v>Hubli</v>
      </c>
      <c r="AD435" t="str">
        <v>Karnataka</v>
      </c>
      <c r="AE435" t="str">
        <v>South</v>
      </c>
      <c r="AF435" t="str">
        <v>Electronics</v>
      </c>
      <c r="AG435" t="str">
        <v>Tablet</v>
      </c>
      <c r="AH435">
        <v>6</v>
      </c>
      <c r="AI435">
        <v>1246.5899999999999</v>
      </c>
      <c r="AJ435">
        <v>7479.54</v>
      </c>
    </row>
    <row r="436" spans="1:36">
      <c r="A436" s="25">
        <v>45020</v>
      </c>
      <c r="B436" t="s">
        <v>1689</v>
      </c>
      <c r="C436" t="s">
        <v>1706</v>
      </c>
      <c r="D436" t="s">
        <v>1702</v>
      </c>
      <c r="E436" t="s">
        <v>1703</v>
      </c>
      <c r="F436" t="s">
        <v>89</v>
      </c>
      <c r="G436" t="s">
        <v>1713</v>
      </c>
      <c r="H436">
        <v>7</v>
      </c>
      <c r="I436">
        <v>1160.3499999999999</v>
      </c>
      <c r="J436">
        <v>8122.45</v>
      </c>
      <c r="AA436">
        <v>45224</v>
      </c>
      <c r="AB436" t="str">
        <v>Aditi</v>
      </c>
      <c r="AC436" t="str">
        <v>Hubli</v>
      </c>
      <c r="AD436" t="str">
        <v>Karnataka</v>
      </c>
      <c r="AE436" t="str">
        <v>South</v>
      </c>
      <c r="AF436" t="str">
        <v>Electronics</v>
      </c>
      <c r="AG436" t="str">
        <v>Smartphone</v>
      </c>
      <c r="AH436">
        <v>6</v>
      </c>
      <c r="AI436">
        <v>809.57</v>
      </c>
      <c r="AJ436">
        <v>4857.42</v>
      </c>
    </row>
    <row r="437" spans="1:36">
      <c r="A437" s="25">
        <v>45248</v>
      </c>
      <c r="B437" t="s">
        <v>1705</v>
      </c>
      <c r="C437" t="s">
        <v>1706</v>
      </c>
      <c r="D437" t="s">
        <v>1702</v>
      </c>
      <c r="E437" t="s">
        <v>1703</v>
      </c>
      <c r="F437" t="s">
        <v>89</v>
      </c>
      <c r="G437" t="s">
        <v>1105</v>
      </c>
      <c r="H437">
        <v>4</v>
      </c>
      <c r="I437">
        <v>1555.9</v>
      </c>
      <c r="J437">
        <v>6223.6</v>
      </c>
      <c r="AA437">
        <v>45072</v>
      </c>
      <c r="AB437" t="str">
        <v>Meera</v>
      </c>
      <c r="AC437" t="str">
        <v>Hubli</v>
      </c>
      <c r="AD437" t="str">
        <v>Karnataka</v>
      </c>
      <c r="AE437" t="str">
        <v>South</v>
      </c>
      <c r="AF437" t="str">
        <v>Furniture</v>
      </c>
      <c r="AG437" t="str">
        <v>Sofa</v>
      </c>
      <c r="AH437">
        <v>16</v>
      </c>
      <c r="AI437">
        <v>4896.07</v>
      </c>
      <c r="AJ437">
        <v>78337.119999999995</v>
      </c>
    </row>
    <row r="438" spans="1:36">
      <c r="A438" s="25">
        <v>45061</v>
      </c>
      <c r="B438" t="s">
        <v>1686</v>
      </c>
      <c r="C438" t="s">
        <v>1706</v>
      </c>
      <c r="D438" t="s">
        <v>1702</v>
      </c>
      <c r="E438" t="s">
        <v>1703</v>
      </c>
      <c r="F438" t="s">
        <v>89</v>
      </c>
      <c r="G438" t="s">
        <v>1713</v>
      </c>
      <c r="H438">
        <v>18</v>
      </c>
      <c r="I438">
        <v>214.47</v>
      </c>
      <c r="J438">
        <v>3860.46</v>
      </c>
      <c r="AA438">
        <v>44964</v>
      </c>
      <c r="AB438" t="str">
        <v>Aditi</v>
      </c>
      <c r="AC438" t="str">
        <v>Hubli</v>
      </c>
      <c r="AD438" t="str">
        <v>Karnataka</v>
      </c>
      <c r="AE438" t="str">
        <v>South</v>
      </c>
      <c r="AF438" t="str">
        <v>Furniture</v>
      </c>
      <c r="AG438" t="str">
        <v>Chair</v>
      </c>
      <c r="AH438">
        <v>19</v>
      </c>
      <c r="AI438">
        <v>2880.28</v>
      </c>
      <c r="AJ438">
        <v>54725.32</v>
      </c>
    </row>
    <row r="439" spans="1:36">
      <c r="A439" s="25">
        <v>44976</v>
      </c>
      <c r="B439" t="s">
        <v>1705</v>
      </c>
      <c r="C439" t="s">
        <v>1706</v>
      </c>
      <c r="D439" t="s">
        <v>1702</v>
      </c>
      <c r="E439" t="s">
        <v>1703</v>
      </c>
      <c r="F439" t="s">
        <v>89</v>
      </c>
      <c r="G439" t="s">
        <v>1106</v>
      </c>
      <c r="H439">
        <v>6</v>
      </c>
      <c r="I439">
        <v>623.22</v>
      </c>
      <c r="J439">
        <v>3739.32</v>
      </c>
      <c r="AA439">
        <v>45168</v>
      </c>
      <c r="AB439" t="str">
        <v>Kabir</v>
      </c>
      <c r="AC439" t="str">
        <v>Hubli</v>
      </c>
      <c r="AD439" t="str">
        <v>Karnataka</v>
      </c>
      <c r="AE439" t="str">
        <v>South</v>
      </c>
      <c r="AF439" t="str">
        <v>Furniture</v>
      </c>
      <c r="AG439" t="str">
        <v>Sofa</v>
      </c>
      <c r="AH439">
        <v>14</v>
      </c>
      <c r="AI439">
        <v>3726.3</v>
      </c>
      <c r="AJ439">
        <v>52168.2</v>
      </c>
    </row>
    <row r="440" spans="1:36">
      <c r="A440" s="25">
        <v>44954</v>
      </c>
      <c r="B440" t="s">
        <v>1692</v>
      </c>
      <c r="C440" t="s">
        <v>1706</v>
      </c>
      <c r="D440" t="s">
        <v>1702</v>
      </c>
      <c r="E440" t="s">
        <v>1703</v>
      </c>
      <c r="F440" t="s">
        <v>101</v>
      </c>
      <c r="G440" t="s">
        <v>1715</v>
      </c>
      <c r="H440">
        <v>14</v>
      </c>
      <c r="I440">
        <v>4816.3900000000003</v>
      </c>
      <c r="J440">
        <v>67429.460000000006</v>
      </c>
      <c r="AA440">
        <v>45060</v>
      </c>
      <c r="AB440" t="str">
        <v>Nishant</v>
      </c>
      <c r="AC440" t="str">
        <v>Hubli</v>
      </c>
      <c r="AD440" t="str">
        <v>Karnataka</v>
      </c>
      <c r="AE440" t="str">
        <v>South</v>
      </c>
      <c r="AF440" t="str">
        <v>Furniture</v>
      </c>
      <c r="AG440" t="str">
        <v>Sofa</v>
      </c>
      <c r="AH440">
        <v>14</v>
      </c>
      <c r="AI440">
        <v>3177.8</v>
      </c>
      <c r="AJ440">
        <v>44489.2</v>
      </c>
    </row>
    <row r="441" spans="1:36">
      <c r="A441" s="25">
        <v>45011</v>
      </c>
      <c r="B441" t="s">
        <v>1705</v>
      </c>
      <c r="C441" t="s">
        <v>1706</v>
      </c>
      <c r="D441" t="s">
        <v>1702</v>
      </c>
      <c r="E441" t="s">
        <v>1703</v>
      </c>
      <c r="F441" t="s">
        <v>101</v>
      </c>
      <c r="G441" t="s">
        <v>1709</v>
      </c>
      <c r="H441">
        <v>17</v>
      </c>
      <c r="I441">
        <v>2805.45</v>
      </c>
      <c r="J441">
        <v>47692.65</v>
      </c>
      <c r="AA441">
        <v>45135</v>
      </c>
      <c r="AB441" t="str">
        <v>Ananya</v>
      </c>
      <c r="AC441" t="str">
        <v>Hubli</v>
      </c>
      <c r="AD441" t="str">
        <v>Karnataka</v>
      </c>
      <c r="AE441" t="str">
        <v>South</v>
      </c>
      <c r="AF441" t="str">
        <v>Furniture</v>
      </c>
      <c r="AG441" t="str">
        <v>Chair</v>
      </c>
      <c r="AH441">
        <v>13</v>
      </c>
      <c r="AI441">
        <v>1764.64</v>
      </c>
      <c r="AJ441">
        <v>22940.32</v>
      </c>
    </row>
    <row r="442" spans="1:36">
      <c r="A442" s="25">
        <v>45239</v>
      </c>
      <c r="B442" t="s">
        <v>1686</v>
      </c>
      <c r="C442" t="s">
        <v>1706</v>
      </c>
      <c r="D442" t="s">
        <v>1702</v>
      </c>
      <c r="E442" t="s">
        <v>1703</v>
      </c>
      <c r="F442" t="s">
        <v>101</v>
      </c>
      <c r="G442" t="s">
        <v>1675</v>
      </c>
      <c r="H442">
        <v>8</v>
      </c>
      <c r="I442">
        <v>4175.5600000000004</v>
      </c>
      <c r="J442">
        <v>33404.480000000003</v>
      </c>
      <c r="AA442">
        <v>45175</v>
      </c>
      <c r="AB442" t="str">
        <v>Kabir</v>
      </c>
      <c r="AC442" t="str">
        <v>Hubli</v>
      </c>
      <c r="AD442" t="str">
        <v>Karnataka</v>
      </c>
      <c r="AE442" t="str">
        <v>South</v>
      </c>
      <c r="AF442" t="str">
        <v>Furniture</v>
      </c>
      <c r="AG442" t="str">
        <v>Chair</v>
      </c>
      <c r="AH442">
        <v>5</v>
      </c>
      <c r="AI442">
        <v>4423.53</v>
      </c>
      <c r="AJ442">
        <v>22117.65</v>
      </c>
    </row>
    <row r="443" spans="1:36">
      <c r="A443" s="25">
        <v>45258</v>
      </c>
      <c r="B443" t="s">
        <v>1698</v>
      </c>
      <c r="C443" t="s">
        <v>1706</v>
      </c>
      <c r="D443" t="s">
        <v>1702</v>
      </c>
      <c r="E443" t="s">
        <v>1703</v>
      </c>
      <c r="F443" t="s">
        <v>101</v>
      </c>
      <c r="G443" t="s">
        <v>1675</v>
      </c>
      <c r="H443">
        <v>16</v>
      </c>
      <c r="I443">
        <v>1628.19</v>
      </c>
      <c r="J443">
        <v>26051.040000000001</v>
      </c>
      <c r="AA443">
        <v>45075</v>
      </c>
      <c r="AB443" t="str">
        <v>Ananya</v>
      </c>
      <c r="AC443" t="str">
        <v>Hubli</v>
      </c>
      <c r="AD443" t="str">
        <v>Karnataka</v>
      </c>
      <c r="AE443" t="str">
        <v>South</v>
      </c>
      <c r="AF443" t="str">
        <v>Furniture</v>
      </c>
      <c r="AG443" t="str">
        <v>Bed</v>
      </c>
      <c r="AH443">
        <v>4</v>
      </c>
      <c r="AI443">
        <v>4485.82</v>
      </c>
      <c r="AJ443">
        <v>17943.28</v>
      </c>
    </row>
    <row r="444" spans="1:36">
      <c r="A444" s="25">
        <v>45129</v>
      </c>
      <c r="B444" t="s">
        <v>1705</v>
      </c>
      <c r="C444" t="s">
        <v>1706</v>
      </c>
      <c r="D444" t="s">
        <v>1702</v>
      </c>
      <c r="E444" t="s">
        <v>1703</v>
      </c>
      <c r="F444" t="s">
        <v>101</v>
      </c>
      <c r="G444" t="s">
        <v>1719</v>
      </c>
      <c r="H444">
        <v>6</v>
      </c>
      <c r="I444">
        <v>3080.25</v>
      </c>
      <c r="J444">
        <v>18481.5</v>
      </c>
      <c r="AA444">
        <v>45240</v>
      </c>
      <c r="AB444" t="str">
        <v>Aarav</v>
      </c>
      <c r="AC444" t="str">
        <v>Hubli</v>
      </c>
      <c r="AD444" t="str">
        <v>Karnataka</v>
      </c>
      <c r="AE444" t="str">
        <v>South</v>
      </c>
      <c r="AF444" t="str">
        <v>Furniture</v>
      </c>
      <c r="AG444" t="str">
        <v>Bed</v>
      </c>
      <c r="AH444">
        <v>7</v>
      </c>
      <c r="AI444">
        <v>2186.75</v>
      </c>
      <c r="AJ444">
        <v>15307.25</v>
      </c>
    </row>
    <row r="445" spans="1:36">
      <c r="A445" s="25">
        <v>45181</v>
      </c>
      <c r="B445" t="s">
        <v>1671</v>
      </c>
      <c r="C445" t="s">
        <v>1706</v>
      </c>
      <c r="D445" t="s">
        <v>1702</v>
      </c>
      <c r="E445" t="s">
        <v>1703</v>
      </c>
      <c r="F445" t="s">
        <v>101</v>
      </c>
      <c r="G445" t="s">
        <v>1675</v>
      </c>
      <c r="H445">
        <v>7</v>
      </c>
      <c r="I445">
        <v>2286.4</v>
      </c>
      <c r="J445">
        <v>16004.8</v>
      </c>
      <c r="AA445">
        <v>45209</v>
      </c>
      <c r="AB445" t="str">
        <v>Ishita</v>
      </c>
      <c r="AC445" t="str">
        <v>Hubli</v>
      </c>
      <c r="AD445" t="str">
        <v>Karnataka</v>
      </c>
      <c r="AE445" t="str">
        <v>South</v>
      </c>
      <c r="AF445" t="str">
        <v>Furniture</v>
      </c>
      <c r="AG445" t="str">
        <v>Bed</v>
      </c>
      <c r="AH445">
        <v>3</v>
      </c>
      <c r="AI445">
        <v>3591.92</v>
      </c>
      <c r="AJ445">
        <v>10775.76</v>
      </c>
    </row>
    <row r="446" spans="1:36">
      <c r="A446" s="25">
        <v>45157</v>
      </c>
      <c r="B446" t="s">
        <v>1698</v>
      </c>
      <c r="C446" t="s">
        <v>1706</v>
      </c>
      <c r="D446" t="s">
        <v>1702</v>
      </c>
      <c r="E446" t="s">
        <v>1703</v>
      </c>
      <c r="F446" t="s">
        <v>101</v>
      </c>
      <c r="G446" t="s">
        <v>1675</v>
      </c>
      <c r="H446">
        <v>9</v>
      </c>
      <c r="I446">
        <v>1720.47</v>
      </c>
      <c r="J446">
        <v>15484.23</v>
      </c>
      <c r="AA446">
        <v>45152</v>
      </c>
      <c r="AB446" t="str">
        <v>Vihaan</v>
      </c>
      <c r="AC446" t="str">
        <v>Hubli</v>
      </c>
      <c r="AD446" t="str">
        <v>Karnataka</v>
      </c>
      <c r="AE446" t="str">
        <v>South</v>
      </c>
      <c r="AF446" t="str">
        <v>Furniture</v>
      </c>
      <c r="AG446" t="str">
        <v>Bed</v>
      </c>
      <c r="AH446">
        <v>3</v>
      </c>
      <c r="AI446">
        <v>3389.2</v>
      </c>
      <c r="AJ446">
        <v>10167.6</v>
      </c>
    </row>
    <row r="447" spans="1:36">
      <c r="A447" s="25">
        <v>45137</v>
      </c>
      <c r="B447" t="s">
        <v>1705</v>
      </c>
      <c r="C447" t="s">
        <v>1706</v>
      </c>
      <c r="D447" t="s">
        <v>1702</v>
      </c>
      <c r="E447" t="s">
        <v>1703</v>
      </c>
      <c r="F447" t="s">
        <v>101</v>
      </c>
      <c r="G447" t="s">
        <v>1715</v>
      </c>
      <c r="H447">
        <v>4</v>
      </c>
      <c r="I447">
        <v>3015.93</v>
      </c>
      <c r="J447">
        <v>12063.72</v>
      </c>
      <c r="AA447">
        <v>44945</v>
      </c>
      <c r="AB447" t="str">
        <v>Riya</v>
      </c>
      <c r="AC447" t="str">
        <v>Hubli</v>
      </c>
      <c r="AD447" t="str">
        <v>Karnataka</v>
      </c>
      <c r="AE447" t="str">
        <v>South</v>
      </c>
      <c r="AF447" t="str">
        <v>Furniture</v>
      </c>
      <c r="AG447" t="str">
        <v>Bed</v>
      </c>
      <c r="AH447">
        <v>5</v>
      </c>
      <c r="AI447">
        <v>1947.01</v>
      </c>
      <c r="AJ447">
        <v>9735.0499999999993</v>
      </c>
    </row>
    <row r="448" spans="1:36">
      <c r="A448" s="25">
        <v>45024</v>
      </c>
      <c r="B448" t="s">
        <v>1692</v>
      </c>
      <c r="C448" t="s">
        <v>1706</v>
      </c>
      <c r="D448" t="s">
        <v>1702</v>
      </c>
      <c r="E448" t="s">
        <v>1703</v>
      </c>
      <c r="F448" t="s">
        <v>101</v>
      </c>
      <c r="G448" t="s">
        <v>1719</v>
      </c>
      <c r="H448">
        <v>6</v>
      </c>
      <c r="I448">
        <v>1912.36</v>
      </c>
      <c r="J448">
        <v>11474.16</v>
      </c>
      <c r="AA448">
        <v>44985</v>
      </c>
      <c r="AB448" t="str">
        <v>Vihaan</v>
      </c>
      <c r="AC448" t="str">
        <v>Hubli</v>
      </c>
      <c r="AD448" t="str">
        <v>Karnataka</v>
      </c>
      <c r="AE448" t="str">
        <v>South</v>
      </c>
      <c r="AF448" t="str">
        <v>Furniture</v>
      </c>
      <c r="AG448" t="str">
        <v>Sofa</v>
      </c>
      <c r="AH448">
        <v>1</v>
      </c>
      <c r="AI448">
        <v>2498.7399999999998</v>
      </c>
      <c r="AJ448">
        <v>2498.7399999999998</v>
      </c>
    </row>
    <row r="449" spans="1:36">
      <c r="A449" s="25">
        <v>44943</v>
      </c>
      <c r="B449" t="s">
        <v>1705</v>
      </c>
      <c r="C449" t="s">
        <v>1706</v>
      </c>
      <c r="D449" t="s">
        <v>1702</v>
      </c>
      <c r="E449" t="s">
        <v>1703</v>
      </c>
      <c r="F449" t="s">
        <v>101</v>
      </c>
      <c r="G449" t="s">
        <v>1675</v>
      </c>
      <c r="H449">
        <v>6</v>
      </c>
      <c r="I449">
        <v>1847.42</v>
      </c>
      <c r="J449">
        <v>11084.52</v>
      </c>
      <c r="AA449">
        <v>45189</v>
      </c>
      <c r="AB449" t="str">
        <v>Ananya</v>
      </c>
      <c r="AC449" t="str">
        <v>Hubli</v>
      </c>
      <c r="AD449" t="str">
        <v>Karnataka</v>
      </c>
      <c r="AE449" t="str">
        <v>South</v>
      </c>
      <c r="AF449" t="str">
        <v>Furniture</v>
      </c>
      <c r="AG449" t="str">
        <v>Bed</v>
      </c>
      <c r="AH449">
        <v>1</v>
      </c>
      <c r="AI449">
        <v>1083.26</v>
      </c>
      <c r="AJ449">
        <v>1083.26</v>
      </c>
    </row>
    <row r="450" spans="1:36">
      <c r="A450" s="25">
        <v>45181</v>
      </c>
      <c r="B450" t="s">
        <v>1676</v>
      </c>
      <c r="C450" t="s">
        <v>1706</v>
      </c>
      <c r="D450" t="s">
        <v>1702</v>
      </c>
      <c r="E450" t="s">
        <v>1703</v>
      </c>
      <c r="F450" t="s">
        <v>1687</v>
      </c>
      <c r="G450" t="s">
        <v>1688</v>
      </c>
      <c r="H450">
        <v>16</v>
      </c>
      <c r="I450">
        <v>4826.2</v>
      </c>
      <c r="J450">
        <v>77219.199999999997</v>
      </c>
      <c r="AA450">
        <v>45010</v>
      </c>
      <c r="AB450" t="str">
        <v>Kabir</v>
      </c>
      <c r="AC450" t="str">
        <v>Hubli</v>
      </c>
      <c r="AD450" t="str">
        <v>Karnataka</v>
      </c>
      <c r="AE450" t="str">
        <v>South</v>
      </c>
      <c r="AF450" t="str">
        <v>Groceries</v>
      </c>
      <c r="AG450" t="str">
        <v>Oil</v>
      </c>
      <c r="AH450">
        <v>18</v>
      </c>
      <c r="AI450">
        <v>2773.93</v>
      </c>
      <c r="AJ450">
        <v>49930.74</v>
      </c>
    </row>
    <row r="451" spans="1:36">
      <c r="A451" s="25">
        <v>45051</v>
      </c>
      <c r="B451" t="s">
        <v>1705</v>
      </c>
      <c r="C451" t="s">
        <v>1706</v>
      </c>
      <c r="D451" t="s">
        <v>1702</v>
      </c>
      <c r="E451" t="s">
        <v>1703</v>
      </c>
      <c r="F451" t="s">
        <v>1687</v>
      </c>
      <c r="G451" t="s">
        <v>1704</v>
      </c>
      <c r="H451">
        <v>14</v>
      </c>
      <c r="I451">
        <v>4728.4399999999996</v>
      </c>
      <c r="J451">
        <v>66198.16</v>
      </c>
      <c r="AA451">
        <v>45266</v>
      </c>
      <c r="AB451" t="str">
        <v>Riya</v>
      </c>
      <c r="AC451" t="str">
        <v>Hubli</v>
      </c>
      <c r="AD451" t="str">
        <v>Karnataka</v>
      </c>
      <c r="AE451" t="str">
        <v>South</v>
      </c>
      <c r="AF451" t="str">
        <v>Groceries</v>
      </c>
      <c r="AG451" t="str">
        <v>Sugar</v>
      </c>
      <c r="AH451">
        <v>19</v>
      </c>
      <c r="AI451">
        <v>2494.11</v>
      </c>
      <c r="AJ451">
        <v>47388.09</v>
      </c>
    </row>
    <row r="452" spans="1:36">
      <c r="A452" s="25">
        <v>45279</v>
      </c>
      <c r="B452" t="s">
        <v>1676</v>
      </c>
      <c r="C452" t="s">
        <v>1706</v>
      </c>
      <c r="D452" t="s">
        <v>1702</v>
      </c>
      <c r="E452" t="s">
        <v>1703</v>
      </c>
      <c r="F452" t="s">
        <v>1687</v>
      </c>
      <c r="G452" t="s">
        <v>1704</v>
      </c>
      <c r="H452">
        <v>15</v>
      </c>
      <c r="I452">
        <v>3875.6</v>
      </c>
      <c r="J452">
        <v>58134</v>
      </c>
      <c r="AA452">
        <v>44937</v>
      </c>
      <c r="AB452" t="str">
        <v>Ananya</v>
      </c>
      <c r="AC452" t="str">
        <v>Hubli</v>
      </c>
      <c r="AD452" t="str">
        <v>Karnataka</v>
      </c>
      <c r="AE452" t="str">
        <v>South</v>
      </c>
      <c r="AF452" t="str">
        <v>Groceries</v>
      </c>
      <c r="AG452" t="str">
        <v>Oil</v>
      </c>
      <c r="AH452">
        <v>17</v>
      </c>
      <c r="AI452">
        <v>2215.5500000000002</v>
      </c>
      <c r="AJ452">
        <v>37664.35</v>
      </c>
    </row>
    <row r="453" spans="1:36">
      <c r="A453" s="25">
        <v>45037</v>
      </c>
      <c r="B453" t="s">
        <v>1705</v>
      </c>
      <c r="C453" t="s">
        <v>1706</v>
      </c>
      <c r="D453" t="s">
        <v>1702</v>
      </c>
      <c r="E453" t="s">
        <v>1703</v>
      </c>
      <c r="F453" t="s">
        <v>1687</v>
      </c>
      <c r="G453" t="s">
        <v>1688</v>
      </c>
      <c r="H453">
        <v>16</v>
      </c>
      <c r="I453">
        <v>3263.65</v>
      </c>
      <c r="J453">
        <v>52218.400000000001</v>
      </c>
      <c r="AA453">
        <v>45118</v>
      </c>
      <c r="AB453" t="str">
        <v>Nishant</v>
      </c>
      <c r="AC453" t="str">
        <v>Hubli</v>
      </c>
      <c r="AD453" t="str">
        <v>Karnataka</v>
      </c>
      <c r="AE453" t="str">
        <v>South</v>
      </c>
      <c r="AF453" t="str">
        <v>Groceries</v>
      </c>
      <c r="AG453" t="str">
        <v>Rice</v>
      </c>
      <c r="AH453">
        <v>13</v>
      </c>
      <c r="AI453">
        <v>2244.77</v>
      </c>
      <c r="AJ453">
        <v>29182.01</v>
      </c>
    </row>
    <row r="454" spans="1:36">
      <c r="A454" s="25">
        <v>44969</v>
      </c>
      <c r="B454" t="s">
        <v>1676</v>
      </c>
      <c r="C454" t="s">
        <v>1706</v>
      </c>
      <c r="D454" t="s">
        <v>1702</v>
      </c>
      <c r="E454" t="s">
        <v>1703</v>
      </c>
      <c r="F454" t="s">
        <v>1687</v>
      </c>
      <c r="G454" t="s">
        <v>1704</v>
      </c>
      <c r="H454">
        <v>18</v>
      </c>
      <c r="I454">
        <v>2584.0700000000002</v>
      </c>
      <c r="J454">
        <v>46513.26</v>
      </c>
      <c r="AA454">
        <v>45115</v>
      </c>
      <c r="AB454" t="str">
        <v>Ishita</v>
      </c>
      <c r="AC454" t="str">
        <v>Hubli</v>
      </c>
      <c r="AD454" t="str">
        <v>Karnataka</v>
      </c>
      <c r="AE454" t="str">
        <v>South</v>
      </c>
      <c r="AF454" t="str">
        <v>Groceries</v>
      </c>
      <c r="AG454" t="str">
        <v>Lentils</v>
      </c>
      <c r="AH454">
        <v>12</v>
      </c>
      <c r="AI454">
        <v>2393.9699999999998</v>
      </c>
      <c r="AJ454">
        <v>28727.64</v>
      </c>
    </row>
    <row r="455" spans="1:36">
      <c r="A455" s="25">
        <v>45095</v>
      </c>
      <c r="B455" t="s">
        <v>1689</v>
      </c>
      <c r="C455" t="s">
        <v>1706</v>
      </c>
      <c r="D455" t="s">
        <v>1702</v>
      </c>
      <c r="E455" t="s">
        <v>1703</v>
      </c>
      <c r="F455" t="s">
        <v>1687</v>
      </c>
      <c r="G455" t="s">
        <v>1704</v>
      </c>
      <c r="H455">
        <v>9</v>
      </c>
      <c r="I455">
        <v>2819.87</v>
      </c>
      <c r="J455">
        <v>25378.83</v>
      </c>
      <c r="AA455">
        <v>45133</v>
      </c>
      <c r="AB455" t="str">
        <v>Meera</v>
      </c>
      <c r="AC455" t="str">
        <v>Hubli</v>
      </c>
      <c r="AD455" t="str">
        <v>Karnataka</v>
      </c>
      <c r="AE455" t="str">
        <v>South</v>
      </c>
      <c r="AF455" t="str">
        <v>Groceries</v>
      </c>
      <c r="AG455" t="str">
        <v>Rice</v>
      </c>
      <c r="AH455">
        <v>7</v>
      </c>
      <c r="AI455">
        <v>3168.77</v>
      </c>
      <c r="AJ455">
        <v>22181.39</v>
      </c>
    </row>
    <row r="456" spans="1:36">
      <c r="A456" s="25">
        <v>44993</v>
      </c>
      <c r="B456" t="s">
        <v>1698</v>
      </c>
      <c r="C456" t="s">
        <v>1706</v>
      </c>
      <c r="D456" t="s">
        <v>1702</v>
      </c>
      <c r="E456" t="s">
        <v>1703</v>
      </c>
      <c r="F456" t="s">
        <v>1687</v>
      </c>
      <c r="G456" t="s">
        <v>1708</v>
      </c>
      <c r="H456">
        <v>6</v>
      </c>
      <c r="I456">
        <v>3918.07</v>
      </c>
      <c r="J456">
        <v>23508.42</v>
      </c>
      <c r="AA456">
        <v>45244</v>
      </c>
      <c r="AB456" t="str">
        <v>Kabir</v>
      </c>
      <c r="AC456" t="str">
        <v>Hubli</v>
      </c>
      <c r="AD456" t="str">
        <v>Karnataka</v>
      </c>
      <c r="AE456" t="str">
        <v>South</v>
      </c>
      <c r="AF456" t="str">
        <v>Groceries</v>
      </c>
      <c r="AG456" t="str">
        <v>Sugar</v>
      </c>
      <c r="AH456">
        <v>7</v>
      </c>
      <c r="AI456">
        <v>2264.87</v>
      </c>
      <c r="AJ456">
        <v>15854.09</v>
      </c>
    </row>
    <row r="457" spans="1:36">
      <c r="A457" s="25">
        <v>45110</v>
      </c>
      <c r="B457" t="s">
        <v>1698</v>
      </c>
      <c r="C457" t="s">
        <v>1706</v>
      </c>
      <c r="D457" t="s">
        <v>1702</v>
      </c>
      <c r="E457" t="s">
        <v>1703</v>
      </c>
      <c r="F457" t="s">
        <v>1687</v>
      </c>
      <c r="G457" t="s">
        <v>1688</v>
      </c>
      <c r="H457">
        <v>3</v>
      </c>
      <c r="I457">
        <v>4637.38</v>
      </c>
      <c r="J457">
        <v>13912.14</v>
      </c>
      <c r="AA457">
        <v>45145</v>
      </c>
      <c r="AB457" t="str">
        <v>Aryan</v>
      </c>
      <c r="AC457" t="str">
        <v>Hubli</v>
      </c>
      <c r="AD457" t="str">
        <v>Karnataka</v>
      </c>
      <c r="AE457" t="str">
        <v>South</v>
      </c>
      <c r="AF457" t="str">
        <v>Groceries</v>
      </c>
      <c r="AG457" t="str">
        <v>Rice</v>
      </c>
      <c r="AH457">
        <v>2</v>
      </c>
      <c r="AI457">
        <v>4883.5600000000004</v>
      </c>
      <c r="AJ457">
        <v>9767.1200000000008</v>
      </c>
    </row>
    <row r="458" spans="1:36">
      <c r="A458" s="25">
        <v>45169</v>
      </c>
      <c r="B458" t="s">
        <v>1694</v>
      </c>
      <c r="C458" t="s">
        <v>1706</v>
      </c>
      <c r="D458" t="s">
        <v>1702</v>
      </c>
      <c r="E458" t="s">
        <v>1703</v>
      </c>
      <c r="F458" t="s">
        <v>1687</v>
      </c>
      <c r="G458" t="s">
        <v>1704</v>
      </c>
      <c r="H458">
        <v>7</v>
      </c>
      <c r="I458">
        <v>1830.46</v>
      </c>
      <c r="J458">
        <v>12813.22</v>
      </c>
      <c r="AA458">
        <v>45260</v>
      </c>
      <c r="AB458" t="str">
        <v>Ishita</v>
      </c>
      <c r="AC458" t="str">
        <v>Hubli</v>
      </c>
      <c r="AD458" t="str">
        <v>Karnataka</v>
      </c>
      <c r="AE458" t="str">
        <v>South</v>
      </c>
      <c r="AF458" t="str">
        <v>Groceries</v>
      </c>
      <c r="AG458" t="str">
        <v>Rice</v>
      </c>
      <c r="AH458">
        <v>20</v>
      </c>
      <c r="AI458">
        <v>285.95999999999998</v>
      </c>
      <c r="AJ458">
        <v>5719.2</v>
      </c>
    </row>
    <row r="459" spans="1:36">
      <c r="A459" s="25">
        <v>44967</v>
      </c>
      <c r="B459" t="s">
        <v>1676</v>
      </c>
      <c r="C459" t="s">
        <v>1706</v>
      </c>
      <c r="D459" t="s">
        <v>1702</v>
      </c>
      <c r="E459" t="s">
        <v>1703</v>
      </c>
      <c r="F459" t="s">
        <v>1687</v>
      </c>
      <c r="G459" t="s">
        <v>1708</v>
      </c>
      <c r="H459">
        <v>12</v>
      </c>
      <c r="I459">
        <v>1020.42</v>
      </c>
      <c r="J459">
        <v>12245.04</v>
      </c>
      <c r="AA459">
        <v>45000</v>
      </c>
      <c r="AB459" t="str">
        <v>Meera</v>
      </c>
      <c r="AC459" t="str">
        <v>Hubli</v>
      </c>
      <c r="AD459" t="str">
        <v>Karnataka</v>
      </c>
      <c r="AE459" t="str">
        <v>South</v>
      </c>
      <c r="AF459" t="str">
        <v>Groceries</v>
      </c>
      <c r="AG459" t="str">
        <v>Lentils</v>
      </c>
      <c r="AH459">
        <v>3</v>
      </c>
      <c r="AI459">
        <v>1810.87</v>
      </c>
      <c r="AJ459">
        <v>5432.61</v>
      </c>
    </row>
    <row r="460" spans="1:36">
      <c r="A460" s="25">
        <v>45271</v>
      </c>
      <c r="B460" t="s">
        <v>1692</v>
      </c>
      <c r="C460" t="s">
        <v>1706</v>
      </c>
      <c r="D460" t="s">
        <v>1702</v>
      </c>
      <c r="E460" t="s">
        <v>1703</v>
      </c>
      <c r="F460" t="s">
        <v>1687</v>
      </c>
      <c r="G460" t="s">
        <v>1688</v>
      </c>
      <c r="H460">
        <v>2</v>
      </c>
      <c r="I460">
        <v>3747.71</v>
      </c>
      <c r="J460">
        <v>7495.42</v>
      </c>
      <c r="AA460">
        <v>45115</v>
      </c>
      <c r="AB460" t="str">
        <v>Kabir</v>
      </c>
      <c r="AC460" t="str">
        <v>Hubli</v>
      </c>
      <c r="AD460" t="str">
        <v>Karnataka</v>
      </c>
      <c r="AE460" t="str">
        <v>South</v>
      </c>
      <c r="AF460" t="str">
        <v>Stationery</v>
      </c>
      <c r="AG460" t="str">
        <v>Pen</v>
      </c>
      <c r="AH460">
        <v>14</v>
      </c>
      <c r="AI460">
        <v>4164.33</v>
      </c>
      <c r="AJ460">
        <v>58300.62</v>
      </c>
    </row>
    <row r="461" spans="1:36">
      <c r="A461" s="25">
        <v>45078</v>
      </c>
      <c r="B461" t="s">
        <v>1671</v>
      </c>
      <c r="C461" t="s">
        <v>1706</v>
      </c>
      <c r="D461" t="s">
        <v>1702</v>
      </c>
      <c r="E461" t="s">
        <v>1703</v>
      </c>
      <c r="F461" t="s">
        <v>1687</v>
      </c>
      <c r="G461" t="s">
        <v>1688</v>
      </c>
      <c r="H461">
        <v>2</v>
      </c>
      <c r="I461">
        <v>3439.47</v>
      </c>
      <c r="J461">
        <v>6878.94</v>
      </c>
      <c r="AA461">
        <v>45105</v>
      </c>
      <c r="AB461" t="str">
        <v>Aditi</v>
      </c>
      <c r="AC461" t="str">
        <v>Hubli</v>
      </c>
      <c r="AD461" t="str">
        <v>Karnataka</v>
      </c>
      <c r="AE461" t="str">
        <v>South</v>
      </c>
      <c r="AF461" t="str">
        <v>Stationery</v>
      </c>
      <c r="AG461" t="str">
        <v>Pen</v>
      </c>
      <c r="AH461">
        <v>11</v>
      </c>
      <c r="AI461">
        <v>4653.38</v>
      </c>
      <c r="AJ461">
        <v>51187.18</v>
      </c>
    </row>
    <row r="462" spans="1:36">
      <c r="A462" s="25">
        <v>44989</v>
      </c>
      <c r="B462" t="s">
        <v>1681</v>
      </c>
      <c r="C462" t="s">
        <v>1706</v>
      </c>
      <c r="D462" t="s">
        <v>1702</v>
      </c>
      <c r="E462" t="s">
        <v>1703</v>
      </c>
      <c r="F462" t="s">
        <v>1687</v>
      </c>
      <c r="G462" t="s">
        <v>1704</v>
      </c>
      <c r="H462">
        <v>7</v>
      </c>
      <c r="I462">
        <v>217.04</v>
      </c>
      <c r="J462">
        <v>1519.28</v>
      </c>
      <c r="AA462">
        <v>45022</v>
      </c>
      <c r="AB462" t="str">
        <v>Ishita</v>
      </c>
      <c r="AC462" t="str">
        <v>Hubli</v>
      </c>
      <c r="AD462" t="str">
        <v>Karnataka</v>
      </c>
      <c r="AE462" t="str">
        <v>South</v>
      </c>
      <c r="AF462" t="str">
        <v>Stationery</v>
      </c>
      <c r="AG462" t="str">
        <v>Pen</v>
      </c>
      <c r="AH462">
        <v>18</v>
      </c>
      <c r="AI462">
        <v>2722.99</v>
      </c>
      <c r="AJ462">
        <v>49013.82</v>
      </c>
    </row>
    <row r="463" spans="1:36">
      <c r="A463" s="25">
        <v>44954</v>
      </c>
      <c r="B463" t="s">
        <v>1676</v>
      </c>
      <c r="C463" t="s">
        <v>1706</v>
      </c>
      <c r="D463" t="s">
        <v>1702</v>
      </c>
      <c r="E463" t="s">
        <v>1703</v>
      </c>
      <c r="F463" t="s">
        <v>114</v>
      </c>
      <c r="G463" t="s">
        <v>1718</v>
      </c>
      <c r="H463">
        <v>19</v>
      </c>
      <c r="I463">
        <v>3901.75</v>
      </c>
      <c r="J463">
        <v>74133.25</v>
      </c>
      <c r="AA463">
        <v>45103</v>
      </c>
      <c r="AB463" t="str">
        <v>Riya</v>
      </c>
      <c r="AC463" t="str">
        <v>Hubli</v>
      </c>
      <c r="AD463" t="str">
        <v>Karnataka</v>
      </c>
      <c r="AE463" t="str">
        <v>South</v>
      </c>
      <c r="AF463" t="str">
        <v>Stationery</v>
      </c>
      <c r="AG463" t="str">
        <v>Notebook</v>
      </c>
      <c r="AH463">
        <v>13</v>
      </c>
      <c r="AI463">
        <v>3616.99</v>
      </c>
      <c r="AJ463">
        <v>47020.87</v>
      </c>
    </row>
    <row r="464" spans="1:36">
      <c r="A464" s="25">
        <v>45283</v>
      </c>
      <c r="B464" t="s">
        <v>1700</v>
      </c>
      <c r="C464" t="s">
        <v>1706</v>
      </c>
      <c r="D464" t="s">
        <v>1702</v>
      </c>
      <c r="E464" t="s">
        <v>1703</v>
      </c>
      <c r="F464" t="s">
        <v>114</v>
      </c>
      <c r="G464" t="s">
        <v>1712</v>
      </c>
      <c r="H464">
        <v>17</v>
      </c>
      <c r="I464">
        <v>2655.23</v>
      </c>
      <c r="J464">
        <v>45138.91</v>
      </c>
      <c r="AA464">
        <v>44950</v>
      </c>
      <c r="AB464" t="str">
        <v>Ishita</v>
      </c>
      <c r="AC464" t="str">
        <v>Hubli</v>
      </c>
      <c r="AD464" t="str">
        <v>Karnataka</v>
      </c>
      <c r="AE464" t="str">
        <v>South</v>
      </c>
      <c r="AF464" t="str">
        <v>Stationery</v>
      </c>
      <c r="AG464" t="str">
        <v>Eraser</v>
      </c>
      <c r="AH464">
        <v>9</v>
      </c>
      <c r="AI464">
        <v>4965.3</v>
      </c>
      <c r="AJ464">
        <v>44687.7</v>
      </c>
    </row>
    <row r="465" spans="1:36">
      <c r="A465" s="25">
        <v>45016</v>
      </c>
      <c r="B465" t="s">
        <v>1692</v>
      </c>
      <c r="C465" t="s">
        <v>1706</v>
      </c>
      <c r="D465" t="s">
        <v>1702</v>
      </c>
      <c r="E465" t="s">
        <v>1703</v>
      </c>
      <c r="F465" t="s">
        <v>114</v>
      </c>
      <c r="G465" t="s">
        <v>1680</v>
      </c>
      <c r="H465">
        <v>9</v>
      </c>
      <c r="I465">
        <v>3727.82</v>
      </c>
      <c r="J465">
        <v>33550.379999999997</v>
      </c>
      <c r="AA465">
        <v>44971</v>
      </c>
      <c r="AB465" t="str">
        <v>Nishant</v>
      </c>
      <c r="AC465" t="str">
        <v>Hubli</v>
      </c>
      <c r="AD465" t="str">
        <v>Karnataka</v>
      </c>
      <c r="AE465" t="str">
        <v>South</v>
      </c>
      <c r="AF465" t="str">
        <v>Stationery</v>
      </c>
      <c r="AG465" t="str">
        <v>Ruler</v>
      </c>
      <c r="AH465">
        <v>20</v>
      </c>
      <c r="AI465">
        <v>2155.17</v>
      </c>
      <c r="AJ465">
        <v>43103.4</v>
      </c>
    </row>
    <row r="466" spans="1:36">
      <c r="A466" s="25">
        <v>45051</v>
      </c>
      <c r="B466" t="s">
        <v>1686</v>
      </c>
      <c r="C466" t="s">
        <v>1706</v>
      </c>
      <c r="D466" t="s">
        <v>1702</v>
      </c>
      <c r="E466" t="s">
        <v>1703</v>
      </c>
      <c r="F466" t="s">
        <v>114</v>
      </c>
      <c r="G466" t="s">
        <v>1712</v>
      </c>
      <c r="H466">
        <v>16</v>
      </c>
      <c r="I466">
        <v>981</v>
      </c>
      <c r="J466">
        <v>15696</v>
      </c>
      <c r="AA466">
        <v>45145</v>
      </c>
      <c r="AB466" t="str">
        <v>Nishant</v>
      </c>
      <c r="AC466" t="str">
        <v>Hubli</v>
      </c>
      <c r="AD466" t="str">
        <v>Karnataka</v>
      </c>
      <c r="AE466" t="str">
        <v>South</v>
      </c>
      <c r="AF466" t="str">
        <v>Stationery</v>
      </c>
      <c r="AG466" t="str">
        <v>Notebook</v>
      </c>
      <c r="AH466">
        <v>12</v>
      </c>
      <c r="AI466">
        <v>2820.88</v>
      </c>
      <c r="AJ466">
        <v>33850.559999999998</v>
      </c>
    </row>
    <row r="467" spans="1:36">
      <c r="A467" s="25">
        <v>45080</v>
      </c>
      <c r="B467" t="s">
        <v>1700</v>
      </c>
      <c r="C467" t="s">
        <v>1706</v>
      </c>
      <c r="D467" t="s">
        <v>1702</v>
      </c>
      <c r="E467" t="s">
        <v>1703</v>
      </c>
      <c r="F467" t="s">
        <v>114</v>
      </c>
      <c r="G467" t="s">
        <v>1691</v>
      </c>
      <c r="H467">
        <v>16</v>
      </c>
      <c r="I467">
        <v>665.83</v>
      </c>
      <c r="J467">
        <v>10653.28</v>
      </c>
      <c r="AA467">
        <v>45290</v>
      </c>
      <c r="AB467" t="str">
        <v>Vihaan</v>
      </c>
      <c r="AC467" t="str">
        <v>Hubli</v>
      </c>
      <c r="AD467" t="str">
        <v>Karnataka</v>
      </c>
      <c r="AE467" t="str">
        <v>South</v>
      </c>
      <c r="AF467" t="str">
        <v>Stationery</v>
      </c>
      <c r="AG467" t="str">
        <v>Eraser</v>
      </c>
      <c r="AH467">
        <v>19</v>
      </c>
      <c r="AI467">
        <v>1726.65</v>
      </c>
      <c r="AJ467">
        <v>32806.35</v>
      </c>
    </row>
    <row r="468" spans="1:36">
      <c r="A468" s="25">
        <v>44945</v>
      </c>
      <c r="B468" t="s">
        <v>1694</v>
      </c>
      <c r="C468" t="s">
        <v>1706</v>
      </c>
      <c r="D468" t="s">
        <v>1702</v>
      </c>
      <c r="E468" t="s">
        <v>1703</v>
      </c>
      <c r="F468" t="s">
        <v>114</v>
      </c>
      <c r="G468" t="s">
        <v>1680</v>
      </c>
      <c r="H468">
        <v>17</v>
      </c>
      <c r="I468">
        <v>500.54</v>
      </c>
      <c r="J468">
        <v>8509.18</v>
      </c>
      <c r="AA468">
        <v>45199</v>
      </c>
      <c r="AB468" t="str">
        <v>Aditi</v>
      </c>
      <c r="AC468" t="str">
        <v>Hubli</v>
      </c>
      <c r="AD468" t="str">
        <v>Karnataka</v>
      </c>
      <c r="AE468" t="str">
        <v>South</v>
      </c>
      <c r="AF468" t="str">
        <v>Stationery</v>
      </c>
      <c r="AG468" t="str">
        <v>Eraser</v>
      </c>
      <c r="AH468">
        <v>15</v>
      </c>
      <c r="AI468">
        <v>1738.86</v>
      </c>
      <c r="AJ468">
        <v>26082.9</v>
      </c>
    </row>
    <row r="469" spans="1:36">
      <c r="A469" s="25">
        <v>45153</v>
      </c>
      <c r="B469" t="s">
        <v>1700</v>
      </c>
      <c r="C469" t="s">
        <v>1706</v>
      </c>
      <c r="D469" t="s">
        <v>1702</v>
      </c>
      <c r="E469" t="s">
        <v>1703</v>
      </c>
      <c r="F469" t="s">
        <v>114</v>
      </c>
      <c r="G469" t="s">
        <v>1712</v>
      </c>
      <c r="H469">
        <v>3</v>
      </c>
      <c r="I469">
        <v>2792.38</v>
      </c>
      <c r="J469">
        <v>8377.14</v>
      </c>
      <c r="AA469">
        <v>44964</v>
      </c>
      <c r="AB469" t="str">
        <v>Aryan</v>
      </c>
      <c r="AC469" t="str">
        <v>Hubli</v>
      </c>
      <c r="AD469" t="str">
        <v>Karnataka</v>
      </c>
      <c r="AE469" t="str">
        <v>South</v>
      </c>
      <c r="AF469" t="str">
        <v>Stationery</v>
      </c>
      <c r="AG469" t="str">
        <v>Eraser</v>
      </c>
      <c r="AH469">
        <v>7</v>
      </c>
      <c r="AI469">
        <v>3396.62</v>
      </c>
      <c r="AJ469">
        <v>23776.34</v>
      </c>
    </row>
    <row r="470" spans="1:36">
      <c r="A470" s="25">
        <v>45195</v>
      </c>
      <c r="B470" t="s">
        <v>1681</v>
      </c>
      <c r="C470" t="s">
        <v>1706</v>
      </c>
      <c r="D470" t="s">
        <v>1702</v>
      </c>
      <c r="E470" t="s">
        <v>1703</v>
      </c>
      <c r="F470" t="s">
        <v>114</v>
      </c>
      <c r="G470" t="s">
        <v>1680</v>
      </c>
      <c r="H470">
        <v>2</v>
      </c>
      <c r="I470">
        <v>2851.64</v>
      </c>
      <c r="J470">
        <v>5703.28</v>
      </c>
      <c r="AA470">
        <v>45221</v>
      </c>
      <c r="AB470" t="str">
        <v>Aditi</v>
      </c>
      <c r="AC470" t="str">
        <v>Hubli</v>
      </c>
      <c r="AD470" t="str">
        <v>Karnataka</v>
      </c>
      <c r="AE470" t="str">
        <v>South</v>
      </c>
      <c r="AF470" t="str">
        <v>Stationery</v>
      </c>
      <c r="AG470" t="str">
        <v>Notebook</v>
      </c>
      <c r="AH470">
        <v>11</v>
      </c>
      <c r="AI470">
        <v>1841.84</v>
      </c>
      <c r="AJ470">
        <v>20260.240000000002</v>
      </c>
    </row>
    <row r="471" spans="1:36">
      <c r="A471" s="25">
        <v>45203</v>
      </c>
      <c r="B471" t="s">
        <v>1694</v>
      </c>
      <c r="C471" t="s">
        <v>1706</v>
      </c>
      <c r="D471" t="s">
        <v>1702</v>
      </c>
      <c r="E471" t="s">
        <v>1703</v>
      </c>
      <c r="F471" t="s">
        <v>114</v>
      </c>
      <c r="G471" t="s">
        <v>1680</v>
      </c>
      <c r="H471">
        <v>1</v>
      </c>
      <c r="I471">
        <v>4813.2299999999996</v>
      </c>
      <c r="J471">
        <v>4813.2299999999996</v>
      </c>
      <c r="AA471">
        <v>45016</v>
      </c>
      <c r="AB471" t="str">
        <v>Aarav</v>
      </c>
      <c r="AC471" t="str">
        <v>Hubli</v>
      </c>
      <c r="AD471" t="str">
        <v>Karnataka</v>
      </c>
      <c r="AE471" t="str">
        <v>South</v>
      </c>
      <c r="AF471" t="str">
        <v>Stationery</v>
      </c>
      <c r="AG471" t="str">
        <v>Notebook</v>
      </c>
      <c r="AH471">
        <v>4</v>
      </c>
      <c r="AI471">
        <v>4965.34</v>
      </c>
      <c r="AJ471">
        <v>19861.36</v>
      </c>
    </row>
    <row r="472" spans="1:36">
      <c r="A472" s="25">
        <v>45129</v>
      </c>
      <c r="B472" t="s">
        <v>1700</v>
      </c>
      <c r="C472" t="s">
        <v>1706</v>
      </c>
      <c r="D472" t="s">
        <v>1702</v>
      </c>
      <c r="E472" t="s">
        <v>1703</v>
      </c>
      <c r="F472" t="s">
        <v>114</v>
      </c>
      <c r="G472" t="s">
        <v>1712</v>
      </c>
      <c r="H472">
        <v>4</v>
      </c>
      <c r="I472">
        <v>1009.78</v>
      </c>
      <c r="J472">
        <v>4039.12</v>
      </c>
      <c r="AA472">
        <v>45002</v>
      </c>
      <c r="AB472" t="str">
        <v>Ishita</v>
      </c>
      <c r="AC472" t="str">
        <v>Hubli</v>
      </c>
      <c r="AD472" t="str">
        <v>Karnataka</v>
      </c>
      <c r="AE472" t="str">
        <v>South</v>
      </c>
      <c r="AF472" t="str">
        <v>Stationery</v>
      </c>
      <c r="AG472" t="str">
        <v>Eraser</v>
      </c>
      <c r="AH472">
        <v>6</v>
      </c>
      <c r="AI472">
        <v>1919.03</v>
      </c>
      <c r="AJ472">
        <v>11514.18</v>
      </c>
    </row>
    <row r="473" spans="1:36">
      <c r="A473" s="25">
        <v>45277</v>
      </c>
      <c r="B473" t="s">
        <v>1671</v>
      </c>
      <c r="C473" t="s">
        <v>1706</v>
      </c>
      <c r="D473" t="s">
        <v>1702</v>
      </c>
      <c r="E473" t="s">
        <v>1703</v>
      </c>
      <c r="F473" t="s">
        <v>114</v>
      </c>
      <c r="G473" t="s">
        <v>1712</v>
      </c>
      <c r="H473">
        <v>14</v>
      </c>
      <c r="I473">
        <v>264.77</v>
      </c>
      <c r="J473">
        <v>3706.78</v>
      </c>
      <c r="AA473">
        <v>45056</v>
      </c>
      <c r="AB473" t="str">
        <v>Vihaan</v>
      </c>
      <c r="AC473" t="str">
        <v>Hubli</v>
      </c>
      <c r="AD473" t="str">
        <v>Karnataka</v>
      </c>
      <c r="AE473" t="str">
        <v>South</v>
      </c>
      <c r="AF473" t="str">
        <v>Stationery</v>
      </c>
      <c r="AG473" t="str">
        <v>Eraser</v>
      </c>
      <c r="AH473">
        <v>19</v>
      </c>
      <c r="AI473">
        <v>491.53</v>
      </c>
      <c r="AJ473">
        <v>9339.07</v>
      </c>
    </row>
    <row r="474" spans="1:36">
      <c r="A474" s="25">
        <v>44971</v>
      </c>
      <c r="B474" t="s">
        <v>1671</v>
      </c>
      <c r="C474" t="s">
        <v>1706</v>
      </c>
      <c r="D474" t="s">
        <v>1702</v>
      </c>
      <c r="E474" t="s">
        <v>1703</v>
      </c>
      <c r="F474" t="s">
        <v>114</v>
      </c>
      <c r="G474" t="s">
        <v>1691</v>
      </c>
      <c r="H474">
        <v>2</v>
      </c>
      <c r="I474">
        <v>1189.6500000000001</v>
      </c>
      <c r="J474">
        <v>2379.3000000000002</v>
      </c>
      <c r="AA474">
        <v>45203</v>
      </c>
      <c r="AB474" t="str">
        <v>Nishant</v>
      </c>
      <c r="AC474" t="str">
        <v>Hubli</v>
      </c>
      <c r="AD474" t="str">
        <v>Karnataka</v>
      </c>
      <c r="AE474" t="str">
        <v>South</v>
      </c>
      <c r="AF474" t="str">
        <v>Stationery</v>
      </c>
      <c r="AG474" t="str">
        <v>Eraser</v>
      </c>
      <c r="AH474">
        <v>7</v>
      </c>
      <c r="AI474">
        <v>1073.54</v>
      </c>
      <c r="AJ474">
        <v>7514.78</v>
      </c>
    </row>
    <row r="475" spans="1:36">
      <c r="A475" s="25">
        <v>45143</v>
      </c>
      <c r="B475" t="s">
        <v>1681</v>
      </c>
      <c r="C475" t="s">
        <v>1706</v>
      </c>
      <c r="D475" t="s">
        <v>1702</v>
      </c>
      <c r="E475" t="s">
        <v>1703</v>
      </c>
      <c r="F475" t="s">
        <v>114</v>
      </c>
      <c r="G475" t="s">
        <v>1712</v>
      </c>
      <c r="H475">
        <v>1</v>
      </c>
      <c r="I475">
        <v>2366.64</v>
      </c>
      <c r="J475">
        <v>2366.64</v>
      </c>
      <c r="AA475">
        <v>45079</v>
      </c>
      <c r="AB475" t="str">
        <v>Meera</v>
      </c>
      <c r="AC475" t="str">
        <v>Hubli</v>
      </c>
      <c r="AD475" t="str">
        <v>Karnataka</v>
      </c>
      <c r="AE475" t="str">
        <v>South</v>
      </c>
      <c r="AF475" t="str">
        <v>Stationery</v>
      </c>
      <c r="AG475" t="str">
        <v>Pen</v>
      </c>
      <c r="AH475">
        <v>9</v>
      </c>
      <c r="AI475">
        <v>662.41</v>
      </c>
      <c r="AJ475">
        <v>5961.69</v>
      </c>
    </row>
    <row r="476" spans="1:36">
      <c r="A476" s="25">
        <v>45124</v>
      </c>
      <c r="B476" t="s">
        <v>1692</v>
      </c>
      <c r="C476" t="s">
        <v>1706</v>
      </c>
      <c r="D476" t="s">
        <v>1702</v>
      </c>
      <c r="E476" t="s">
        <v>1703</v>
      </c>
      <c r="F476" t="s">
        <v>114</v>
      </c>
      <c r="G476" t="s">
        <v>1691</v>
      </c>
      <c r="H476">
        <v>1</v>
      </c>
      <c r="I476">
        <v>1323.63</v>
      </c>
      <c r="J476">
        <v>1323.63</v>
      </c>
      <c r="AA476">
        <v>45216</v>
      </c>
      <c r="AB476" t="str">
        <v>Riya</v>
      </c>
      <c r="AC476" t="str">
        <v>Madurai</v>
      </c>
      <c r="AD476" t="str">
        <v>Tamil Nadu</v>
      </c>
      <c r="AE476" t="str">
        <v>South</v>
      </c>
      <c r="AF476" t="str">
        <v>Clothing</v>
      </c>
      <c r="AG476" t="str">
        <v>Shirt</v>
      </c>
      <c r="AH476">
        <v>19</v>
      </c>
      <c r="AI476">
        <v>4080.77</v>
      </c>
      <c r="AJ476">
        <v>77534.63</v>
      </c>
    </row>
    <row r="477" spans="1:36">
      <c r="A477" s="25">
        <v>45216</v>
      </c>
      <c r="B477" t="s">
        <v>1694</v>
      </c>
      <c r="C477" t="s">
        <v>1684</v>
      </c>
      <c r="D477" t="s">
        <v>1678</v>
      </c>
      <c r="E477" t="s">
        <v>1679</v>
      </c>
      <c r="F477" t="s">
        <v>97</v>
      </c>
      <c r="G477" t="s">
        <v>1699</v>
      </c>
      <c r="H477">
        <v>19</v>
      </c>
      <c r="I477">
        <v>4080.77</v>
      </c>
      <c r="J477">
        <v>77534.63</v>
      </c>
      <c r="AA477">
        <v>45160</v>
      </c>
      <c r="AB477" t="str">
        <v>Ishita</v>
      </c>
      <c r="AC477" t="str">
        <v>Madurai</v>
      </c>
      <c r="AD477" t="str">
        <v>Tamil Nadu</v>
      </c>
      <c r="AE477" t="str">
        <v>South</v>
      </c>
      <c r="AF477" t="str">
        <v>Clothing</v>
      </c>
      <c r="AG477" t="str">
        <v>Shirt</v>
      </c>
      <c r="AH477">
        <v>14</v>
      </c>
      <c r="AI477">
        <v>3631.62</v>
      </c>
      <c r="AJ477">
        <v>50842.68</v>
      </c>
    </row>
    <row r="478" spans="1:36">
      <c r="A478" s="25">
        <v>45160</v>
      </c>
      <c r="B478" t="s">
        <v>1689</v>
      </c>
      <c r="C478" t="s">
        <v>1684</v>
      </c>
      <c r="D478" t="s">
        <v>1678</v>
      </c>
      <c r="E478" t="s">
        <v>1679</v>
      </c>
      <c r="F478" t="s">
        <v>97</v>
      </c>
      <c r="G478" t="s">
        <v>1699</v>
      </c>
      <c r="H478">
        <v>14</v>
      </c>
      <c r="I478">
        <v>3631.62</v>
      </c>
      <c r="J478">
        <v>50842.68</v>
      </c>
      <c r="AA478">
        <v>45137</v>
      </c>
      <c r="AB478" t="str">
        <v>Riya</v>
      </c>
      <c r="AC478" t="str">
        <v>Madurai</v>
      </c>
      <c r="AD478" t="str">
        <v>Tamil Nadu</v>
      </c>
      <c r="AE478" t="str">
        <v>South</v>
      </c>
      <c r="AF478" t="str">
        <v>Clothing</v>
      </c>
      <c r="AG478" t="str">
        <v>Shirt</v>
      </c>
      <c r="AH478">
        <v>19</v>
      </c>
      <c r="AI478">
        <v>2290.6799999999998</v>
      </c>
      <c r="AJ478">
        <v>43522.92</v>
      </c>
    </row>
    <row r="479" spans="1:36">
      <c r="A479" s="25">
        <v>45137</v>
      </c>
      <c r="B479" t="s">
        <v>1694</v>
      </c>
      <c r="C479" t="s">
        <v>1684</v>
      </c>
      <c r="D479" t="s">
        <v>1678</v>
      </c>
      <c r="E479" t="s">
        <v>1679</v>
      </c>
      <c r="F479" t="s">
        <v>97</v>
      </c>
      <c r="G479" t="s">
        <v>1699</v>
      </c>
      <c r="H479">
        <v>19</v>
      </c>
      <c r="I479">
        <v>2290.6799999999998</v>
      </c>
      <c r="J479">
        <v>43522.92</v>
      </c>
      <c r="AA479">
        <v>45214</v>
      </c>
      <c r="AB479" t="str">
        <v>Vihaan</v>
      </c>
      <c r="AC479" t="str">
        <v>Madurai</v>
      </c>
      <c r="AD479" t="str">
        <v>Tamil Nadu</v>
      </c>
      <c r="AE479" t="str">
        <v>South</v>
      </c>
      <c r="AF479" t="str">
        <v>Clothing</v>
      </c>
      <c r="AG479" t="str">
        <v>Dress</v>
      </c>
      <c r="AH479">
        <v>9</v>
      </c>
      <c r="AI479">
        <v>4487</v>
      </c>
      <c r="AJ479">
        <v>40383</v>
      </c>
    </row>
    <row r="480" spans="1:36">
      <c r="A480" s="25">
        <v>45214</v>
      </c>
      <c r="B480" t="s">
        <v>1676</v>
      </c>
      <c r="C480" t="s">
        <v>1684</v>
      </c>
      <c r="D480" t="s">
        <v>1678</v>
      </c>
      <c r="E480" t="s">
        <v>1679</v>
      </c>
      <c r="F480" t="s">
        <v>97</v>
      </c>
      <c r="G480" t="s">
        <v>1685</v>
      </c>
      <c r="H480">
        <v>9</v>
      </c>
      <c r="I480">
        <v>4487</v>
      </c>
      <c r="J480">
        <v>40383</v>
      </c>
      <c r="AA480">
        <v>45048</v>
      </c>
      <c r="AB480" t="str">
        <v>Ishita</v>
      </c>
      <c r="AC480" t="str">
        <v>Madurai</v>
      </c>
      <c r="AD480" t="str">
        <v>Tamil Nadu</v>
      </c>
      <c r="AE480" t="str">
        <v>South</v>
      </c>
      <c r="AF480" t="str">
        <v>Clothing</v>
      </c>
      <c r="AG480" t="str">
        <v>Pants</v>
      </c>
      <c r="AH480">
        <v>8</v>
      </c>
      <c r="AI480">
        <v>4984.96</v>
      </c>
      <c r="AJ480">
        <v>39879.68</v>
      </c>
    </row>
    <row r="481" spans="1:36">
      <c r="A481" s="25">
        <v>45048</v>
      </c>
      <c r="B481" t="s">
        <v>1689</v>
      </c>
      <c r="C481" t="s">
        <v>1684</v>
      </c>
      <c r="D481" t="s">
        <v>1678</v>
      </c>
      <c r="E481" t="s">
        <v>1679</v>
      </c>
      <c r="F481" t="s">
        <v>97</v>
      </c>
      <c r="G481" t="s">
        <v>1697</v>
      </c>
      <c r="H481">
        <v>8</v>
      </c>
      <c r="I481">
        <v>4984.96</v>
      </c>
      <c r="J481">
        <v>39879.68</v>
      </c>
      <c r="AA481">
        <v>44987</v>
      </c>
      <c r="AB481" t="str">
        <v>Aarav</v>
      </c>
      <c r="AC481" t="str">
        <v>Madurai</v>
      </c>
      <c r="AD481" t="str">
        <v>Tamil Nadu</v>
      </c>
      <c r="AE481" t="str">
        <v>South</v>
      </c>
      <c r="AF481" t="str">
        <v>Clothing</v>
      </c>
      <c r="AG481" t="str">
        <v>Dress</v>
      </c>
      <c r="AH481">
        <v>15</v>
      </c>
      <c r="AI481">
        <v>2194.7199999999998</v>
      </c>
      <c r="AJ481">
        <v>32920.800000000003</v>
      </c>
    </row>
    <row r="482" spans="1:36">
      <c r="A482" s="25">
        <v>44987</v>
      </c>
      <c r="B482" t="s">
        <v>1692</v>
      </c>
      <c r="C482" t="s">
        <v>1684</v>
      </c>
      <c r="D482" t="s">
        <v>1678</v>
      </c>
      <c r="E482" t="s">
        <v>1679</v>
      </c>
      <c r="F482" t="s">
        <v>97</v>
      </c>
      <c r="G482" t="s">
        <v>1685</v>
      </c>
      <c r="H482">
        <v>15</v>
      </c>
      <c r="I482">
        <v>2194.7199999999998</v>
      </c>
      <c r="J482">
        <v>32920.800000000003</v>
      </c>
      <c r="AA482">
        <v>45260</v>
      </c>
      <c r="AB482" t="str">
        <v>Ananya</v>
      </c>
      <c r="AC482" t="str">
        <v>Madurai</v>
      </c>
      <c r="AD482" t="str">
        <v>Tamil Nadu</v>
      </c>
      <c r="AE482" t="str">
        <v>South</v>
      </c>
      <c r="AF482" t="str">
        <v>Clothing</v>
      </c>
      <c r="AG482" t="str">
        <v>Jacket</v>
      </c>
      <c r="AH482">
        <v>19</v>
      </c>
      <c r="AI482">
        <v>1343.6</v>
      </c>
      <c r="AJ482">
        <v>25528.400000000001</v>
      </c>
    </row>
    <row r="483" spans="1:36">
      <c r="A483" s="25">
        <v>45260</v>
      </c>
      <c r="B483" t="s">
        <v>1700</v>
      </c>
      <c r="C483" t="s">
        <v>1684</v>
      </c>
      <c r="D483" t="s">
        <v>1678</v>
      </c>
      <c r="E483" t="s">
        <v>1679</v>
      </c>
      <c r="F483" t="s">
        <v>97</v>
      </c>
      <c r="G483" t="s">
        <v>1711</v>
      </c>
      <c r="H483">
        <v>19</v>
      </c>
      <c r="I483">
        <v>1343.6</v>
      </c>
      <c r="J483">
        <v>25528.400000000001</v>
      </c>
      <c r="AA483">
        <v>45047</v>
      </c>
      <c r="AB483" t="str">
        <v>Ananya</v>
      </c>
      <c r="AC483" t="str">
        <v>Madurai</v>
      </c>
      <c r="AD483" t="str">
        <v>Tamil Nadu</v>
      </c>
      <c r="AE483" t="str">
        <v>South</v>
      </c>
      <c r="AF483" t="str">
        <v>Clothing</v>
      </c>
      <c r="AG483" t="str">
        <v>Shirt</v>
      </c>
      <c r="AH483">
        <v>9</v>
      </c>
      <c r="AI483">
        <v>2624.88</v>
      </c>
      <c r="AJ483">
        <v>23623.919999999998</v>
      </c>
    </row>
    <row r="484" spans="1:36">
      <c r="A484" s="25">
        <v>45047</v>
      </c>
      <c r="B484" t="s">
        <v>1700</v>
      </c>
      <c r="C484" t="s">
        <v>1684</v>
      </c>
      <c r="D484" t="s">
        <v>1678</v>
      </c>
      <c r="E484" t="s">
        <v>1679</v>
      </c>
      <c r="F484" t="s">
        <v>97</v>
      </c>
      <c r="G484" t="s">
        <v>1699</v>
      </c>
      <c r="H484">
        <v>9</v>
      </c>
      <c r="I484">
        <v>2624.88</v>
      </c>
      <c r="J484">
        <v>23623.919999999998</v>
      </c>
      <c r="AA484">
        <v>45085</v>
      </c>
      <c r="AB484" t="str">
        <v>Kabir</v>
      </c>
      <c r="AC484" t="str">
        <v>Madurai</v>
      </c>
      <c r="AD484" t="str">
        <v>Tamil Nadu</v>
      </c>
      <c r="AE484" t="str">
        <v>South</v>
      </c>
      <c r="AF484" t="str">
        <v>Clothing</v>
      </c>
      <c r="AG484" t="str">
        <v>Pants</v>
      </c>
      <c r="AH484">
        <v>9</v>
      </c>
      <c r="AI484">
        <v>1940.11</v>
      </c>
      <c r="AJ484">
        <v>17460.990000000002</v>
      </c>
    </row>
    <row r="485" spans="1:36">
      <c r="A485" s="25">
        <v>45085</v>
      </c>
      <c r="B485" t="s">
        <v>1705</v>
      </c>
      <c r="C485" t="s">
        <v>1684</v>
      </c>
      <c r="D485" t="s">
        <v>1678</v>
      </c>
      <c r="E485" t="s">
        <v>1679</v>
      </c>
      <c r="F485" t="s">
        <v>97</v>
      </c>
      <c r="G485" t="s">
        <v>1697</v>
      </c>
      <c r="H485">
        <v>9</v>
      </c>
      <c r="I485">
        <v>1940.11</v>
      </c>
      <c r="J485">
        <v>17460.990000000002</v>
      </c>
      <c r="AA485">
        <v>45132</v>
      </c>
      <c r="AB485" t="str">
        <v>Riya</v>
      </c>
      <c r="AC485" t="str">
        <v>Madurai</v>
      </c>
      <c r="AD485" t="str">
        <v>Tamil Nadu</v>
      </c>
      <c r="AE485" t="str">
        <v>South</v>
      </c>
      <c r="AF485" t="str">
        <v>Clothing</v>
      </c>
      <c r="AG485" t="str">
        <v>Pants</v>
      </c>
      <c r="AH485">
        <v>4</v>
      </c>
      <c r="AI485">
        <v>4336.92</v>
      </c>
      <c r="AJ485">
        <v>17347.68</v>
      </c>
    </row>
    <row r="486" spans="1:36">
      <c r="A486" s="25">
        <v>45132</v>
      </c>
      <c r="B486" t="s">
        <v>1694</v>
      </c>
      <c r="C486" t="s">
        <v>1684</v>
      </c>
      <c r="D486" t="s">
        <v>1678</v>
      </c>
      <c r="E486" t="s">
        <v>1679</v>
      </c>
      <c r="F486" t="s">
        <v>97</v>
      </c>
      <c r="G486" t="s">
        <v>1697</v>
      </c>
      <c r="H486">
        <v>4</v>
      </c>
      <c r="I486">
        <v>4336.92</v>
      </c>
      <c r="J486">
        <v>17347.68</v>
      </c>
      <c r="AA486">
        <v>45256</v>
      </c>
      <c r="AB486" t="str">
        <v>Nishant</v>
      </c>
      <c r="AC486" t="str">
        <v>Madurai</v>
      </c>
      <c r="AD486" t="str">
        <v>Tamil Nadu</v>
      </c>
      <c r="AE486" t="str">
        <v>South</v>
      </c>
      <c r="AF486" t="str">
        <v>Clothing</v>
      </c>
      <c r="AG486" t="str">
        <v>Shirt</v>
      </c>
      <c r="AH486">
        <v>8</v>
      </c>
      <c r="AI486">
        <v>1421.21</v>
      </c>
      <c r="AJ486">
        <v>11369.68</v>
      </c>
    </row>
    <row r="487" spans="1:36">
      <c r="A487" s="25">
        <v>45256</v>
      </c>
      <c r="B487" t="s">
        <v>1681</v>
      </c>
      <c r="C487" t="s">
        <v>1684</v>
      </c>
      <c r="D487" t="s">
        <v>1678</v>
      </c>
      <c r="E487" t="s">
        <v>1679</v>
      </c>
      <c r="F487" t="s">
        <v>97</v>
      </c>
      <c r="G487" t="s">
        <v>1699</v>
      </c>
      <c r="H487">
        <v>8</v>
      </c>
      <c r="I487">
        <v>1421.21</v>
      </c>
      <c r="J487">
        <v>11369.68</v>
      </c>
      <c r="AA487">
        <v>45165</v>
      </c>
      <c r="AB487" t="str">
        <v>Aditi</v>
      </c>
      <c r="AC487" t="str">
        <v>Madurai</v>
      </c>
      <c r="AD487" t="str">
        <v>Tamil Nadu</v>
      </c>
      <c r="AE487" t="str">
        <v>South</v>
      </c>
      <c r="AF487" t="str">
        <v>Clothing</v>
      </c>
      <c r="AG487" t="str">
        <v>Jacket</v>
      </c>
      <c r="AH487">
        <v>5</v>
      </c>
      <c r="AI487">
        <v>2024.36</v>
      </c>
      <c r="AJ487">
        <v>10121.799999999999</v>
      </c>
    </row>
    <row r="488" spans="1:36">
      <c r="A488" s="25">
        <v>45165</v>
      </c>
      <c r="B488" t="s">
        <v>1686</v>
      </c>
      <c r="C488" t="s">
        <v>1684</v>
      </c>
      <c r="D488" t="s">
        <v>1678</v>
      </c>
      <c r="E488" t="s">
        <v>1679</v>
      </c>
      <c r="F488" t="s">
        <v>97</v>
      </c>
      <c r="G488" t="s">
        <v>1711</v>
      </c>
      <c r="H488">
        <v>5</v>
      </c>
      <c r="I488">
        <v>2024.36</v>
      </c>
      <c r="J488">
        <v>10121.799999999999</v>
      </c>
      <c r="AA488">
        <v>44963</v>
      </c>
      <c r="AB488" t="str">
        <v>Ananya</v>
      </c>
      <c r="AC488" t="str">
        <v>Madurai</v>
      </c>
      <c r="AD488" t="str">
        <v>Tamil Nadu</v>
      </c>
      <c r="AE488" t="str">
        <v>South</v>
      </c>
      <c r="AF488" t="str">
        <v>Clothing</v>
      </c>
      <c r="AG488" t="str">
        <v>Pants</v>
      </c>
      <c r="AH488">
        <v>13</v>
      </c>
      <c r="AI488">
        <v>739.6</v>
      </c>
      <c r="AJ488">
        <v>9614.7999999999993</v>
      </c>
    </row>
    <row r="489" spans="1:36">
      <c r="A489" s="25">
        <v>44963</v>
      </c>
      <c r="B489" t="s">
        <v>1700</v>
      </c>
      <c r="C489" t="s">
        <v>1684</v>
      </c>
      <c r="D489" t="s">
        <v>1678</v>
      </c>
      <c r="E489" t="s">
        <v>1679</v>
      </c>
      <c r="F489" t="s">
        <v>97</v>
      </c>
      <c r="G489" t="s">
        <v>1697</v>
      </c>
      <c r="H489">
        <v>13</v>
      </c>
      <c r="I489">
        <v>739.6</v>
      </c>
      <c r="J489">
        <v>9614.7999999999993</v>
      </c>
      <c r="AA489">
        <v>45260</v>
      </c>
      <c r="AB489" t="str">
        <v>Ananya</v>
      </c>
      <c r="AC489" t="str">
        <v>Madurai</v>
      </c>
      <c r="AD489" t="str">
        <v>Tamil Nadu</v>
      </c>
      <c r="AE489" t="str">
        <v>South</v>
      </c>
      <c r="AF489" t="str">
        <v>Clothing</v>
      </c>
      <c r="AG489" t="str">
        <v>Pants</v>
      </c>
      <c r="AH489">
        <v>17</v>
      </c>
      <c r="AI489">
        <v>544.41999999999996</v>
      </c>
      <c r="AJ489">
        <v>9255.14</v>
      </c>
    </row>
    <row r="490" spans="1:36">
      <c r="A490" s="25">
        <v>45260</v>
      </c>
      <c r="B490" t="s">
        <v>1700</v>
      </c>
      <c r="C490" t="s">
        <v>1684</v>
      </c>
      <c r="D490" t="s">
        <v>1678</v>
      </c>
      <c r="E490" t="s">
        <v>1679</v>
      </c>
      <c r="F490" t="s">
        <v>97</v>
      </c>
      <c r="G490" t="s">
        <v>1697</v>
      </c>
      <c r="H490">
        <v>17</v>
      </c>
      <c r="I490">
        <v>544.41999999999996</v>
      </c>
      <c r="J490">
        <v>9255.14</v>
      </c>
      <c r="AA490">
        <v>45186</v>
      </c>
      <c r="AB490" t="str">
        <v>Vihaan</v>
      </c>
      <c r="AC490" t="str">
        <v>Madurai</v>
      </c>
      <c r="AD490" t="str">
        <v>Tamil Nadu</v>
      </c>
      <c r="AE490" t="str">
        <v>South</v>
      </c>
      <c r="AF490" t="str">
        <v>Clothing</v>
      </c>
      <c r="AG490" t="str">
        <v>Pants</v>
      </c>
      <c r="AH490">
        <v>2</v>
      </c>
      <c r="AI490">
        <v>1264.68</v>
      </c>
      <c r="AJ490">
        <v>2529.36</v>
      </c>
    </row>
    <row r="491" spans="1:36">
      <c r="A491" s="25">
        <v>45186</v>
      </c>
      <c r="B491" t="s">
        <v>1676</v>
      </c>
      <c r="C491" t="s">
        <v>1684</v>
      </c>
      <c r="D491" t="s">
        <v>1678</v>
      </c>
      <c r="E491" t="s">
        <v>1679</v>
      </c>
      <c r="F491" t="s">
        <v>97</v>
      </c>
      <c r="G491" t="s">
        <v>1697</v>
      </c>
      <c r="H491">
        <v>2</v>
      </c>
      <c r="I491">
        <v>1264.68</v>
      </c>
      <c r="J491">
        <v>2529.36</v>
      </c>
      <c r="AA491">
        <v>45110</v>
      </c>
      <c r="AB491" t="str">
        <v>Aryan</v>
      </c>
      <c r="AC491" t="str">
        <v>Madurai</v>
      </c>
      <c r="AD491" t="str">
        <v>Tamil Nadu</v>
      </c>
      <c r="AE491" t="str">
        <v>South</v>
      </c>
      <c r="AF491" t="str">
        <v>Clothing</v>
      </c>
      <c r="AG491" t="str">
        <v>Jacket</v>
      </c>
      <c r="AH491">
        <v>1</v>
      </c>
      <c r="AI491">
        <v>1717.6</v>
      </c>
      <c r="AJ491">
        <v>1717.6</v>
      </c>
    </row>
    <row r="492" spans="1:36">
      <c r="A492" s="25">
        <v>45110</v>
      </c>
      <c r="B492" t="s">
        <v>1698</v>
      </c>
      <c r="C492" t="s">
        <v>1684</v>
      </c>
      <c r="D492" t="s">
        <v>1678</v>
      </c>
      <c r="E492" t="s">
        <v>1679</v>
      </c>
      <c r="F492" t="s">
        <v>97</v>
      </c>
      <c r="G492" t="s">
        <v>1711</v>
      </c>
      <c r="H492">
        <v>1</v>
      </c>
      <c r="I492">
        <v>1717.6</v>
      </c>
      <c r="J492">
        <v>1717.6</v>
      </c>
      <c r="AA492">
        <v>44960</v>
      </c>
      <c r="AB492" t="str">
        <v>Aryan</v>
      </c>
      <c r="AC492" t="str">
        <v>Madurai</v>
      </c>
      <c r="AD492" t="str">
        <v>Tamil Nadu</v>
      </c>
      <c r="AE492" t="str">
        <v>South</v>
      </c>
      <c r="AF492" t="str">
        <v>Electronics</v>
      </c>
      <c r="AG492" t="str">
        <v>Headphones</v>
      </c>
      <c r="AH492">
        <v>20</v>
      </c>
      <c r="AI492">
        <v>4397.46</v>
      </c>
      <c r="AJ492">
        <v>87949.2</v>
      </c>
    </row>
    <row r="493" spans="1:36">
      <c r="A493" s="25">
        <v>44960</v>
      </c>
      <c r="B493" t="s">
        <v>1698</v>
      </c>
      <c r="C493" t="s">
        <v>1684</v>
      </c>
      <c r="D493" t="s">
        <v>1678</v>
      </c>
      <c r="E493" t="s">
        <v>1679</v>
      </c>
      <c r="F493" t="s">
        <v>89</v>
      </c>
      <c r="G493" t="s">
        <v>1105</v>
      </c>
      <c r="H493">
        <v>20</v>
      </c>
      <c r="I493">
        <v>4397.46</v>
      </c>
      <c r="J493">
        <v>87949.2</v>
      </c>
      <c r="AA493">
        <v>44971</v>
      </c>
      <c r="AB493" t="str">
        <v>Ananya</v>
      </c>
      <c r="AC493" t="str">
        <v>Madurai</v>
      </c>
      <c r="AD493" t="str">
        <v>Tamil Nadu</v>
      </c>
      <c r="AE493" t="str">
        <v>South</v>
      </c>
      <c r="AF493" t="str">
        <v>Electronics</v>
      </c>
      <c r="AG493" t="str">
        <v>Tablet</v>
      </c>
      <c r="AH493">
        <v>9</v>
      </c>
      <c r="AI493">
        <v>4811.76</v>
      </c>
      <c r="AJ493">
        <v>43305.84</v>
      </c>
    </row>
    <row r="494" spans="1:36">
      <c r="A494" s="25">
        <v>44971</v>
      </c>
      <c r="B494" t="s">
        <v>1700</v>
      </c>
      <c r="C494" t="s">
        <v>1684</v>
      </c>
      <c r="D494" t="s">
        <v>1678</v>
      </c>
      <c r="E494" t="s">
        <v>1679</v>
      </c>
      <c r="F494" t="s">
        <v>89</v>
      </c>
      <c r="G494" t="s">
        <v>1714</v>
      </c>
      <c r="H494">
        <v>9</v>
      </c>
      <c r="I494">
        <v>4811.76</v>
      </c>
      <c r="J494">
        <v>43305.84</v>
      </c>
      <c r="AA494">
        <v>45254</v>
      </c>
      <c r="AB494" t="str">
        <v>Meera</v>
      </c>
      <c r="AC494" t="str">
        <v>Madurai</v>
      </c>
      <c r="AD494" t="str">
        <v>Tamil Nadu</v>
      </c>
      <c r="AE494" t="str">
        <v>South</v>
      </c>
      <c r="AF494" t="str">
        <v>Electronics</v>
      </c>
      <c r="AG494" t="str">
        <v>Headphones</v>
      </c>
      <c r="AH494">
        <v>16</v>
      </c>
      <c r="AI494">
        <v>1870.47</v>
      </c>
      <c r="AJ494">
        <v>29927.52</v>
      </c>
    </row>
    <row r="495" spans="1:36">
      <c r="A495" s="25">
        <v>45254</v>
      </c>
      <c r="B495" t="s">
        <v>1671</v>
      </c>
      <c r="C495" t="s">
        <v>1684</v>
      </c>
      <c r="D495" t="s">
        <v>1678</v>
      </c>
      <c r="E495" t="s">
        <v>1679</v>
      </c>
      <c r="F495" t="s">
        <v>89</v>
      </c>
      <c r="G495" t="s">
        <v>1105</v>
      </c>
      <c r="H495">
        <v>16</v>
      </c>
      <c r="I495">
        <v>1870.47</v>
      </c>
      <c r="J495">
        <v>29927.52</v>
      </c>
      <c r="AA495">
        <v>45076</v>
      </c>
      <c r="AB495" t="str">
        <v>Aditi</v>
      </c>
      <c r="AC495" t="str">
        <v>Madurai</v>
      </c>
      <c r="AD495" t="str">
        <v>Tamil Nadu</v>
      </c>
      <c r="AE495" t="str">
        <v>South</v>
      </c>
      <c r="AF495" t="str">
        <v>Electronics</v>
      </c>
      <c r="AG495" t="str">
        <v>Laptop</v>
      </c>
      <c r="AH495">
        <v>20</v>
      </c>
      <c r="AI495">
        <v>1316.67</v>
      </c>
      <c r="AJ495">
        <v>26333.4</v>
      </c>
    </row>
    <row r="496" spans="1:36">
      <c r="A496" s="25">
        <v>45076</v>
      </c>
      <c r="B496" t="s">
        <v>1686</v>
      </c>
      <c r="C496" t="s">
        <v>1684</v>
      </c>
      <c r="D496" t="s">
        <v>1678</v>
      </c>
      <c r="E496" t="s">
        <v>1679</v>
      </c>
      <c r="F496" t="s">
        <v>89</v>
      </c>
      <c r="G496" t="s">
        <v>1106</v>
      </c>
      <c r="H496">
        <v>20</v>
      </c>
      <c r="I496">
        <v>1316.67</v>
      </c>
      <c r="J496">
        <v>26333.4</v>
      </c>
      <c r="AA496">
        <v>44962</v>
      </c>
      <c r="AB496" t="str">
        <v>Riya</v>
      </c>
      <c r="AC496" t="str">
        <v>Madurai</v>
      </c>
      <c r="AD496" t="str">
        <v>Tamil Nadu</v>
      </c>
      <c r="AE496" t="str">
        <v>South</v>
      </c>
      <c r="AF496" t="str">
        <v>Electronics</v>
      </c>
      <c r="AG496" t="str">
        <v>Headphones</v>
      </c>
      <c r="AH496">
        <v>10</v>
      </c>
      <c r="AI496">
        <v>2515.54</v>
      </c>
      <c r="AJ496">
        <v>25155.4</v>
      </c>
    </row>
    <row r="497" spans="1:36">
      <c r="A497" s="25">
        <v>44962</v>
      </c>
      <c r="B497" t="s">
        <v>1694</v>
      </c>
      <c r="C497" t="s">
        <v>1684</v>
      </c>
      <c r="D497" t="s">
        <v>1678</v>
      </c>
      <c r="E497" t="s">
        <v>1679</v>
      </c>
      <c r="F497" t="s">
        <v>89</v>
      </c>
      <c r="G497" t="s">
        <v>1105</v>
      </c>
      <c r="H497">
        <v>10</v>
      </c>
      <c r="I497">
        <v>2515.54</v>
      </c>
      <c r="J497">
        <v>25155.4</v>
      </c>
      <c r="AA497">
        <v>45202</v>
      </c>
      <c r="AB497" t="str">
        <v>Ananya</v>
      </c>
      <c r="AC497" t="str">
        <v>Madurai</v>
      </c>
      <c r="AD497" t="str">
        <v>Tamil Nadu</v>
      </c>
      <c r="AE497" t="str">
        <v>South</v>
      </c>
      <c r="AF497" t="str">
        <v>Electronics</v>
      </c>
      <c r="AG497" t="str">
        <v>Smartphone</v>
      </c>
      <c r="AH497">
        <v>6</v>
      </c>
      <c r="AI497">
        <v>4086.27</v>
      </c>
      <c r="AJ497">
        <v>24517.62</v>
      </c>
    </row>
    <row r="498" spans="1:36">
      <c r="A498" s="25">
        <v>45202</v>
      </c>
      <c r="B498" t="s">
        <v>1700</v>
      </c>
      <c r="C498" t="s">
        <v>1684</v>
      </c>
      <c r="D498" t="s">
        <v>1678</v>
      </c>
      <c r="E498" t="s">
        <v>1679</v>
      </c>
      <c r="F498" t="s">
        <v>89</v>
      </c>
      <c r="G498" t="s">
        <v>1713</v>
      </c>
      <c r="H498">
        <v>6</v>
      </c>
      <c r="I498">
        <v>4086.27</v>
      </c>
      <c r="J498">
        <v>24517.62</v>
      </c>
      <c r="AA498">
        <v>44952</v>
      </c>
      <c r="AB498" t="str">
        <v>Ishita</v>
      </c>
      <c r="AC498" t="str">
        <v>Madurai</v>
      </c>
      <c r="AD498" t="str">
        <v>Tamil Nadu</v>
      </c>
      <c r="AE498" t="str">
        <v>South</v>
      </c>
      <c r="AF498" t="str">
        <v>Electronics</v>
      </c>
      <c r="AG498" t="str">
        <v>Headphones</v>
      </c>
      <c r="AH498">
        <v>17</v>
      </c>
      <c r="AI498">
        <v>1336.86</v>
      </c>
      <c r="AJ498">
        <v>22726.62</v>
      </c>
    </row>
    <row r="499" spans="1:36">
      <c r="A499" s="25">
        <v>44952</v>
      </c>
      <c r="B499" t="s">
        <v>1689</v>
      </c>
      <c r="C499" t="s">
        <v>1684</v>
      </c>
      <c r="D499" t="s">
        <v>1678</v>
      </c>
      <c r="E499" t="s">
        <v>1679</v>
      </c>
      <c r="F499" t="s">
        <v>89</v>
      </c>
      <c r="G499" t="s">
        <v>1105</v>
      </c>
      <c r="H499">
        <v>17</v>
      </c>
      <c r="I499">
        <v>1336.86</v>
      </c>
      <c r="J499">
        <v>22726.62</v>
      </c>
      <c r="AA499">
        <v>44984</v>
      </c>
      <c r="AB499" t="str">
        <v>Ananya</v>
      </c>
      <c r="AC499" t="str">
        <v>Madurai</v>
      </c>
      <c r="AD499" t="str">
        <v>Tamil Nadu</v>
      </c>
      <c r="AE499" t="str">
        <v>South</v>
      </c>
      <c r="AF499" t="str">
        <v>Electronics</v>
      </c>
      <c r="AG499" t="str">
        <v>Tablet</v>
      </c>
      <c r="AH499">
        <v>8</v>
      </c>
      <c r="AI499">
        <v>2784.08</v>
      </c>
      <c r="AJ499">
        <v>22272.639999999999</v>
      </c>
    </row>
    <row r="500" spans="1:36">
      <c r="A500" s="25">
        <v>44984</v>
      </c>
      <c r="B500" t="s">
        <v>1700</v>
      </c>
      <c r="C500" t="s">
        <v>1684</v>
      </c>
      <c r="D500" t="s">
        <v>1678</v>
      </c>
      <c r="E500" t="s">
        <v>1679</v>
      </c>
      <c r="F500" t="s">
        <v>89</v>
      </c>
      <c r="G500" t="s">
        <v>1714</v>
      </c>
      <c r="H500">
        <v>8</v>
      </c>
      <c r="I500">
        <v>2784.08</v>
      </c>
      <c r="J500">
        <v>22272.639999999999</v>
      </c>
      <c r="AA500">
        <v>44950</v>
      </c>
      <c r="AB500" t="str">
        <v>Riya</v>
      </c>
      <c r="AC500" t="str">
        <v>Madurai</v>
      </c>
      <c r="AD500" t="str">
        <v>Tamil Nadu</v>
      </c>
      <c r="AE500" t="str">
        <v>South</v>
      </c>
      <c r="AF500" t="str">
        <v>Electronics</v>
      </c>
      <c r="AG500" t="str">
        <v>Laptop</v>
      </c>
      <c r="AH500">
        <v>11</v>
      </c>
      <c r="AI500">
        <v>1995.21</v>
      </c>
      <c r="AJ500">
        <v>21947.31</v>
      </c>
    </row>
    <row r="501" spans="1:36">
      <c r="A501" s="25">
        <v>44950</v>
      </c>
      <c r="B501" t="s">
        <v>1694</v>
      </c>
      <c r="C501" t="s">
        <v>1684</v>
      </c>
      <c r="D501" t="s">
        <v>1678</v>
      </c>
      <c r="E501" t="s">
        <v>1679</v>
      </c>
      <c r="F501" t="s">
        <v>89</v>
      </c>
      <c r="G501" t="s">
        <v>1106</v>
      </c>
      <c r="H501">
        <v>11</v>
      </c>
      <c r="I501">
        <v>1995.21</v>
      </c>
      <c r="J501">
        <v>21947.31</v>
      </c>
      <c r="AA501">
        <v>45083</v>
      </c>
      <c r="AB501" t="str">
        <v>Kabir</v>
      </c>
      <c r="AC501" t="str">
        <v>Madurai</v>
      </c>
      <c r="AD501" t="str">
        <v>Tamil Nadu</v>
      </c>
      <c r="AE501" t="str">
        <v>South</v>
      </c>
      <c r="AF501" t="str">
        <v>Electronics</v>
      </c>
      <c r="AG501" t="str">
        <v>Smartphone</v>
      </c>
      <c r="AH501">
        <v>12</v>
      </c>
      <c r="AI501">
        <v>1701.3</v>
      </c>
      <c r="AJ501">
        <v>20415.599999999999</v>
      </c>
    </row>
    <row r="502" spans="1:36">
      <c r="A502" s="25">
        <v>45083</v>
      </c>
      <c r="B502" t="s">
        <v>1705</v>
      </c>
      <c r="C502" t="s">
        <v>1684</v>
      </c>
      <c r="D502" t="s">
        <v>1678</v>
      </c>
      <c r="E502" t="s">
        <v>1679</v>
      </c>
      <c r="F502" t="s">
        <v>89</v>
      </c>
      <c r="G502" t="s">
        <v>1713</v>
      </c>
      <c r="H502">
        <v>12</v>
      </c>
      <c r="I502">
        <v>1701.3</v>
      </c>
      <c r="J502">
        <v>20415.599999999999</v>
      </c>
      <c r="AA502">
        <v>45229</v>
      </c>
      <c r="AB502" t="str">
        <v>Aryan</v>
      </c>
      <c r="AC502" t="str">
        <v>Madurai</v>
      </c>
      <c r="AD502" t="str">
        <v>Tamil Nadu</v>
      </c>
      <c r="AE502" t="str">
        <v>South</v>
      </c>
      <c r="AF502" t="str">
        <v>Electronics</v>
      </c>
      <c r="AG502" t="str">
        <v>Tablet</v>
      </c>
      <c r="AH502">
        <v>10</v>
      </c>
      <c r="AI502">
        <v>2008.29</v>
      </c>
      <c r="AJ502">
        <v>20082.900000000001</v>
      </c>
    </row>
    <row r="503" spans="1:36">
      <c r="A503" s="25">
        <v>45229</v>
      </c>
      <c r="B503" t="s">
        <v>1698</v>
      </c>
      <c r="C503" t="s">
        <v>1684</v>
      </c>
      <c r="D503" t="s">
        <v>1678</v>
      </c>
      <c r="E503" t="s">
        <v>1679</v>
      </c>
      <c r="F503" t="s">
        <v>89</v>
      </c>
      <c r="G503" t="s">
        <v>1714</v>
      </c>
      <c r="H503">
        <v>10</v>
      </c>
      <c r="I503">
        <v>2008.29</v>
      </c>
      <c r="J503">
        <v>20082.900000000001</v>
      </c>
      <c r="AA503">
        <v>45036</v>
      </c>
      <c r="AB503" t="str">
        <v>Aryan</v>
      </c>
      <c r="AC503" t="str">
        <v>Madurai</v>
      </c>
      <c r="AD503" t="str">
        <v>Tamil Nadu</v>
      </c>
      <c r="AE503" t="str">
        <v>South</v>
      </c>
      <c r="AF503" t="str">
        <v>Electronics</v>
      </c>
      <c r="AG503" t="str">
        <v>Laptop</v>
      </c>
      <c r="AH503">
        <v>16</v>
      </c>
      <c r="AI503">
        <v>1064.93</v>
      </c>
      <c r="AJ503">
        <v>17038.88</v>
      </c>
    </row>
    <row r="504" spans="1:36">
      <c r="A504" s="25">
        <v>45036</v>
      </c>
      <c r="B504" t="s">
        <v>1698</v>
      </c>
      <c r="C504" t="s">
        <v>1684</v>
      </c>
      <c r="D504" t="s">
        <v>1678</v>
      </c>
      <c r="E504" t="s">
        <v>1679</v>
      </c>
      <c r="F504" t="s">
        <v>89</v>
      </c>
      <c r="G504" t="s">
        <v>1106</v>
      </c>
      <c r="H504">
        <v>16</v>
      </c>
      <c r="I504">
        <v>1064.93</v>
      </c>
      <c r="J504">
        <v>17038.88</v>
      </c>
      <c r="AA504">
        <v>45280</v>
      </c>
      <c r="AB504" t="str">
        <v>Riya</v>
      </c>
      <c r="AC504" t="str">
        <v>Madurai</v>
      </c>
      <c r="AD504" t="str">
        <v>Tamil Nadu</v>
      </c>
      <c r="AE504" t="str">
        <v>South</v>
      </c>
      <c r="AF504" t="str">
        <v>Electronics</v>
      </c>
      <c r="AG504" t="str">
        <v>Laptop</v>
      </c>
      <c r="AH504">
        <v>8</v>
      </c>
      <c r="AI504">
        <v>1850.8</v>
      </c>
      <c r="AJ504">
        <v>14806.4</v>
      </c>
    </row>
    <row r="505" spans="1:36">
      <c r="A505" s="25">
        <v>45280</v>
      </c>
      <c r="B505" t="s">
        <v>1694</v>
      </c>
      <c r="C505" t="s">
        <v>1684</v>
      </c>
      <c r="D505" t="s">
        <v>1678</v>
      </c>
      <c r="E505" t="s">
        <v>1679</v>
      </c>
      <c r="F505" t="s">
        <v>89</v>
      </c>
      <c r="G505" t="s">
        <v>1106</v>
      </c>
      <c r="H505">
        <v>8</v>
      </c>
      <c r="I505">
        <v>1850.8</v>
      </c>
      <c r="J505">
        <v>14806.4</v>
      </c>
      <c r="AA505">
        <v>45127</v>
      </c>
      <c r="AB505" t="str">
        <v>Aryan</v>
      </c>
      <c r="AC505" t="str">
        <v>Madurai</v>
      </c>
      <c r="AD505" t="str">
        <v>Tamil Nadu</v>
      </c>
      <c r="AE505" t="str">
        <v>South</v>
      </c>
      <c r="AF505" t="str">
        <v>Electronics</v>
      </c>
      <c r="AG505" t="str">
        <v>Laptop</v>
      </c>
      <c r="AH505">
        <v>13</v>
      </c>
      <c r="AI505">
        <v>1028.74</v>
      </c>
      <c r="AJ505">
        <v>13373.62</v>
      </c>
    </row>
    <row r="506" spans="1:36">
      <c r="A506" s="25">
        <v>45127</v>
      </c>
      <c r="B506" t="s">
        <v>1698</v>
      </c>
      <c r="C506" t="s">
        <v>1684</v>
      </c>
      <c r="D506" t="s">
        <v>1678</v>
      </c>
      <c r="E506" t="s">
        <v>1679</v>
      </c>
      <c r="F506" t="s">
        <v>89</v>
      </c>
      <c r="G506" t="s">
        <v>1106</v>
      </c>
      <c r="H506">
        <v>13</v>
      </c>
      <c r="I506">
        <v>1028.74</v>
      </c>
      <c r="J506">
        <v>13373.62</v>
      </c>
      <c r="AA506">
        <v>45208</v>
      </c>
      <c r="AB506" t="str">
        <v>Nishant</v>
      </c>
      <c r="AC506" t="str">
        <v>Madurai</v>
      </c>
      <c r="AD506" t="str">
        <v>Tamil Nadu</v>
      </c>
      <c r="AE506" t="str">
        <v>South</v>
      </c>
      <c r="AF506" t="str">
        <v>Electronics</v>
      </c>
      <c r="AG506" t="str">
        <v>Smartphone</v>
      </c>
      <c r="AH506">
        <v>7</v>
      </c>
      <c r="AI506">
        <v>1557.83</v>
      </c>
      <c r="AJ506">
        <v>10904.81</v>
      </c>
    </row>
    <row r="507" spans="1:36">
      <c r="A507" s="25">
        <v>45208</v>
      </c>
      <c r="B507" t="s">
        <v>1681</v>
      </c>
      <c r="C507" t="s">
        <v>1684</v>
      </c>
      <c r="D507" t="s">
        <v>1678</v>
      </c>
      <c r="E507" t="s">
        <v>1679</v>
      </c>
      <c r="F507" t="s">
        <v>89</v>
      </c>
      <c r="G507" t="s">
        <v>1713</v>
      </c>
      <c r="H507">
        <v>7</v>
      </c>
      <c r="I507">
        <v>1557.83</v>
      </c>
      <c r="J507">
        <v>10904.81</v>
      </c>
      <c r="AA507">
        <v>45209</v>
      </c>
      <c r="AB507" t="str">
        <v>Aryan</v>
      </c>
      <c r="AC507" t="str">
        <v>Madurai</v>
      </c>
      <c r="AD507" t="str">
        <v>Tamil Nadu</v>
      </c>
      <c r="AE507" t="str">
        <v>South</v>
      </c>
      <c r="AF507" t="str">
        <v>Electronics</v>
      </c>
      <c r="AG507" t="str">
        <v>Smartphone</v>
      </c>
      <c r="AH507">
        <v>18</v>
      </c>
      <c r="AI507">
        <v>584.4</v>
      </c>
      <c r="AJ507">
        <v>10519.2</v>
      </c>
    </row>
    <row r="508" spans="1:36">
      <c r="A508" s="25">
        <v>45209</v>
      </c>
      <c r="B508" t="s">
        <v>1698</v>
      </c>
      <c r="C508" t="s">
        <v>1684</v>
      </c>
      <c r="D508" t="s">
        <v>1678</v>
      </c>
      <c r="E508" t="s">
        <v>1679</v>
      </c>
      <c r="F508" t="s">
        <v>89</v>
      </c>
      <c r="G508" t="s">
        <v>1713</v>
      </c>
      <c r="H508">
        <v>18</v>
      </c>
      <c r="I508">
        <v>584.4</v>
      </c>
      <c r="J508">
        <v>10519.2</v>
      </c>
      <c r="AA508">
        <v>45003</v>
      </c>
      <c r="AB508" t="str">
        <v>Ananya</v>
      </c>
      <c r="AC508" t="str">
        <v>Madurai</v>
      </c>
      <c r="AD508" t="str">
        <v>Tamil Nadu</v>
      </c>
      <c r="AE508" t="str">
        <v>South</v>
      </c>
      <c r="AF508" t="str">
        <v>Electronics</v>
      </c>
      <c r="AG508" t="str">
        <v>Headphones</v>
      </c>
      <c r="AH508">
        <v>8</v>
      </c>
      <c r="AI508">
        <v>827.02</v>
      </c>
      <c r="AJ508">
        <v>6616.16</v>
      </c>
    </row>
    <row r="509" spans="1:36">
      <c r="A509" s="25">
        <v>45003</v>
      </c>
      <c r="B509" t="s">
        <v>1700</v>
      </c>
      <c r="C509" t="s">
        <v>1684</v>
      </c>
      <c r="D509" t="s">
        <v>1678</v>
      </c>
      <c r="E509" t="s">
        <v>1679</v>
      </c>
      <c r="F509" t="s">
        <v>89</v>
      </c>
      <c r="G509" t="s">
        <v>1105</v>
      </c>
      <c r="H509">
        <v>8</v>
      </c>
      <c r="I509">
        <v>827.02</v>
      </c>
      <c r="J509">
        <v>6616.16</v>
      </c>
      <c r="AA509">
        <v>45003</v>
      </c>
      <c r="AB509" t="str">
        <v>Nishant</v>
      </c>
      <c r="AC509" t="str">
        <v>Madurai</v>
      </c>
      <c r="AD509" t="str">
        <v>Tamil Nadu</v>
      </c>
      <c r="AE509" t="str">
        <v>South</v>
      </c>
      <c r="AF509" t="str">
        <v>Electronics</v>
      </c>
      <c r="AG509" t="str">
        <v>Tablet</v>
      </c>
      <c r="AH509">
        <v>6</v>
      </c>
      <c r="AI509">
        <v>1047.72</v>
      </c>
      <c r="AJ509">
        <v>6286.32</v>
      </c>
    </row>
    <row r="510" spans="1:36">
      <c r="A510" s="25">
        <v>45003</v>
      </c>
      <c r="B510" t="s">
        <v>1681</v>
      </c>
      <c r="C510" t="s">
        <v>1684</v>
      </c>
      <c r="D510" t="s">
        <v>1678</v>
      </c>
      <c r="E510" t="s">
        <v>1679</v>
      </c>
      <c r="F510" t="s">
        <v>89</v>
      </c>
      <c r="G510" t="s">
        <v>1714</v>
      </c>
      <c r="H510">
        <v>6</v>
      </c>
      <c r="I510">
        <v>1047.72</v>
      </c>
      <c r="J510">
        <v>6286.32</v>
      </c>
      <c r="AA510">
        <v>45199</v>
      </c>
      <c r="AB510" t="str">
        <v>Nishant</v>
      </c>
      <c r="AC510" t="str">
        <v>Madurai</v>
      </c>
      <c r="AD510" t="str">
        <v>Tamil Nadu</v>
      </c>
      <c r="AE510" t="str">
        <v>South</v>
      </c>
      <c r="AF510" t="str">
        <v>Electronics</v>
      </c>
      <c r="AG510" t="str">
        <v>Headphones</v>
      </c>
      <c r="AH510">
        <v>16</v>
      </c>
      <c r="AI510">
        <v>284.02</v>
      </c>
      <c r="AJ510">
        <v>4544.32</v>
      </c>
    </row>
    <row r="511" spans="1:36">
      <c r="A511" s="25">
        <v>45199</v>
      </c>
      <c r="B511" t="s">
        <v>1681</v>
      </c>
      <c r="C511" t="s">
        <v>1684</v>
      </c>
      <c r="D511" t="s">
        <v>1678</v>
      </c>
      <c r="E511" t="s">
        <v>1679</v>
      </c>
      <c r="F511" t="s">
        <v>89</v>
      </c>
      <c r="G511" t="s">
        <v>1105</v>
      </c>
      <c r="H511">
        <v>16</v>
      </c>
      <c r="I511">
        <v>284.02</v>
      </c>
      <c r="J511">
        <v>4544.32</v>
      </c>
      <c r="AA511">
        <v>45060</v>
      </c>
      <c r="AB511" t="str">
        <v>Aditi</v>
      </c>
      <c r="AC511" t="str">
        <v>Madurai</v>
      </c>
      <c r="AD511" t="str">
        <v>Tamil Nadu</v>
      </c>
      <c r="AE511" t="str">
        <v>South</v>
      </c>
      <c r="AF511" t="str">
        <v>Electronics</v>
      </c>
      <c r="AG511" t="str">
        <v>Smartphone</v>
      </c>
      <c r="AH511">
        <v>2</v>
      </c>
      <c r="AI511">
        <v>2261.69</v>
      </c>
      <c r="AJ511">
        <v>4523.38</v>
      </c>
    </row>
    <row r="512" spans="1:36">
      <c r="A512" s="25">
        <v>45060</v>
      </c>
      <c r="B512" t="s">
        <v>1686</v>
      </c>
      <c r="C512" t="s">
        <v>1684</v>
      </c>
      <c r="D512" t="s">
        <v>1678</v>
      </c>
      <c r="E512" t="s">
        <v>1679</v>
      </c>
      <c r="F512" t="s">
        <v>89</v>
      </c>
      <c r="G512" t="s">
        <v>1713</v>
      </c>
      <c r="H512">
        <v>2</v>
      </c>
      <c r="I512">
        <v>2261.69</v>
      </c>
      <c r="J512">
        <v>4523.38</v>
      </c>
      <c r="AA512">
        <v>45142</v>
      </c>
      <c r="AB512" t="str">
        <v>Ananya</v>
      </c>
      <c r="AC512" t="str">
        <v>Madurai</v>
      </c>
      <c r="AD512" t="str">
        <v>Tamil Nadu</v>
      </c>
      <c r="AE512" t="str">
        <v>South</v>
      </c>
      <c r="AF512" t="str">
        <v>Electronics</v>
      </c>
      <c r="AG512" t="str">
        <v>Tablet</v>
      </c>
      <c r="AH512">
        <v>8</v>
      </c>
      <c r="AI512">
        <v>528.92999999999995</v>
      </c>
      <c r="AJ512">
        <v>4231.4399999999996</v>
      </c>
    </row>
    <row r="513" spans="1:36">
      <c r="A513" s="25">
        <v>45142</v>
      </c>
      <c r="B513" t="s">
        <v>1700</v>
      </c>
      <c r="C513" t="s">
        <v>1684</v>
      </c>
      <c r="D513" t="s">
        <v>1678</v>
      </c>
      <c r="E513" t="s">
        <v>1679</v>
      </c>
      <c r="F513" t="s">
        <v>89</v>
      </c>
      <c r="G513" t="s">
        <v>1714</v>
      </c>
      <c r="H513">
        <v>8</v>
      </c>
      <c r="I513">
        <v>528.92999999999995</v>
      </c>
      <c r="J513">
        <v>4231.4399999999996</v>
      </c>
      <c r="AA513">
        <v>45203</v>
      </c>
      <c r="AB513" t="str">
        <v>Meera</v>
      </c>
      <c r="AC513" t="str">
        <v>Madurai</v>
      </c>
      <c r="AD513" t="str">
        <v>Tamil Nadu</v>
      </c>
      <c r="AE513" t="str">
        <v>South</v>
      </c>
      <c r="AF513" t="str">
        <v>Electronics</v>
      </c>
      <c r="AG513" t="str">
        <v>Headphones</v>
      </c>
      <c r="AH513">
        <v>12</v>
      </c>
      <c r="AI513">
        <v>231.07</v>
      </c>
      <c r="AJ513">
        <v>2772.84</v>
      </c>
    </row>
    <row r="514" spans="1:36">
      <c r="A514" s="25">
        <v>45203</v>
      </c>
      <c r="B514" t="s">
        <v>1671</v>
      </c>
      <c r="C514" t="s">
        <v>1684</v>
      </c>
      <c r="D514" t="s">
        <v>1678</v>
      </c>
      <c r="E514" t="s">
        <v>1679</v>
      </c>
      <c r="F514" t="s">
        <v>89</v>
      </c>
      <c r="G514" t="s">
        <v>1105</v>
      </c>
      <c r="H514">
        <v>12</v>
      </c>
      <c r="I514">
        <v>231.07</v>
      </c>
      <c r="J514">
        <v>2772.84</v>
      </c>
      <c r="AA514">
        <v>45033</v>
      </c>
      <c r="AB514" t="str">
        <v>Aryan</v>
      </c>
      <c r="AC514" t="str">
        <v>Madurai</v>
      </c>
      <c r="AD514" t="str">
        <v>Tamil Nadu</v>
      </c>
      <c r="AE514" t="str">
        <v>South</v>
      </c>
      <c r="AF514" t="str">
        <v>Furniture</v>
      </c>
      <c r="AG514" t="str">
        <v>Bed</v>
      </c>
      <c r="AH514">
        <v>8</v>
      </c>
      <c r="AI514">
        <v>4740.97</v>
      </c>
      <c r="AJ514">
        <v>37927.760000000002</v>
      </c>
    </row>
    <row r="515" spans="1:36">
      <c r="A515" s="25">
        <v>45033</v>
      </c>
      <c r="B515" t="s">
        <v>1698</v>
      </c>
      <c r="C515" t="s">
        <v>1684</v>
      </c>
      <c r="D515" t="s">
        <v>1678</v>
      </c>
      <c r="E515" t="s">
        <v>1679</v>
      </c>
      <c r="F515" t="s">
        <v>101</v>
      </c>
      <c r="G515" t="s">
        <v>1709</v>
      </c>
      <c r="H515">
        <v>8</v>
      </c>
      <c r="I515">
        <v>4740.97</v>
      </c>
      <c r="J515">
        <v>37927.760000000002</v>
      </c>
      <c r="AA515">
        <v>45235</v>
      </c>
      <c r="AB515" t="str">
        <v>Riya</v>
      </c>
      <c r="AC515" t="str">
        <v>Madurai</v>
      </c>
      <c r="AD515" t="str">
        <v>Tamil Nadu</v>
      </c>
      <c r="AE515" t="str">
        <v>South</v>
      </c>
      <c r="AF515" t="str">
        <v>Furniture</v>
      </c>
      <c r="AG515" t="str">
        <v>Table</v>
      </c>
      <c r="AH515">
        <v>8</v>
      </c>
      <c r="AI515">
        <v>3279.33</v>
      </c>
      <c r="AJ515">
        <v>26234.639999999999</v>
      </c>
    </row>
    <row r="516" spans="1:36">
      <c r="A516" s="25">
        <v>45235</v>
      </c>
      <c r="B516" t="s">
        <v>1694</v>
      </c>
      <c r="C516" t="s">
        <v>1684</v>
      </c>
      <c r="D516" t="s">
        <v>1678</v>
      </c>
      <c r="E516" t="s">
        <v>1679</v>
      </c>
      <c r="F516" t="s">
        <v>101</v>
      </c>
      <c r="G516" t="s">
        <v>1675</v>
      </c>
      <c r="H516">
        <v>8</v>
      </c>
      <c r="I516">
        <v>3279.33</v>
      </c>
      <c r="J516">
        <v>26234.639999999999</v>
      </c>
      <c r="AA516">
        <v>45084</v>
      </c>
      <c r="AB516" t="str">
        <v>Ananya</v>
      </c>
      <c r="AC516" t="str">
        <v>Madurai</v>
      </c>
      <c r="AD516" t="str">
        <v>Tamil Nadu</v>
      </c>
      <c r="AE516" t="str">
        <v>South</v>
      </c>
      <c r="AF516" t="str">
        <v>Furniture</v>
      </c>
      <c r="AG516" t="str">
        <v>Chair</v>
      </c>
      <c r="AH516">
        <v>12</v>
      </c>
      <c r="AI516">
        <v>2133.0500000000002</v>
      </c>
      <c r="AJ516">
        <v>25596.6</v>
      </c>
    </row>
    <row r="517" spans="1:36">
      <c r="A517" s="25">
        <v>45084</v>
      </c>
      <c r="B517" t="s">
        <v>1700</v>
      </c>
      <c r="C517" t="s">
        <v>1684</v>
      </c>
      <c r="D517" t="s">
        <v>1678</v>
      </c>
      <c r="E517" t="s">
        <v>1679</v>
      </c>
      <c r="F517" t="s">
        <v>101</v>
      </c>
      <c r="G517" t="s">
        <v>1719</v>
      </c>
      <c r="H517">
        <v>12</v>
      </c>
      <c r="I517">
        <v>2133.0500000000002</v>
      </c>
      <c r="J517">
        <v>25596.6</v>
      </c>
      <c r="AA517">
        <v>45202</v>
      </c>
      <c r="AB517" t="str">
        <v>Riya</v>
      </c>
      <c r="AC517" t="str">
        <v>Madurai</v>
      </c>
      <c r="AD517" t="str">
        <v>Tamil Nadu</v>
      </c>
      <c r="AE517" t="str">
        <v>South</v>
      </c>
      <c r="AF517" t="str">
        <v>Furniture</v>
      </c>
      <c r="AG517" t="str">
        <v>Chair</v>
      </c>
      <c r="AH517">
        <v>8</v>
      </c>
      <c r="AI517">
        <v>2986.89</v>
      </c>
      <c r="AJ517">
        <v>23895.119999999999</v>
      </c>
    </row>
    <row r="518" spans="1:36">
      <c r="A518" s="25">
        <v>45202</v>
      </c>
      <c r="B518" t="s">
        <v>1694</v>
      </c>
      <c r="C518" t="s">
        <v>1684</v>
      </c>
      <c r="D518" t="s">
        <v>1678</v>
      </c>
      <c r="E518" t="s">
        <v>1679</v>
      </c>
      <c r="F518" t="s">
        <v>101</v>
      </c>
      <c r="G518" t="s">
        <v>1719</v>
      </c>
      <c r="H518">
        <v>8</v>
      </c>
      <c r="I518">
        <v>2986.89</v>
      </c>
      <c r="J518">
        <v>23895.119999999999</v>
      </c>
      <c r="AA518">
        <v>45204</v>
      </c>
      <c r="AB518" t="str">
        <v>Aryan</v>
      </c>
      <c r="AC518" t="str">
        <v>Madurai</v>
      </c>
      <c r="AD518" t="str">
        <v>Tamil Nadu</v>
      </c>
      <c r="AE518" t="str">
        <v>South</v>
      </c>
      <c r="AF518" t="str">
        <v>Furniture</v>
      </c>
      <c r="AG518" t="str">
        <v>Bed</v>
      </c>
      <c r="AH518">
        <v>11</v>
      </c>
      <c r="AI518">
        <v>1673.53</v>
      </c>
      <c r="AJ518">
        <v>18408.830000000002</v>
      </c>
    </row>
    <row r="519" spans="1:36">
      <c r="A519" s="25">
        <v>45204</v>
      </c>
      <c r="B519" t="s">
        <v>1698</v>
      </c>
      <c r="C519" t="s">
        <v>1684</v>
      </c>
      <c r="D519" t="s">
        <v>1678</v>
      </c>
      <c r="E519" t="s">
        <v>1679</v>
      </c>
      <c r="F519" t="s">
        <v>101</v>
      </c>
      <c r="G519" t="s">
        <v>1709</v>
      </c>
      <c r="H519">
        <v>11</v>
      </c>
      <c r="I519">
        <v>1673.53</v>
      </c>
      <c r="J519">
        <v>18408.830000000002</v>
      </c>
      <c r="AA519">
        <v>45009</v>
      </c>
      <c r="AB519" t="str">
        <v>Vihaan</v>
      </c>
      <c r="AC519" t="str">
        <v>Madurai</v>
      </c>
      <c r="AD519" t="str">
        <v>Tamil Nadu</v>
      </c>
      <c r="AE519" t="str">
        <v>South</v>
      </c>
      <c r="AF519" t="str">
        <v>Furniture</v>
      </c>
      <c r="AG519" t="str">
        <v>Chair</v>
      </c>
      <c r="AH519">
        <v>3</v>
      </c>
      <c r="AI519">
        <v>4027.17</v>
      </c>
      <c r="AJ519">
        <v>12081.51</v>
      </c>
    </row>
    <row r="520" spans="1:36">
      <c r="A520" s="25">
        <v>45009</v>
      </c>
      <c r="B520" t="s">
        <v>1676</v>
      </c>
      <c r="C520" t="s">
        <v>1684</v>
      </c>
      <c r="D520" t="s">
        <v>1678</v>
      </c>
      <c r="E520" t="s">
        <v>1679</v>
      </c>
      <c r="F520" t="s">
        <v>101</v>
      </c>
      <c r="G520" t="s">
        <v>1719</v>
      </c>
      <c r="H520">
        <v>3</v>
      </c>
      <c r="I520">
        <v>4027.17</v>
      </c>
      <c r="J520">
        <v>12081.51</v>
      </c>
      <c r="AA520">
        <v>45093</v>
      </c>
      <c r="AB520" t="str">
        <v>Kabir</v>
      </c>
      <c r="AC520" t="str">
        <v>Madurai</v>
      </c>
      <c r="AD520" t="str">
        <v>Tamil Nadu</v>
      </c>
      <c r="AE520" t="str">
        <v>South</v>
      </c>
      <c r="AF520" t="str">
        <v>Furniture</v>
      </c>
      <c r="AG520" t="str">
        <v>Chair</v>
      </c>
      <c r="AH520">
        <v>11</v>
      </c>
      <c r="AI520">
        <v>819.85</v>
      </c>
      <c r="AJ520">
        <v>9018.35</v>
      </c>
    </row>
    <row r="521" spans="1:36">
      <c r="A521" s="25">
        <v>45093</v>
      </c>
      <c r="B521" t="s">
        <v>1705</v>
      </c>
      <c r="C521" t="s">
        <v>1684</v>
      </c>
      <c r="D521" t="s">
        <v>1678</v>
      </c>
      <c r="E521" t="s">
        <v>1679</v>
      </c>
      <c r="F521" t="s">
        <v>101</v>
      </c>
      <c r="G521" t="s">
        <v>1719</v>
      </c>
      <c r="H521">
        <v>11</v>
      </c>
      <c r="I521">
        <v>819.85</v>
      </c>
      <c r="J521">
        <v>9018.35</v>
      </c>
      <c r="AA521">
        <v>45015</v>
      </c>
      <c r="AB521" t="str">
        <v>Aditi</v>
      </c>
      <c r="AC521" t="str">
        <v>Madurai</v>
      </c>
      <c r="AD521" t="str">
        <v>Tamil Nadu</v>
      </c>
      <c r="AE521" t="str">
        <v>South</v>
      </c>
      <c r="AF521" t="str">
        <v>Furniture</v>
      </c>
      <c r="AG521" t="str">
        <v>Chair</v>
      </c>
      <c r="AH521">
        <v>5</v>
      </c>
      <c r="AI521">
        <v>221.41</v>
      </c>
      <c r="AJ521">
        <v>1107.05</v>
      </c>
    </row>
    <row r="522" spans="1:36">
      <c r="A522" s="25">
        <v>45015</v>
      </c>
      <c r="B522" t="s">
        <v>1686</v>
      </c>
      <c r="C522" t="s">
        <v>1684</v>
      </c>
      <c r="D522" t="s">
        <v>1678</v>
      </c>
      <c r="E522" t="s">
        <v>1679</v>
      </c>
      <c r="F522" t="s">
        <v>101</v>
      </c>
      <c r="G522" t="s">
        <v>1719</v>
      </c>
      <c r="H522">
        <v>5</v>
      </c>
      <c r="I522">
        <v>221.41</v>
      </c>
      <c r="J522">
        <v>1107.05</v>
      </c>
      <c r="AA522">
        <v>45183</v>
      </c>
      <c r="AB522" t="str">
        <v>Aditi</v>
      </c>
      <c r="AC522" t="str">
        <v>Madurai</v>
      </c>
      <c r="AD522" t="str">
        <v>Tamil Nadu</v>
      </c>
      <c r="AE522" t="str">
        <v>South</v>
      </c>
      <c r="AF522" t="str">
        <v>Groceries</v>
      </c>
      <c r="AG522" t="str">
        <v>Rice</v>
      </c>
      <c r="AH522">
        <v>15</v>
      </c>
      <c r="AI522">
        <v>3999.29</v>
      </c>
      <c r="AJ522">
        <v>59989.35</v>
      </c>
    </row>
    <row r="523" spans="1:36">
      <c r="A523" s="25">
        <v>45183</v>
      </c>
      <c r="B523" t="s">
        <v>1686</v>
      </c>
      <c r="C523" t="s">
        <v>1684</v>
      </c>
      <c r="D523" t="s">
        <v>1678</v>
      </c>
      <c r="E523" t="s">
        <v>1679</v>
      </c>
      <c r="F523" t="s">
        <v>1687</v>
      </c>
      <c r="G523" t="s">
        <v>1704</v>
      </c>
      <c r="H523">
        <v>15</v>
      </c>
      <c r="I523">
        <v>3999.29</v>
      </c>
      <c r="J523">
        <v>59989.35</v>
      </c>
      <c r="AA523">
        <v>45216</v>
      </c>
      <c r="AB523" t="str">
        <v>Riya</v>
      </c>
      <c r="AC523" t="str">
        <v>Madurai</v>
      </c>
      <c r="AD523" t="str">
        <v>Tamil Nadu</v>
      </c>
      <c r="AE523" t="str">
        <v>South</v>
      </c>
      <c r="AF523" t="str">
        <v>Groceries</v>
      </c>
      <c r="AG523" t="str">
        <v>Sugar</v>
      </c>
      <c r="AH523">
        <v>11</v>
      </c>
      <c r="AI523">
        <v>4325.83</v>
      </c>
      <c r="AJ523">
        <v>47584.13</v>
      </c>
    </row>
    <row r="524" spans="1:36">
      <c r="A524" s="25">
        <v>45216</v>
      </c>
      <c r="B524" t="s">
        <v>1694</v>
      </c>
      <c r="C524" t="s">
        <v>1684</v>
      </c>
      <c r="D524" t="s">
        <v>1678</v>
      </c>
      <c r="E524" t="s">
        <v>1679</v>
      </c>
      <c r="F524" t="s">
        <v>1687</v>
      </c>
      <c r="G524" t="s">
        <v>1708</v>
      </c>
      <c r="H524">
        <v>11</v>
      </c>
      <c r="I524">
        <v>4325.83</v>
      </c>
      <c r="J524">
        <v>47584.13</v>
      </c>
      <c r="AA524">
        <v>45061</v>
      </c>
      <c r="AB524" t="str">
        <v>Ishita</v>
      </c>
      <c r="AC524" t="str">
        <v>Madurai</v>
      </c>
      <c r="AD524" t="str">
        <v>Tamil Nadu</v>
      </c>
      <c r="AE524" t="str">
        <v>South</v>
      </c>
      <c r="AF524" t="str">
        <v>Groceries</v>
      </c>
      <c r="AG524" t="str">
        <v>Lentils</v>
      </c>
      <c r="AH524">
        <v>13</v>
      </c>
      <c r="AI524">
        <v>3574.45</v>
      </c>
      <c r="AJ524">
        <v>46467.85</v>
      </c>
    </row>
    <row r="525" spans="1:36">
      <c r="A525" s="25">
        <v>45061</v>
      </c>
      <c r="B525" t="s">
        <v>1689</v>
      </c>
      <c r="C525" t="s">
        <v>1684</v>
      </c>
      <c r="D525" t="s">
        <v>1678</v>
      </c>
      <c r="E525" t="s">
        <v>1679</v>
      </c>
      <c r="F525" t="s">
        <v>1687</v>
      </c>
      <c r="G525" t="s">
        <v>1688</v>
      </c>
      <c r="H525">
        <v>13</v>
      </c>
      <c r="I525">
        <v>3574.45</v>
      </c>
      <c r="J525">
        <v>46467.85</v>
      </c>
      <c r="AA525">
        <v>45076</v>
      </c>
      <c r="AB525" t="str">
        <v>Aarav</v>
      </c>
      <c r="AC525" t="str">
        <v>Madurai</v>
      </c>
      <c r="AD525" t="str">
        <v>Tamil Nadu</v>
      </c>
      <c r="AE525" t="str">
        <v>South</v>
      </c>
      <c r="AF525" t="str">
        <v>Groceries</v>
      </c>
      <c r="AG525" t="str">
        <v>Lentils</v>
      </c>
      <c r="AH525">
        <v>10</v>
      </c>
      <c r="AI525">
        <v>3771.5</v>
      </c>
      <c r="AJ525">
        <v>37715</v>
      </c>
    </row>
    <row r="526" spans="1:36">
      <c r="A526" s="25">
        <v>45076</v>
      </c>
      <c r="B526" t="s">
        <v>1692</v>
      </c>
      <c r="C526" t="s">
        <v>1684</v>
      </c>
      <c r="D526" t="s">
        <v>1678</v>
      </c>
      <c r="E526" t="s">
        <v>1679</v>
      </c>
      <c r="F526" t="s">
        <v>1687</v>
      </c>
      <c r="G526" t="s">
        <v>1688</v>
      </c>
      <c r="H526">
        <v>10</v>
      </c>
      <c r="I526">
        <v>3771.5</v>
      </c>
      <c r="J526">
        <v>37715</v>
      </c>
      <c r="AA526">
        <v>45142</v>
      </c>
      <c r="AB526" t="str">
        <v>Ishita</v>
      </c>
      <c r="AC526" t="str">
        <v>Madurai</v>
      </c>
      <c r="AD526" t="str">
        <v>Tamil Nadu</v>
      </c>
      <c r="AE526" t="str">
        <v>South</v>
      </c>
      <c r="AF526" t="str">
        <v>Groceries</v>
      </c>
      <c r="AG526" t="str">
        <v>Rice</v>
      </c>
      <c r="AH526">
        <v>15</v>
      </c>
      <c r="AI526">
        <v>2472.8000000000002</v>
      </c>
      <c r="AJ526">
        <v>37092</v>
      </c>
    </row>
    <row r="527" spans="1:36">
      <c r="A527" s="25">
        <v>45142</v>
      </c>
      <c r="B527" t="s">
        <v>1689</v>
      </c>
      <c r="C527" t="s">
        <v>1684</v>
      </c>
      <c r="D527" t="s">
        <v>1678</v>
      </c>
      <c r="E527" t="s">
        <v>1679</v>
      </c>
      <c r="F527" t="s">
        <v>1687</v>
      </c>
      <c r="G527" t="s">
        <v>1704</v>
      </c>
      <c r="H527">
        <v>15</v>
      </c>
      <c r="I527">
        <v>2472.8000000000002</v>
      </c>
      <c r="J527">
        <v>37092</v>
      </c>
      <c r="AA527">
        <v>45075</v>
      </c>
      <c r="AB527" t="str">
        <v>Kabir</v>
      </c>
      <c r="AC527" t="str">
        <v>Madurai</v>
      </c>
      <c r="AD527" t="str">
        <v>Tamil Nadu</v>
      </c>
      <c r="AE527" t="str">
        <v>South</v>
      </c>
      <c r="AF527" t="str">
        <v>Groceries</v>
      </c>
      <c r="AG527" t="str">
        <v>Sugar</v>
      </c>
      <c r="AH527">
        <v>9</v>
      </c>
      <c r="AI527">
        <v>3220.44</v>
      </c>
      <c r="AJ527">
        <v>28983.96</v>
      </c>
    </row>
    <row r="528" spans="1:36">
      <c r="A528" s="25">
        <v>45075</v>
      </c>
      <c r="B528" t="s">
        <v>1705</v>
      </c>
      <c r="C528" t="s">
        <v>1684</v>
      </c>
      <c r="D528" t="s">
        <v>1678</v>
      </c>
      <c r="E528" t="s">
        <v>1679</v>
      </c>
      <c r="F528" t="s">
        <v>1687</v>
      </c>
      <c r="G528" t="s">
        <v>1708</v>
      </c>
      <c r="H528">
        <v>9</v>
      </c>
      <c r="I528">
        <v>3220.44</v>
      </c>
      <c r="J528">
        <v>28983.96</v>
      </c>
      <c r="AA528">
        <v>45149</v>
      </c>
      <c r="AB528" t="str">
        <v>Vihaan</v>
      </c>
      <c r="AC528" t="str">
        <v>Madurai</v>
      </c>
      <c r="AD528" t="str">
        <v>Tamil Nadu</v>
      </c>
      <c r="AE528" t="str">
        <v>South</v>
      </c>
      <c r="AF528" t="str">
        <v>Groceries</v>
      </c>
      <c r="AG528" t="str">
        <v>Oil</v>
      </c>
      <c r="AH528">
        <v>11</v>
      </c>
      <c r="AI528">
        <v>2182.46</v>
      </c>
      <c r="AJ528">
        <v>24007.06</v>
      </c>
    </row>
    <row r="529" spans="1:36">
      <c r="A529" s="25">
        <v>45149</v>
      </c>
      <c r="B529" t="s">
        <v>1676</v>
      </c>
      <c r="C529" t="s">
        <v>1684</v>
      </c>
      <c r="D529" t="s">
        <v>1678</v>
      </c>
      <c r="E529" t="s">
        <v>1679</v>
      </c>
      <c r="F529" t="s">
        <v>1687</v>
      </c>
      <c r="G529" t="s">
        <v>1710</v>
      </c>
      <c r="H529">
        <v>11</v>
      </c>
      <c r="I529">
        <v>2182.46</v>
      </c>
      <c r="J529">
        <v>24007.06</v>
      </c>
      <c r="AA529">
        <v>45043</v>
      </c>
      <c r="AB529" t="str">
        <v>Nishant</v>
      </c>
      <c r="AC529" t="str">
        <v>Madurai</v>
      </c>
      <c r="AD529" t="str">
        <v>Tamil Nadu</v>
      </c>
      <c r="AE529" t="str">
        <v>South</v>
      </c>
      <c r="AF529" t="str">
        <v>Groceries</v>
      </c>
      <c r="AG529" t="str">
        <v>Lentils</v>
      </c>
      <c r="AH529">
        <v>13</v>
      </c>
      <c r="AI529">
        <v>646.63</v>
      </c>
      <c r="AJ529">
        <v>8406.19</v>
      </c>
    </row>
    <row r="530" spans="1:36">
      <c r="A530" s="25">
        <v>45043</v>
      </c>
      <c r="B530" t="s">
        <v>1681</v>
      </c>
      <c r="C530" t="s">
        <v>1684</v>
      </c>
      <c r="D530" t="s">
        <v>1678</v>
      </c>
      <c r="E530" t="s">
        <v>1679</v>
      </c>
      <c r="F530" t="s">
        <v>1687</v>
      </c>
      <c r="G530" t="s">
        <v>1688</v>
      </c>
      <c r="H530">
        <v>13</v>
      </c>
      <c r="I530">
        <v>646.63</v>
      </c>
      <c r="J530">
        <v>8406.19</v>
      </c>
      <c r="AA530">
        <v>45026</v>
      </c>
      <c r="AB530" t="str">
        <v>Meera</v>
      </c>
      <c r="AC530" t="str">
        <v>Madurai</v>
      </c>
      <c r="AD530" t="str">
        <v>Tamil Nadu</v>
      </c>
      <c r="AE530" t="str">
        <v>South</v>
      </c>
      <c r="AF530" t="str">
        <v>Groceries</v>
      </c>
      <c r="AG530" t="str">
        <v>Rice</v>
      </c>
      <c r="AH530">
        <v>2</v>
      </c>
      <c r="AI530">
        <v>1194.4000000000001</v>
      </c>
      <c r="AJ530">
        <v>2388.8000000000002</v>
      </c>
    </row>
    <row r="531" spans="1:36">
      <c r="A531" s="25">
        <v>45026</v>
      </c>
      <c r="B531" t="s">
        <v>1671</v>
      </c>
      <c r="C531" t="s">
        <v>1684</v>
      </c>
      <c r="D531" t="s">
        <v>1678</v>
      </c>
      <c r="E531" t="s">
        <v>1679</v>
      </c>
      <c r="F531" t="s">
        <v>1687</v>
      </c>
      <c r="G531" t="s">
        <v>1704</v>
      </c>
      <c r="H531">
        <v>2</v>
      </c>
      <c r="I531">
        <v>1194.4000000000001</v>
      </c>
      <c r="J531">
        <v>2388.8000000000002</v>
      </c>
      <c r="AA531">
        <v>45222</v>
      </c>
      <c r="AB531" t="str">
        <v>Vihaan</v>
      </c>
      <c r="AC531" t="str">
        <v>Madurai</v>
      </c>
      <c r="AD531" t="str">
        <v>Tamil Nadu</v>
      </c>
      <c r="AE531" t="str">
        <v>South</v>
      </c>
      <c r="AF531" t="str">
        <v>Stationery</v>
      </c>
      <c r="AG531" t="str">
        <v>Ruler</v>
      </c>
      <c r="AH531">
        <v>18</v>
      </c>
      <c r="AI531">
        <v>3128.59</v>
      </c>
      <c r="AJ531">
        <v>56314.62</v>
      </c>
    </row>
    <row r="532" spans="1:36">
      <c r="A532" s="25">
        <v>45222</v>
      </c>
      <c r="B532" t="s">
        <v>1676</v>
      </c>
      <c r="C532" t="s">
        <v>1684</v>
      </c>
      <c r="D532" t="s">
        <v>1678</v>
      </c>
      <c r="E532" t="s">
        <v>1679</v>
      </c>
      <c r="F532" t="s">
        <v>114</v>
      </c>
      <c r="G532" t="s">
        <v>1680</v>
      </c>
      <c r="H532">
        <v>18</v>
      </c>
      <c r="I532">
        <v>3128.59</v>
      </c>
      <c r="J532">
        <v>56314.62</v>
      </c>
      <c r="AA532">
        <v>45158</v>
      </c>
      <c r="AB532" t="str">
        <v>Ananya</v>
      </c>
      <c r="AC532" t="str">
        <v>Madurai</v>
      </c>
      <c r="AD532" t="str">
        <v>Tamil Nadu</v>
      </c>
      <c r="AE532" t="str">
        <v>South</v>
      </c>
      <c r="AF532" t="str">
        <v>Stationery</v>
      </c>
      <c r="AG532" t="str">
        <v>Notebook</v>
      </c>
      <c r="AH532">
        <v>18</v>
      </c>
      <c r="AI532">
        <v>3002.55</v>
      </c>
      <c r="AJ532">
        <v>54045.9</v>
      </c>
    </row>
    <row r="533" spans="1:36">
      <c r="A533" s="25">
        <v>45158</v>
      </c>
      <c r="B533" t="s">
        <v>1700</v>
      </c>
      <c r="C533" t="s">
        <v>1684</v>
      </c>
      <c r="D533" t="s">
        <v>1678</v>
      </c>
      <c r="E533" t="s">
        <v>1679</v>
      </c>
      <c r="F533" t="s">
        <v>114</v>
      </c>
      <c r="G533" t="s">
        <v>1718</v>
      </c>
      <c r="H533">
        <v>18</v>
      </c>
      <c r="I533">
        <v>3002.55</v>
      </c>
      <c r="J533">
        <v>54045.9</v>
      </c>
      <c r="AA533">
        <v>44983</v>
      </c>
      <c r="AB533" t="str">
        <v>Kabir</v>
      </c>
      <c r="AC533" t="str">
        <v>Madurai</v>
      </c>
      <c r="AD533" t="str">
        <v>Tamil Nadu</v>
      </c>
      <c r="AE533" t="str">
        <v>South</v>
      </c>
      <c r="AF533" t="str">
        <v>Stationery</v>
      </c>
      <c r="AG533" t="str">
        <v>Ruler</v>
      </c>
      <c r="AH533">
        <v>19</v>
      </c>
      <c r="AI533">
        <v>2357.62</v>
      </c>
      <c r="AJ533">
        <v>44794.78</v>
      </c>
    </row>
    <row r="534" spans="1:36">
      <c r="A534" s="25">
        <v>44983</v>
      </c>
      <c r="B534" t="s">
        <v>1705</v>
      </c>
      <c r="C534" t="s">
        <v>1684</v>
      </c>
      <c r="D534" t="s">
        <v>1678</v>
      </c>
      <c r="E534" t="s">
        <v>1679</v>
      </c>
      <c r="F534" t="s">
        <v>114</v>
      </c>
      <c r="G534" t="s">
        <v>1680</v>
      </c>
      <c r="H534">
        <v>19</v>
      </c>
      <c r="I534">
        <v>2357.62</v>
      </c>
      <c r="J534">
        <v>44794.78</v>
      </c>
      <c r="AA534">
        <v>45208</v>
      </c>
      <c r="AB534" t="str">
        <v>Ishita</v>
      </c>
      <c r="AC534" t="str">
        <v>Madurai</v>
      </c>
      <c r="AD534" t="str">
        <v>Tamil Nadu</v>
      </c>
      <c r="AE534" t="str">
        <v>South</v>
      </c>
      <c r="AF534" t="str">
        <v>Stationery</v>
      </c>
      <c r="AG534" t="str">
        <v>Pen</v>
      </c>
      <c r="AH534">
        <v>16</v>
      </c>
      <c r="AI534">
        <v>1873.12</v>
      </c>
      <c r="AJ534">
        <v>29969.919999999998</v>
      </c>
    </row>
    <row r="535" spans="1:36">
      <c r="A535" s="25">
        <v>45208</v>
      </c>
      <c r="B535" t="s">
        <v>1689</v>
      </c>
      <c r="C535" t="s">
        <v>1684</v>
      </c>
      <c r="D535" t="s">
        <v>1678</v>
      </c>
      <c r="E535" t="s">
        <v>1679</v>
      </c>
      <c r="F535" t="s">
        <v>114</v>
      </c>
      <c r="G535" t="s">
        <v>1712</v>
      </c>
      <c r="H535">
        <v>16</v>
      </c>
      <c r="I535">
        <v>1873.12</v>
      </c>
      <c r="J535">
        <v>29969.919999999998</v>
      </c>
      <c r="AA535">
        <v>45160</v>
      </c>
      <c r="AB535" t="str">
        <v>Aryan</v>
      </c>
      <c r="AC535" t="str">
        <v>Madurai</v>
      </c>
      <c r="AD535" t="str">
        <v>Tamil Nadu</v>
      </c>
      <c r="AE535" t="str">
        <v>South</v>
      </c>
      <c r="AF535" t="str">
        <v>Stationery</v>
      </c>
      <c r="AG535" t="str">
        <v>Ruler</v>
      </c>
      <c r="AH535">
        <v>8</v>
      </c>
      <c r="AI535">
        <v>3043.72</v>
      </c>
      <c r="AJ535">
        <v>24349.759999999998</v>
      </c>
    </row>
    <row r="536" spans="1:36">
      <c r="A536" s="25">
        <v>45160</v>
      </c>
      <c r="B536" t="s">
        <v>1698</v>
      </c>
      <c r="C536" t="s">
        <v>1684</v>
      </c>
      <c r="D536" t="s">
        <v>1678</v>
      </c>
      <c r="E536" t="s">
        <v>1679</v>
      </c>
      <c r="F536" t="s">
        <v>114</v>
      </c>
      <c r="G536" t="s">
        <v>1680</v>
      </c>
      <c r="H536">
        <v>8</v>
      </c>
      <c r="I536">
        <v>3043.72</v>
      </c>
      <c r="J536">
        <v>24349.759999999998</v>
      </c>
      <c r="AA536">
        <v>45044</v>
      </c>
      <c r="AB536" t="str">
        <v>Ishita</v>
      </c>
      <c r="AC536" t="str">
        <v>Madurai</v>
      </c>
      <c r="AD536" t="str">
        <v>Tamil Nadu</v>
      </c>
      <c r="AE536" t="str">
        <v>South</v>
      </c>
      <c r="AF536" t="str">
        <v>Stationery</v>
      </c>
      <c r="AG536" t="str">
        <v>Ruler</v>
      </c>
      <c r="AH536">
        <v>5</v>
      </c>
      <c r="AI536">
        <v>4715.05</v>
      </c>
      <c r="AJ536">
        <v>23575.25</v>
      </c>
    </row>
    <row r="537" spans="1:36">
      <c r="A537" s="25">
        <v>45044</v>
      </c>
      <c r="B537" t="s">
        <v>1689</v>
      </c>
      <c r="C537" t="s">
        <v>1684</v>
      </c>
      <c r="D537" t="s">
        <v>1678</v>
      </c>
      <c r="E537" t="s">
        <v>1679</v>
      </c>
      <c r="F537" t="s">
        <v>114</v>
      </c>
      <c r="G537" t="s">
        <v>1680</v>
      </c>
      <c r="H537">
        <v>5</v>
      </c>
      <c r="I537">
        <v>4715.05</v>
      </c>
      <c r="J537">
        <v>23575.25</v>
      </c>
      <c r="AA537">
        <v>44935</v>
      </c>
      <c r="AB537" t="str">
        <v>Kabir</v>
      </c>
      <c r="AC537" t="str">
        <v>Madurai</v>
      </c>
      <c r="AD537" t="str">
        <v>Tamil Nadu</v>
      </c>
      <c r="AE537" t="str">
        <v>South</v>
      </c>
      <c r="AF537" t="str">
        <v>Stationery</v>
      </c>
      <c r="AG537" t="str">
        <v>Notebook</v>
      </c>
      <c r="AH537">
        <v>18</v>
      </c>
      <c r="AI537">
        <v>970.52</v>
      </c>
      <c r="AJ537">
        <v>17469.36</v>
      </c>
    </row>
    <row r="538" spans="1:36">
      <c r="A538" s="25">
        <v>44935</v>
      </c>
      <c r="B538" t="s">
        <v>1705</v>
      </c>
      <c r="C538" t="s">
        <v>1684</v>
      </c>
      <c r="D538" t="s">
        <v>1678</v>
      </c>
      <c r="E538" t="s">
        <v>1679</v>
      </c>
      <c r="F538" t="s">
        <v>114</v>
      </c>
      <c r="G538" t="s">
        <v>1718</v>
      </c>
      <c r="H538">
        <v>18</v>
      </c>
      <c r="I538">
        <v>970.52</v>
      </c>
      <c r="J538">
        <v>17469.36</v>
      </c>
      <c r="AA538">
        <v>45000</v>
      </c>
      <c r="AB538" t="str">
        <v>Vihaan</v>
      </c>
      <c r="AC538" t="str">
        <v>Madurai</v>
      </c>
      <c r="AD538" t="str">
        <v>Tamil Nadu</v>
      </c>
      <c r="AE538" t="str">
        <v>South</v>
      </c>
      <c r="AF538" t="str">
        <v>Stationery</v>
      </c>
      <c r="AG538" t="str">
        <v>Notebook</v>
      </c>
      <c r="AH538">
        <v>20</v>
      </c>
      <c r="AI538">
        <v>827.08</v>
      </c>
      <c r="AJ538">
        <v>16541.599999999999</v>
      </c>
    </row>
    <row r="539" spans="1:36">
      <c r="A539" s="25">
        <v>45000</v>
      </c>
      <c r="B539" t="s">
        <v>1676</v>
      </c>
      <c r="C539" t="s">
        <v>1684</v>
      </c>
      <c r="D539" t="s">
        <v>1678</v>
      </c>
      <c r="E539" t="s">
        <v>1679</v>
      </c>
      <c r="F539" t="s">
        <v>114</v>
      </c>
      <c r="G539" t="s">
        <v>1718</v>
      </c>
      <c r="H539">
        <v>20</v>
      </c>
      <c r="I539">
        <v>827.08</v>
      </c>
      <c r="J539">
        <v>16541.599999999999</v>
      </c>
      <c r="AA539">
        <v>45221</v>
      </c>
      <c r="AB539" t="str">
        <v>Aarav</v>
      </c>
      <c r="AC539" t="str">
        <v>Madurai</v>
      </c>
      <c r="AD539" t="str">
        <v>Tamil Nadu</v>
      </c>
      <c r="AE539" t="str">
        <v>South</v>
      </c>
      <c r="AF539" t="str">
        <v>Stationery</v>
      </c>
      <c r="AG539" t="str">
        <v>Pen</v>
      </c>
      <c r="AH539">
        <v>1</v>
      </c>
      <c r="AI539">
        <v>3431.7</v>
      </c>
      <c r="AJ539">
        <v>3431.7</v>
      </c>
    </row>
    <row r="540" spans="1:36">
      <c r="A540" s="25">
        <v>45221</v>
      </c>
      <c r="B540" t="s">
        <v>1692</v>
      </c>
      <c r="C540" t="s">
        <v>1684</v>
      </c>
      <c r="D540" t="s">
        <v>1678</v>
      </c>
      <c r="E540" t="s">
        <v>1679</v>
      </c>
      <c r="F540" t="s">
        <v>114</v>
      </c>
      <c r="G540" t="s">
        <v>1712</v>
      </c>
      <c r="H540">
        <v>1</v>
      </c>
      <c r="I540">
        <v>3431.7</v>
      </c>
      <c r="J540">
        <v>3431.7</v>
      </c>
      <c r="AA540">
        <v>44942</v>
      </c>
      <c r="AB540" t="str">
        <v>Aarav</v>
      </c>
      <c r="AC540" t="str">
        <v>Madurai</v>
      </c>
      <c r="AD540" t="str">
        <v>Tamil Nadu</v>
      </c>
      <c r="AE540" t="str">
        <v>South</v>
      </c>
      <c r="AF540" t="str">
        <v>Stationery</v>
      </c>
      <c r="AG540" t="str">
        <v>Eraser</v>
      </c>
      <c r="AH540">
        <v>2</v>
      </c>
      <c r="AI540">
        <v>1125.53</v>
      </c>
      <c r="AJ540">
        <v>2251.06</v>
      </c>
    </row>
    <row r="541" spans="1:36">
      <c r="A541" s="25">
        <v>44942</v>
      </c>
      <c r="B541" t="s">
        <v>1692</v>
      </c>
      <c r="C541" t="s">
        <v>1684</v>
      </c>
      <c r="D541" t="s">
        <v>1678</v>
      </c>
      <c r="E541" t="s">
        <v>1679</v>
      </c>
      <c r="F541" t="s">
        <v>114</v>
      </c>
      <c r="G541" t="s">
        <v>1691</v>
      </c>
      <c r="H541">
        <v>2</v>
      </c>
      <c r="I541">
        <v>1125.53</v>
      </c>
      <c r="J541">
        <v>2251.06</v>
      </c>
      <c r="AA541">
        <v>45037</v>
      </c>
      <c r="AB541" t="str">
        <v>Aarav</v>
      </c>
      <c r="AC541" t="str">
        <v>Mysuru</v>
      </c>
      <c r="AD541" t="str">
        <v>Karnataka</v>
      </c>
      <c r="AE541" t="str">
        <v>South</v>
      </c>
      <c r="AF541" t="str">
        <v>Clothing</v>
      </c>
      <c r="AG541" t="str">
        <v>Pants</v>
      </c>
      <c r="AH541">
        <v>19</v>
      </c>
      <c r="AI541">
        <v>4562.0200000000004</v>
      </c>
      <c r="AJ541">
        <v>86678.38</v>
      </c>
    </row>
    <row r="542" spans="1:36">
      <c r="A542" s="25">
        <v>45134</v>
      </c>
      <c r="B542" t="s">
        <v>1671</v>
      </c>
      <c r="C542" t="s">
        <v>1135</v>
      </c>
      <c r="D542" t="s">
        <v>1673</v>
      </c>
      <c r="E542" t="s">
        <v>1674</v>
      </c>
      <c r="F542" t="s">
        <v>97</v>
      </c>
      <c r="G542" t="s">
        <v>1685</v>
      </c>
      <c r="H542">
        <v>15</v>
      </c>
      <c r="I542">
        <v>4671.6899999999996</v>
      </c>
      <c r="J542">
        <v>70075.350000000006</v>
      </c>
      <c r="AA542">
        <v>45280</v>
      </c>
      <c r="AB542" t="str">
        <v>Aditi</v>
      </c>
      <c r="AC542" t="str">
        <v>Mysuru</v>
      </c>
      <c r="AD542" t="str">
        <v>Karnataka</v>
      </c>
      <c r="AE542" t="str">
        <v>South</v>
      </c>
      <c r="AF542" t="str">
        <v>Clothing</v>
      </c>
      <c r="AG542" t="str">
        <v>Jacket</v>
      </c>
      <c r="AH542">
        <v>16</v>
      </c>
      <c r="AI542">
        <v>4238.6400000000003</v>
      </c>
      <c r="AJ542">
        <v>67818.240000000005</v>
      </c>
    </row>
    <row r="543" spans="1:36">
      <c r="A543" s="25">
        <v>45117</v>
      </c>
      <c r="B543" t="s">
        <v>1671</v>
      </c>
      <c r="C543" t="s">
        <v>1135</v>
      </c>
      <c r="D543" t="s">
        <v>1673</v>
      </c>
      <c r="E543" t="s">
        <v>1674</v>
      </c>
      <c r="F543" t="s">
        <v>97</v>
      </c>
      <c r="G543" t="s">
        <v>1685</v>
      </c>
      <c r="H543">
        <v>16</v>
      </c>
      <c r="I543">
        <v>3858.12</v>
      </c>
      <c r="J543">
        <v>61729.919999999998</v>
      </c>
      <c r="AA543">
        <v>45072</v>
      </c>
      <c r="AB543" t="str">
        <v>Riya</v>
      </c>
      <c r="AC543" t="str">
        <v>Mysuru</v>
      </c>
      <c r="AD543" t="str">
        <v>Karnataka</v>
      </c>
      <c r="AE543" t="str">
        <v>South</v>
      </c>
      <c r="AF543" t="str">
        <v>Clothing</v>
      </c>
      <c r="AG543" t="str">
        <v>Dress</v>
      </c>
      <c r="AH543">
        <v>17</v>
      </c>
      <c r="AI543">
        <v>3244.79</v>
      </c>
      <c r="AJ543">
        <v>55161.43</v>
      </c>
    </row>
    <row r="544" spans="1:36">
      <c r="A544" s="25">
        <v>45247</v>
      </c>
      <c r="B544" t="s">
        <v>1686</v>
      </c>
      <c r="C544" t="s">
        <v>1135</v>
      </c>
      <c r="D544" t="s">
        <v>1673</v>
      </c>
      <c r="E544" t="s">
        <v>1674</v>
      </c>
      <c r="F544" t="s">
        <v>97</v>
      </c>
      <c r="G544" t="s">
        <v>1685</v>
      </c>
      <c r="H544">
        <v>12</v>
      </c>
      <c r="I544">
        <v>3961.23</v>
      </c>
      <c r="J544">
        <v>47534.76</v>
      </c>
      <c r="AA544">
        <v>45012</v>
      </c>
      <c r="AB544" t="str">
        <v>Riya</v>
      </c>
      <c r="AC544" t="str">
        <v>Mysuru</v>
      </c>
      <c r="AD544" t="str">
        <v>Karnataka</v>
      </c>
      <c r="AE544" t="str">
        <v>South</v>
      </c>
      <c r="AF544" t="str">
        <v>Clothing</v>
      </c>
      <c r="AG544" t="str">
        <v>Jacket</v>
      </c>
      <c r="AH544">
        <v>16</v>
      </c>
      <c r="AI544">
        <v>3158.66</v>
      </c>
      <c r="AJ544">
        <v>50538.559999999998</v>
      </c>
    </row>
    <row r="545" spans="1:36">
      <c r="A545" s="25">
        <v>45107</v>
      </c>
      <c r="B545" t="s">
        <v>1694</v>
      </c>
      <c r="C545" t="s">
        <v>1135</v>
      </c>
      <c r="D545" t="s">
        <v>1673</v>
      </c>
      <c r="E545" t="s">
        <v>1674</v>
      </c>
      <c r="F545" t="s">
        <v>97</v>
      </c>
      <c r="G545" t="s">
        <v>1685</v>
      </c>
      <c r="H545">
        <v>11</v>
      </c>
      <c r="I545">
        <v>3562.92</v>
      </c>
      <c r="J545">
        <v>39192.120000000003</v>
      </c>
      <c r="AA545">
        <v>45064</v>
      </c>
      <c r="AB545" t="str">
        <v>Vihaan</v>
      </c>
      <c r="AC545" t="str">
        <v>Mysuru</v>
      </c>
      <c r="AD545" t="str">
        <v>Karnataka</v>
      </c>
      <c r="AE545" t="str">
        <v>South</v>
      </c>
      <c r="AF545" t="str">
        <v>Clothing</v>
      </c>
      <c r="AG545" t="str">
        <v>Pants</v>
      </c>
      <c r="AH545">
        <v>10</v>
      </c>
      <c r="AI545">
        <v>4017.66</v>
      </c>
      <c r="AJ545">
        <v>40176.6</v>
      </c>
    </row>
    <row r="546" spans="1:36">
      <c r="A546" s="25">
        <v>45195</v>
      </c>
      <c r="B546" t="s">
        <v>1705</v>
      </c>
      <c r="C546" t="s">
        <v>1135</v>
      </c>
      <c r="D546" t="s">
        <v>1673</v>
      </c>
      <c r="E546" t="s">
        <v>1674</v>
      </c>
      <c r="F546" t="s">
        <v>97</v>
      </c>
      <c r="G546" t="s">
        <v>1699</v>
      </c>
      <c r="H546">
        <v>18</v>
      </c>
      <c r="I546">
        <v>1957.78</v>
      </c>
      <c r="J546">
        <v>35240.04</v>
      </c>
      <c r="AA546">
        <v>45090</v>
      </c>
      <c r="AB546" t="str">
        <v>Vihaan</v>
      </c>
      <c r="AC546" t="str">
        <v>Mysuru</v>
      </c>
      <c r="AD546" t="str">
        <v>Karnataka</v>
      </c>
      <c r="AE546" t="str">
        <v>South</v>
      </c>
      <c r="AF546" t="str">
        <v>Clothing</v>
      </c>
      <c r="AG546" t="str">
        <v>Shirt</v>
      </c>
      <c r="AH546">
        <v>7</v>
      </c>
      <c r="AI546">
        <v>4950.24</v>
      </c>
      <c r="AJ546">
        <v>34651.68</v>
      </c>
    </row>
    <row r="547" spans="1:36">
      <c r="A547" s="25">
        <v>45288</v>
      </c>
      <c r="B547" t="s">
        <v>1698</v>
      </c>
      <c r="C547" t="s">
        <v>1135</v>
      </c>
      <c r="D547" t="s">
        <v>1673</v>
      </c>
      <c r="E547" t="s">
        <v>1674</v>
      </c>
      <c r="F547" t="s">
        <v>97</v>
      </c>
      <c r="G547" t="s">
        <v>1697</v>
      </c>
      <c r="H547">
        <v>18</v>
      </c>
      <c r="I547">
        <v>1928.15</v>
      </c>
      <c r="J547">
        <v>34706.699999999997</v>
      </c>
      <c r="AA547">
        <v>44977</v>
      </c>
      <c r="AB547" t="str">
        <v>Ishita</v>
      </c>
      <c r="AC547" t="str">
        <v>Mysuru</v>
      </c>
      <c r="AD547" t="str">
        <v>Karnataka</v>
      </c>
      <c r="AE547" t="str">
        <v>South</v>
      </c>
      <c r="AF547" t="str">
        <v>Clothing</v>
      </c>
      <c r="AG547" t="str">
        <v>Dress</v>
      </c>
      <c r="AH547">
        <v>8</v>
      </c>
      <c r="AI547">
        <v>4143.5600000000004</v>
      </c>
      <c r="AJ547">
        <v>33148.480000000003</v>
      </c>
    </row>
    <row r="548" spans="1:36">
      <c r="A548" s="25">
        <v>44969</v>
      </c>
      <c r="B548" t="s">
        <v>1671</v>
      </c>
      <c r="C548" t="s">
        <v>1135</v>
      </c>
      <c r="D548" t="s">
        <v>1673</v>
      </c>
      <c r="E548" t="s">
        <v>1674</v>
      </c>
      <c r="F548" t="s">
        <v>97</v>
      </c>
      <c r="G548" t="s">
        <v>1699</v>
      </c>
      <c r="H548">
        <v>10</v>
      </c>
      <c r="I548">
        <v>3391.5</v>
      </c>
      <c r="J548">
        <v>33915</v>
      </c>
      <c r="AA548">
        <v>45240</v>
      </c>
      <c r="AB548" t="str">
        <v>Kabir</v>
      </c>
      <c r="AC548" t="str">
        <v>Mysuru</v>
      </c>
      <c r="AD548" t="str">
        <v>Karnataka</v>
      </c>
      <c r="AE548" t="str">
        <v>South</v>
      </c>
      <c r="AF548" t="str">
        <v>Clothing</v>
      </c>
      <c r="AG548" t="str">
        <v>Shirt</v>
      </c>
      <c r="AH548">
        <v>11</v>
      </c>
      <c r="AI548">
        <v>2666.77</v>
      </c>
      <c r="AJ548">
        <v>29334.47</v>
      </c>
    </row>
    <row r="549" spans="1:36">
      <c r="A549" s="25">
        <v>45163</v>
      </c>
      <c r="B549" t="s">
        <v>1698</v>
      </c>
      <c r="C549" t="s">
        <v>1135</v>
      </c>
      <c r="D549" t="s">
        <v>1673</v>
      </c>
      <c r="E549" t="s">
        <v>1674</v>
      </c>
      <c r="F549" t="s">
        <v>97</v>
      </c>
      <c r="G549" t="s">
        <v>1699</v>
      </c>
      <c r="H549">
        <v>9</v>
      </c>
      <c r="I549">
        <v>2935.97</v>
      </c>
      <c r="J549">
        <v>26423.73</v>
      </c>
      <c r="AA549">
        <v>45200</v>
      </c>
      <c r="AB549" t="str">
        <v>Vihaan</v>
      </c>
      <c r="AC549" t="str">
        <v>Mysuru</v>
      </c>
      <c r="AD549" t="str">
        <v>Karnataka</v>
      </c>
      <c r="AE549" t="str">
        <v>South</v>
      </c>
      <c r="AF549" t="str">
        <v>Clothing</v>
      </c>
      <c r="AG549" t="str">
        <v>Jacket</v>
      </c>
      <c r="AH549">
        <v>18</v>
      </c>
      <c r="AI549">
        <v>1412.15</v>
      </c>
      <c r="AJ549">
        <v>25418.7</v>
      </c>
    </row>
    <row r="550" spans="1:36">
      <c r="A550" s="25">
        <v>45154</v>
      </c>
      <c r="B550" t="s">
        <v>1698</v>
      </c>
      <c r="C550" t="s">
        <v>1135</v>
      </c>
      <c r="D550" t="s">
        <v>1673</v>
      </c>
      <c r="E550" t="s">
        <v>1674</v>
      </c>
      <c r="F550" t="s">
        <v>97</v>
      </c>
      <c r="G550" t="s">
        <v>1685</v>
      </c>
      <c r="H550">
        <v>4</v>
      </c>
      <c r="I550">
        <v>4298.3500000000004</v>
      </c>
      <c r="J550">
        <v>17193.400000000001</v>
      </c>
      <c r="AA550">
        <v>45125</v>
      </c>
      <c r="AB550" t="str">
        <v>Ishita</v>
      </c>
      <c r="AC550" t="str">
        <v>Mysuru</v>
      </c>
      <c r="AD550" t="str">
        <v>Karnataka</v>
      </c>
      <c r="AE550" t="str">
        <v>South</v>
      </c>
      <c r="AF550" t="str">
        <v>Clothing</v>
      </c>
      <c r="AG550" t="str">
        <v>Pants</v>
      </c>
      <c r="AH550">
        <v>7</v>
      </c>
      <c r="AI550">
        <v>3416.74</v>
      </c>
      <c r="AJ550">
        <v>23917.18</v>
      </c>
    </row>
    <row r="551" spans="1:36">
      <c r="A551" s="25">
        <v>45230</v>
      </c>
      <c r="B551" t="s">
        <v>1705</v>
      </c>
      <c r="C551" t="s">
        <v>1135</v>
      </c>
      <c r="D551" t="s">
        <v>1673</v>
      </c>
      <c r="E551" t="s">
        <v>1674</v>
      </c>
      <c r="F551" t="s">
        <v>97</v>
      </c>
      <c r="G551" t="s">
        <v>1699</v>
      </c>
      <c r="H551">
        <v>3</v>
      </c>
      <c r="I551">
        <v>4447.8999999999996</v>
      </c>
      <c r="J551">
        <v>13343.7</v>
      </c>
      <c r="AA551">
        <v>45111</v>
      </c>
      <c r="AB551" t="str">
        <v>Aarav</v>
      </c>
      <c r="AC551" t="str">
        <v>Mysuru</v>
      </c>
      <c r="AD551" t="str">
        <v>Karnataka</v>
      </c>
      <c r="AE551" t="str">
        <v>South</v>
      </c>
      <c r="AF551" t="str">
        <v>Clothing</v>
      </c>
      <c r="AG551" t="str">
        <v>Dress</v>
      </c>
      <c r="AH551">
        <v>9</v>
      </c>
      <c r="AI551">
        <v>2210.8000000000002</v>
      </c>
      <c r="AJ551">
        <v>19897.2</v>
      </c>
    </row>
    <row r="552" spans="1:36">
      <c r="A552" s="25">
        <v>44968</v>
      </c>
      <c r="B552" t="s">
        <v>1698</v>
      </c>
      <c r="C552" t="s">
        <v>1135</v>
      </c>
      <c r="D552" t="s">
        <v>1673</v>
      </c>
      <c r="E552" t="s">
        <v>1674</v>
      </c>
      <c r="F552" t="s">
        <v>97</v>
      </c>
      <c r="G552" t="s">
        <v>1711</v>
      </c>
      <c r="H552">
        <v>2</v>
      </c>
      <c r="I552">
        <v>4845.74</v>
      </c>
      <c r="J552">
        <v>9691.48</v>
      </c>
      <c r="AA552">
        <v>44963</v>
      </c>
      <c r="AB552" t="str">
        <v>Nishant</v>
      </c>
      <c r="AC552" t="str">
        <v>Mysuru</v>
      </c>
      <c r="AD552" t="str">
        <v>Karnataka</v>
      </c>
      <c r="AE552" t="str">
        <v>South</v>
      </c>
      <c r="AF552" t="str">
        <v>Clothing</v>
      </c>
      <c r="AG552" t="str">
        <v>Dress</v>
      </c>
      <c r="AH552">
        <v>18</v>
      </c>
      <c r="AI552">
        <v>941.19</v>
      </c>
      <c r="AJ552">
        <v>16941.419999999998</v>
      </c>
    </row>
    <row r="553" spans="1:36">
      <c r="A553" s="25">
        <v>45270</v>
      </c>
      <c r="B553" t="s">
        <v>1694</v>
      </c>
      <c r="C553" t="s">
        <v>1135</v>
      </c>
      <c r="D553" t="s">
        <v>1673</v>
      </c>
      <c r="E553" t="s">
        <v>1674</v>
      </c>
      <c r="F553" t="s">
        <v>97</v>
      </c>
      <c r="G553" t="s">
        <v>1685</v>
      </c>
      <c r="H553">
        <v>11</v>
      </c>
      <c r="I553">
        <v>827.59</v>
      </c>
      <c r="J553">
        <v>9103.49</v>
      </c>
      <c r="AA553">
        <v>45283</v>
      </c>
      <c r="AB553" t="str">
        <v>Meera</v>
      </c>
      <c r="AC553" t="str">
        <v>Mysuru</v>
      </c>
      <c r="AD553" t="str">
        <v>Karnataka</v>
      </c>
      <c r="AE553" t="str">
        <v>South</v>
      </c>
      <c r="AF553" t="str">
        <v>Clothing</v>
      </c>
      <c r="AG553" t="str">
        <v>Jacket</v>
      </c>
      <c r="AH553">
        <v>14</v>
      </c>
      <c r="AI553">
        <v>917.55</v>
      </c>
      <c r="AJ553">
        <v>12845.7</v>
      </c>
    </row>
    <row r="554" spans="1:36">
      <c r="A554" s="25">
        <v>45274</v>
      </c>
      <c r="B554" t="s">
        <v>1681</v>
      </c>
      <c r="C554" t="s">
        <v>1135</v>
      </c>
      <c r="D554" t="s">
        <v>1673</v>
      </c>
      <c r="E554" t="s">
        <v>1674</v>
      </c>
      <c r="F554" t="s">
        <v>97</v>
      </c>
      <c r="G554" t="s">
        <v>1711</v>
      </c>
      <c r="H554">
        <v>2</v>
      </c>
      <c r="I554">
        <v>3024.56</v>
      </c>
      <c r="J554">
        <v>6049.12</v>
      </c>
      <c r="AA554">
        <v>45043</v>
      </c>
      <c r="AB554" t="str">
        <v>Ishita</v>
      </c>
      <c r="AC554" t="str">
        <v>Mysuru</v>
      </c>
      <c r="AD554" t="str">
        <v>Karnataka</v>
      </c>
      <c r="AE554" t="str">
        <v>South</v>
      </c>
      <c r="AF554" t="str">
        <v>Clothing</v>
      </c>
      <c r="AG554" t="str">
        <v>Jacket</v>
      </c>
      <c r="AH554">
        <v>6</v>
      </c>
      <c r="AI554">
        <v>2069.96</v>
      </c>
      <c r="AJ554">
        <v>12419.76</v>
      </c>
    </row>
    <row r="555" spans="1:36">
      <c r="A555" s="25">
        <v>44961</v>
      </c>
      <c r="B555" t="s">
        <v>1705</v>
      </c>
      <c r="C555" t="s">
        <v>1135</v>
      </c>
      <c r="D555" t="s">
        <v>1673</v>
      </c>
      <c r="E555" t="s">
        <v>1674</v>
      </c>
      <c r="F555" t="s">
        <v>97</v>
      </c>
      <c r="G555" t="s">
        <v>1697</v>
      </c>
      <c r="H555">
        <v>2</v>
      </c>
      <c r="I555">
        <v>2623.43</v>
      </c>
      <c r="J555">
        <v>5246.86</v>
      </c>
      <c r="AA555">
        <v>45043</v>
      </c>
      <c r="AB555" t="str">
        <v>Aditi</v>
      </c>
      <c r="AC555" t="str">
        <v>Mysuru</v>
      </c>
      <c r="AD555" t="str">
        <v>Karnataka</v>
      </c>
      <c r="AE555" t="str">
        <v>South</v>
      </c>
      <c r="AF555" t="str">
        <v>Clothing</v>
      </c>
      <c r="AG555" t="str">
        <v>Pants</v>
      </c>
      <c r="AH555">
        <v>4</v>
      </c>
      <c r="AI555">
        <v>3087.87</v>
      </c>
      <c r="AJ555">
        <v>12351.48</v>
      </c>
    </row>
    <row r="556" spans="1:36">
      <c r="A556" s="25">
        <v>45165</v>
      </c>
      <c r="B556" t="s">
        <v>1705</v>
      </c>
      <c r="C556" t="s">
        <v>1135</v>
      </c>
      <c r="D556" t="s">
        <v>1673</v>
      </c>
      <c r="E556" t="s">
        <v>1674</v>
      </c>
      <c r="F556" t="s">
        <v>97</v>
      </c>
      <c r="G556" t="s">
        <v>1685</v>
      </c>
      <c r="H556">
        <v>2</v>
      </c>
      <c r="I556">
        <v>991.8</v>
      </c>
      <c r="J556">
        <v>1983.6</v>
      </c>
      <c r="AA556">
        <v>45253</v>
      </c>
      <c r="AB556" t="str">
        <v>Riya</v>
      </c>
      <c r="AC556" t="str">
        <v>Mysuru</v>
      </c>
      <c r="AD556" t="str">
        <v>Karnataka</v>
      </c>
      <c r="AE556" t="str">
        <v>South</v>
      </c>
      <c r="AF556" t="str">
        <v>Clothing</v>
      </c>
      <c r="AG556" t="str">
        <v>Shirt</v>
      </c>
      <c r="AH556">
        <v>2</v>
      </c>
      <c r="AI556">
        <v>3313.63</v>
      </c>
      <c r="AJ556">
        <v>6627.26</v>
      </c>
    </row>
    <row r="557" spans="1:36">
      <c r="A557" s="25">
        <v>45244</v>
      </c>
      <c r="B557" t="s">
        <v>1689</v>
      </c>
      <c r="C557" t="s">
        <v>1135</v>
      </c>
      <c r="D557" t="s">
        <v>1673</v>
      </c>
      <c r="E557" t="s">
        <v>1674</v>
      </c>
      <c r="F557" t="s">
        <v>97</v>
      </c>
      <c r="G557" t="s">
        <v>1711</v>
      </c>
      <c r="H557">
        <v>13</v>
      </c>
      <c r="I557">
        <v>151.65</v>
      </c>
      <c r="J557">
        <v>1971.45</v>
      </c>
      <c r="AA557">
        <v>45091</v>
      </c>
      <c r="AB557" t="str">
        <v>Meera</v>
      </c>
      <c r="AC557" t="str">
        <v>Mysuru</v>
      </c>
      <c r="AD557" t="str">
        <v>Karnataka</v>
      </c>
      <c r="AE557" t="str">
        <v>South</v>
      </c>
      <c r="AF557" t="str">
        <v>Clothing</v>
      </c>
      <c r="AG557" t="str">
        <v>Shirt</v>
      </c>
      <c r="AH557">
        <v>8</v>
      </c>
      <c r="AI557">
        <v>565.82000000000005</v>
      </c>
      <c r="AJ557">
        <v>4526.5600000000004</v>
      </c>
    </row>
    <row r="558" spans="1:36">
      <c r="A558" s="25">
        <v>45077</v>
      </c>
      <c r="B558" t="s">
        <v>1671</v>
      </c>
      <c r="C558" t="s">
        <v>1135</v>
      </c>
      <c r="D558" t="s">
        <v>1673</v>
      </c>
      <c r="E558" t="s">
        <v>1674</v>
      </c>
      <c r="F558" t="s">
        <v>97</v>
      </c>
      <c r="G558" t="s">
        <v>1685</v>
      </c>
      <c r="H558">
        <v>7</v>
      </c>
      <c r="I558">
        <v>105.05</v>
      </c>
      <c r="J558">
        <v>735.35</v>
      </c>
      <c r="AA558">
        <v>45123</v>
      </c>
      <c r="AB558" t="str">
        <v>Nishant</v>
      </c>
      <c r="AC558" t="str">
        <v>Mysuru</v>
      </c>
      <c r="AD558" t="str">
        <v>Karnataka</v>
      </c>
      <c r="AE558" t="str">
        <v>South</v>
      </c>
      <c r="AF558" t="str">
        <v>Clothing</v>
      </c>
      <c r="AG558" t="str">
        <v>Dress</v>
      </c>
      <c r="AH558">
        <v>3</v>
      </c>
      <c r="AI558">
        <v>1129.8800000000001</v>
      </c>
      <c r="AJ558">
        <v>3389.64</v>
      </c>
    </row>
    <row r="559" spans="1:36">
      <c r="A559" s="25">
        <v>45030</v>
      </c>
      <c r="B559" t="s">
        <v>1698</v>
      </c>
      <c r="C559" t="s">
        <v>1135</v>
      </c>
      <c r="D559" t="s">
        <v>1673</v>
      </c>
      <c r="E559" t="s">
        <v>1674</v>
      </c>
      <c r="F559" t="s">
        <v>89</v>
      </c>
      <c r="G559" t="s">
        <v>1714</v>
      </c>
      <c r="H559">
        <v>15</v>
      </c>
      <c r="I559">
        <v>2796.48</v>
      </c>
      <c r="J559">
        <v>41947.199999999997</v>
      </c>
      <c r="AA559">
        <v>45172</v>
      </c>
      <c r="AB559" t="str">
        <v>Ananya</v>
      </c>
      <c r="AC559" t="str">
        <v>Mysuru</v>
      </c>
      <c r="AD559" t="str">
        <v>Karnataka</v>
      </c>
      <c r="AE559" t="str">
        <v>South</v>
      </c>
      <c r="AF559" t="str">
        <v>Electronics</v>
      </c>
      <c r="AG559" t="str">
        <v>Laptop</v>
      </c>
      <c r="AH559">
        <v>8</v>
      </c>
      <c r="AI559">
        <v>4649.3500000000004</v>
      </c>
      <c r="AJ559">
        <v>37194.800000000003</v>
      </c>
    </row>
    <row r="560" spans="1:36">
      <c r="A560" s="25">
        <v>45148</v>
      </c>
      <c r="B560" t="s">
        <v>1686</v>
      </c>
      <c r="C560" t="s">
        <v>1135</v>
      </c>
      <c r="D560" t="s">
        <v>1673</v>
      </c>
      <c r="E560" t="s">
        <v>1674</v>
      </c>
      <c r="F560" t="s">
        <v>89</v>
      </c>
      <c r="G560" t="s">
        <v>1105</v>
      </c>
      <c r="H560">
        <v>10</v>
      </c>
      <c r="I560">
        <v>1693.46</v>
      </c>
      <c r="J560">
        <v>16934.599999999999</v>
      </c>
      <c r="AA560">
        <v>44956</v>
      </c>
      <c r="AB560" t="str">
        <v>Meera</v>
      </c>
      <c r="AC560" t="str">
        <v>Mysuru</v>
      </c>
      <c r="AD560" t="str">
        <v>Karnataka</v>
      </c>
      <c r="AE560" t="str">
        <v>South</v>
      </c>
      <c r="AF560" t="str">
        <v>Electronics</v>
      </c>
      <c r="AG560" t="str">
        <v>Smartphone</v>
      </c>
      <c r="AH560">
        <v>14</v>
      </c>
      <c r="AI560">
        <v>2535.08</v>
      </c>
      <c r="AJ560">
        <v>35491.120000000003</v>
      </c>
    </row>
    <row r="561" spans="1:36">
      <c r="A561" s="25">
        <v>45050</v>
      </c>
      <c r="B561" t="s">
        <v>1692</v>
      </c>
      <c r="C561" t="s">
        <v>1135</v>
      </c>
      <c r="D561" t="s">
        <v>1673</v>
      </c>
      <c r="E561" t="s">
        <v>1674</v>
      </c>
      <c r="F561" t="s">
        <v>89</v>
      </c>
      <c r="G561" t="s">
        <v>1106</v>
      </c>
      <c r="H561">
        <v>6</v>
      </c>
      <c r="I561">
        <v>2282.5500000000002</v>
      </c>
      <c r="J561">
        <v>13695.3</v>
      </c>
      <c r="AA561">
        <v>45067</v>
      </c>
      <c r="AB561" t="str">
        <v>Aarav</v>
      </c>
      <c r="AC561" t="str">
        <v>Mysuru</v>
      </c>
      <c r="AD561" t="str">
        <v>Karnataka</v>
      </c>
      <c r="AE561" t="str">
        <v>South</v>
      </c>
      <c r="AF561" t="str">
        <v>Electronics</v>
      </c>
      <c r="AG561" t="str">
        <v>Smartphone</v>
      </c>
      <c r="AH561">
        <v>18</v>
      </c>
      <c r="AI561">
        <v>1745.63</v>
      </c>
      <c r="AJ561">
        <v>31421.34</v>
      </c>
    </row>
    <row r="562" spans="1:36">
      <c r="A562" s="25">
        <v>45264</v>
      </c>
      <c r="B562" t="s">
        <v>1689</v>
      </c>
      <c r="C562" t="s">
        <v>1135</v>
      </c>
      <c r="D562" t="s">
        <v>1673</v>
      </c>
      <c r="E562" t="s">
        <v>1674</v>
      </c>
      <c r="F562" t="s">
        <v>89</v>
      </c>
      <c r="G562" t="s">
        <v>1106</v>
      </c>
      <c r="H562">
        <v>17</v>
      </c>
      <c r="I562">
        <v>683.31</v>
      </c>
      <c r="J562">
        <v>11616.27</v>
      </c>
      <c r="AA562">
        <v>45281</v>
      </c>
      <c r="AB562" t="str">
        <v>Nishant</v>
      </c>
      <c r="AC562" t="str">
        <v>Mysuru</v>
      </c>
      <c r="AD562" t="str">
        <v>Karnataka</v>
      </c>
      <c r="AE562" t="str">
        <v>South</v>
      </c>
      <c r="AF562" t="str">
        <v>Electronics</v>
      </c>
      <c r="AG562" t="str">
        <v>Headphones</v>
      </c>
      <c r="AH562">
        <v>7</v>
      </c>
      <c r="AI562">
        <v>4023.6</v>
      </c>
      <c r="AJ562">
        <v>28165.200000000001</v>
      </c>
    </row>
    <row r="563" spans="1:36">
      <c r="A563" s="25">
        <v>45058</v>
      </c>
      <c r="B563" t="s">
        <v>1689</v>
      </c>
      <c r="C563" t="s">
        <v>1135</v>
      </c>
      <c r="D563" t="s">
        <v>1673</v>
      </c>
      <c r="E563" t="s">
        <v>1674</v>
      </c>
      <c r="F563" t="s">
        <v>89</v>
      </c>
      <c r="G563" t="s">
        <v>1106</v>
      </c>
      <c r="H563">
        <v>9</v>
      </c>
      <c r="I563">
        <v>109.56</v>
      </c>
      <c r="J563">
        <v>986.04</v>
      </c>
      <c r="AA563">
        <v>45082</v>
      </c>
      <c r="AB563" t="str">
        <v>Ishita</v>
      </c>
      <c r="AC563" t="str">
        <v>Mysuru</v>
      </c>
      <c r="AD563" t="str">
        <v>Karnataka</v>
      </c>
      <c r="AE563" t="str">
        <v>South</v>
      </c>
      <c r="AF563" t="str">
        <v>Electronics</v>
      </c>
      <c r="AG563" t="str">
        <v>Laptop</v>
      </c>
      <c r="AH563">
        <v>5</v>
      </c>
      <c r="AI563">
        <v>4773.5600000000004</v>
      </c>
      <c r="AJ563">
        <v>23867.8</v>
      </c>
    </row>
    <row r="564" spans="1:36">
      <c r="A564" s="25">
        <v>44977</v>
      </c>
      <c r="B564" t="s">
        <v>1686</v>
      </c>
      <c r="C564" t="s">
        <v>1135</v>
      </c>
      <c r="D564" t="s">
        <v>1673</v>
      </c>
      <c r="E564" t="s">
        <v>1674</v>
      </c>
      <c r="F564" t="s">
        <v>101</v>
      </c>
      <c r="G564" t="s">
        <v>1715</v>
      </c>
      <c r="H564">
        <v>15</v>
      </c>
      <c r="I564">
        <v>4642.6899999999996</v>
      </c>
      <c r="J564">
        <v>69640.350000000006</v>
      </c>
      <c r="AA564">
        <v>45224</v>
      </c>
      <c r="AB564" t="str">
        <v>Riya</v>
      </c>
      <c r="AC564" t="str">
        <v>Mysuru</v>
      </c>
      <c r="AD564" t="str">
        <v>Karnataka</v>
      </c>
      <c r="AE564" t="str">
        <v>South</v>
      </c>
      <c r="AF564" t="str">
        <v>Electronics</v>
      </c>
      <c r="AG564" t="str">
        <v>Smartphone</v>
      </c>
      <c r="AH564">
        <v>15</v>
      </c>
      <c r="AI564">
        <v>1450.75</v>
      </c>
      <c r="AJ564">
        <v>21761.25</v>
      </c>
    </row>
    <row r="565" spans="1:36">
      <c r="A565" s="25">
        <v>45090</v>
      </c>
      <c r="B565" t="s">
        <v>1671</v>
      </c>
      <c r="C565" t="s">
        <v>1135</v>
      </c>
      <c r="D565" t="s">
        <v>1673</v>
      </c>
      <c r="E565" t="s">
        <v>1674</v>
      </c>
      <c r="F565" t="s">
        <v>101</v>
      </c>
      <c r="G565" t="s">
        <v>1709</v>
      </c>
      <c r="H565">
        <v>17</v>
      </c>
      <c r="I565">
        <v>2910.12</v>
      </c>
      <c r="J565">
        <v>49472.04</v>
      </c>
      <c r="AA565">
        <v>45148</v>
      </c>
      <c r="AB565" t="str">
        <v>Vihaan</v>
      </c>
      <c r="AC565" t="str">
        <v>Mysuru</v>
      </c>
      <c r="AD565" t="str">
        <v>Karnataka</v>
      </c>
      <c r="AE565" t="str">
        <v>South</v>
      </c>
      <c r="AF565" t="str">
        <v>Electronics</v>
      </c>
      <c r="AG565" t="str">
        <v>Headphones</v>
      </c>
      <c r="AH565">
        <v>8</v>
      </c>
      <c r="AI565">
        <v>2518.13</v>
      </c>
      <c r="AJ565">
        <v>20145.04</v>
      </c>
    </row>
    <row r="566" spans="1:36">
      <c r="A566" s="25">
        <v>45086</v>
      </c>
      <c r="B566" t="s">
        <v>1671</v>
      </c>
      <c r="C566" t="s">
        <v>1135</v>
      </c>
      <c r="D566" t="s">
        <v>1673</v>
      </c>
      <c r="E566" t="s">
        <v>1674</v>
      </c>
      <c r="F566" t="s">
        <v>101</v>
      </c>
      <c r="G566" t="s">
        <v>1719</v>
      </c>
      <c r="H566">
        <v>11</v>
      </c>
      <c r="I566">
        <v>4242.8999999999996</v>
      </c>
      <c r="J566">
        <v>46671.9</v>
      </c>
      <c r="AA566">
        <v>45050</v>
      </c>
      <c r="AB566" t="str">
        <v>Aarav</v>
      </c>
      <c r="AC566" t="str">
        <v>Mysuru</v>
      </c>
      <c r="AD566" t="str">
        <v>Karnataka</v>
      </c>
      <c r="AE566" t="str">
        <v>South</v>
      </c>
      <c r="AF566" t="str">
        <v>Electronics</v>
      </c>
      <c r="AG566" t="str">
        <v>Smartphone</v>
      </c>
      <c r="AH566">
        <v>4</v>
      </c>
      <c r="AI566">
        <v>4968.93</v>
      </c>
      <c r="AJ566">
        <v>19875.72</v>
      </c>
    </row>
    <row r="567" spans="1:36">
      <c r="A567" s="25">
        <v>45171</v>
      </c>
      <c r="B567" t="s">
        <v>1689</v>
      </c>
      <c r="C567" t="s">
        <v>1135</v>
      </c>
      <c r="D567" t="s">
        <v>1673</v>
      </c>
      <c r="E567" t="s">
        <v>1674</v>
      </c>
      <c r="F567" t="s">
        <v>101</v>
      </c>
      <c r="G567" t="s">
        <v>1715</v>
      </c>
      <c r="H567">
        <v>10</v>
      </c>
      <c r="I567">
        <v>2750.69</v>
      </c>
      <c r="J567">
        <v>27506.9</v>
      </c>
      <c r="AA567">
        <v>45018</v>
      </c>
      <c r="AB567" t="str">
        <v>Aryan</v>
      </c>
      <c r="AC567" t="str">
        <v>Mysuru</v>
      </c>
      <c r="AD567" t="str">
        <v>Karnataka</v>
      </c>
      <c r="AE567" t="str">
        <v>South</v>
      </c>
      <c r="AF567" t="str">
        <v>Electronics</v>
      </c>
      <c r="AG567" t="str">
        <v>Headphones</v>
      </c>
      <c r="AH567">
        <v>14</v>
      </c>
      <c r="AI567">
        <v>1247.48</v>
      </c>
      <c r="AJ567">
        <v>17464.72</v>
      </c>
    </row>
    <row r="568" spans="1:36">
      <c r="A568" s="25">
        <v>45198</v>
      </c>
      <c r="B568" t="s">
        <v>1686</v>
      </c>
      <c r="C568" t="s">
        <v>1135</v>
      </c>
      <c r="D568" t="s">
        <v>1673</v>
      </c>
      <c r="E568" t="s">
        <v>1674</v>
      </c>
      <c r="F568" t="s">
        <v>101</v>
      </c>
      <c r="G568" t="s">
        <v>1715</v>
      </c>
      <c r="H568">
        <v>20</v>
      </c>
      <c r="I568">
        <v>1365.33</v>
      </c>
      <c r="J568">
        <v>27306.6</v>
      </c>
      <c r="AA568">
        <v>45003</v>
      </c>
      <c r="AB568" t="str">
        <v>Ishita</v>
      </c>
      <c r="AC568" t="str">
        <v>Mysuru</v>
      </c>
      <c r="AD568" t="str">
        <v>Karnataka</v>
      </c>
      <c r="AE568" t="str">
        <v>South</v>
      </c>
      <c r="AF568" t="str">
        <v>Electronics</v>
      </c>
      <c r="AG568" t="str">
        <v>Smartphone</v>
      </c>
      <c r="AH568">
        <v>5</v>
      </c>
      <c r="AI568">
        <v>3058.74</v>
      </c>
      <c r="AJ568">
        <v>15293.7</v>
      </c>
    </row>
    <row r="569" spans="1:36">
      <c r="A569" s="25">
        <v>45228</v>
      </c>
      <c r="B569" t="s">
        <v>1698</v>
      </c>
      <c r="C569" t="s">
        <v>1135</v>
      </c>
      <c r="D569" t="s">
        <v>1673</v>
      </c>
      <c r="E569" t="s">
        <v>1674</v>
      </c>
      <c r="F569" t="s">
        <v>101</v>
      </c>
      <c r="G569" t="s">
        <v>1709</v>
      </c>
      <c r="H569">
        <v>6</v>
      </c>
      <c r="I569">
        <v>3524.48</v>
      </c>
      <c r="J569">
        <v>21146.880000000001</v>
      </c>
      <c r="AA569">
        <v>45270</v>
      </c>
      <c r="AB569" t="str">
        <v>Ananya</v>
      </c>
      <c r="AC569" t="str">
        <v>Mysuru</v>
      </c>
      <c r="AD569" t="str">
        <v>Karnataka</v>
      </c>
      <c r="AE569" t="str">
        <v>South</v>
      </c>
      <c r="AF569" t="str">
        <v>Electronics</v>
      </c>
      <c r="AG569" t="str">
        <v>Headphones</v>
      </c>
      <c r="AH569">
        <v>9</v>
      </c>
      <c r="AI569">
        <v>1694.83</v>
      </c>
      <c r="AJ569">
        <v>15253.47</v>
      </c>
    </row>
    <row r="570" spans="1:36">
      <c r="A570" s="25">
        <v>44931</v>
      </c>
      <c r="B570" t="s">
        <v>1705</v>
      </c>
      <c r="C570" t="s">
        <v>1135</v>
      </c>
      <c r="D570" t="s">
        <v>1673</v>
      </c>
      <c r="E570" t="s">
        <v>1674</v>
      </c>
      <c r="F570" t="s">
        <v>101</v>
      </c>
      <c r="G570" t="s">
        <v>1715</v>
      </c>
      <c r="H570">
        <v>4</v>
      </c>
      <c r="I570">
        <v>4293.74</v>
      </c>
      <c r="J570">
        <v>17174.96</v>
      </c>
      <c r="AA570">
        <v>44929</v>
      </c>
      <c r="AB570" t="str">
        <v>Vihaan</v>
      </c>
      <c r="AC570" t="str">
        <v>Mysuru</v>
      </c>
      <c r="AD570" t="str">
        <v>Karnataka</v>
      </c>
      <c r="AE570" t="str">
        <v>South</v>
      </c>
      <c r="AF570" t="str">
        <v>Electronics</v>
      </c>
      <c r="AG570" t="str">
        <v>Tablet</v>
      </c>
      <c r="AH570">
        <v>3</v>
      </c>
      <c r="AI570">
        <v>4908.74</v>
      </c>
      <c r="AJ570">
        <v>14726.22</v>
      </c>
    </row>
    <row r="571" spans="1:36">
      <c r="A571" s="25">
        <v>45207</v>
      </c>
      <c r="B571" t="s">
        <v>1705</v>
      </c>
      <c r="C571" t="s">
        <v>1135</v>
      </c>
      <c r="D571" t="s">
        <v>1673</v>
      </c>
      <c r="E571" t="s">
        <v>1674</v>
      </c>
      <c r="F571" t="s">
        <v>101</v>
      </c>
      <c r="G571" t="s">
        <v>1715</v>
      </c>
      <c r="H571">
        <v>3</v>
      </c>
      <c r="I571">
        <v>2950.28</v>
      </c>
      <c r="J571">
        <v>8850.84</v>
      </c>
      <c r="AA571">
        <v>45047</v>
      </c>
      <c r="AB571" t="str">
        <v>Aarav</v>
      </c>
      <c r="AC571" t="str">
        <v>Mysuru</v>
      </c>
      <c r="AD571" t="str">
        <v>Karnataka</v>
      </c>
      <c r="AE571" t="str">
        <v>South</v>
      </c>
      <c r="AF571" t="str">
        <v>Electronics</v>
      </c>
      <c r="AG571" t="str">
        <v>Headphones</v>
      </c>
      <c r="AH571">
        <v>5</v>
      </c>
      <c r="AI571">
        <v>2196.9899999999998</v>
      </c>
      <c r="AJ571">
        <v>10984.95</v>
      </c>
    </row>
    <row r="572" spans="1:36">
      <c r="A572" s="25">
        <v>45047</v>
      </c>
      <c r="B572" t="s">
        <v>1698</v>
      </c>
      <c r="C572" t="s">
        <v>1135</v>
      </c>
      <c r="D572" t="s">
        <v>1673</v>
      </c>
      <c r="E572" t="s">
        <v>1674</v>
      </c>
      <c r="F572" t="s">
        <v>101</v>
      </c>
      <c r="G572" t="s">
        <v>1675</v>
      </c>
      <c r="H572">
        <v>7</v>
      </c>
      <c r="I572">
        <v>862.76</v>
      </c>
      <c r="J572">
        <v>6039.32</v>
      </c>
      <c r="AA572">
        <v>45004</v>
      </c>
      <c r="AB572" t="str">
        <v>Aryan</v>
      </c>
      <c r="AC572" t="str">
        <v>Mysuru</v>
      </c>
      <c r="AD572" t="str">
        <v>Karnataka</v>
      </c>
      <c r="AE572" t="str">
        <v>South</v>
      </c>
      <c r="AF572" t="str">
        <v>Electronics</v>
      </c>
      <c r="AG572" t="str">
        <v>Laptop</v>
      </c>
      <c r="AH572">
        <v>2</v>
      </c>
      <c r="AI572">
        <v>3830.39</v>
      </c>
      <c r="AJ572">
        <v>7660.78</v>
      </c>
    </row>
    <row r="573" spans="1:36">
      <c r="A573" s="25">
        <v>45241</v>
      </c>
      <c r="B573" t="s">
        <v>1700</v>
      </c>
      <c r="C573" t="s">
        <v>1135</v>
      </c>
      <c r="D573" t="s">
        <v>1673</v>
      </c>
      <c r="E573" t="s">
        <v>1674</v>
      </c>
      <c r="F573" t="s">
        <v>1687</v>
      </c>
      <c r="G573" t="s">
        <v>1704</v>
      </c>
      <c r="H573">
        <v>20</v>
      </c>
      <c r="I573">
        <v>4970.33</v>
      </c>
      <c r="J573">
        <v>99406.6</v>
      </c>
      <c r="AA573">
        <v>45122</v>
      </c>
      <c r="AB573" t="str">
        <v>Kabir</v>
      </c>
      <c r="AC573" t="str">
        <v>Mysuru</v>
      </c>
      <c r="AD573" t="str">
        <v>Karnataka</v>
      </c>
      <c r="AE573" t="str">
        <v>South</v>
      </c>
      <c r="AF573" t="str">
        <v>Electronics</v>
      </c>
      <c r="AG573" t="str">
        <v>Laptop</v>
      </c>
      <c r="AH573">
        <v>4</v>
      </c>
      <c r="AI573">
        <v>894.64</v>
      </c>
      <c r="AJ573">
        <v>3578.56</v>
      </c>
    </row>
    <row r="574" spans="1:36">
      <c r="A574" s="25">
        <v>45166</v>
      </c>
      <c r="B574" t="s">
        <v>1705</v>
      </c>
      <c r="C574" t="s">
        <v>1135</v>
      </c>
      <c r="D574" t="s">
        <v>1673</v>
      </c>
      <c r="E574" t="s">
        <v>1674</v>
      </c>
      <c r="F574" t="s">
        <v>1687</v>
      </c>
      <c r="G574" t="s">
        <v>1704</v>
      </c>
      <c r="H574">
        <v>10</v>
      </c>
      <c r="I574">
        <v>3707.43</v>
      </c>
      <c r="J574">
        <v>37074.300000000003</v>
      </c>
      <c r="AA574">
        <v>45070</v>
      </c>
      <c r="AB574" t="str">
        <v>Aarav</v>
      </c>
      <c r="AC574" t="str">
        <v>Mysuru</v>
      </c>
      <c r="AD574" t="str">
        <v>Karnataka</v>
      </c>
      <c r="AE574" t="str">
        <v>South</v>
      </c>
      <c r="AF574" t="str">
        <v>Electronics</v>
      </c>
      <c r="AG574" t="str">
        <v>Laptop</v>
      </c>
      <c r="AH574">
        <v>1</v>
      </c>
      <c r="AI574">
        <v>3382.37</v>
      </c>
      <c r="AJ574">
        <v>3382.37</v>
      </c>
    </row>
    <row r="575" spans="1:36">
      <c r="A575" s="25">
        <v>45285</v>
      </c>
      <c r="B575" t="s">
        <v>1671</v>
      </c>
      <c r="C575" t="s">
        <v>1135</v>
      </c>
      <c r="D575" t="s">
        <v>1673</v>
      </c>
      <c r="E575" t="s">
        <v>1674</v>
      </c>
      <c r="F575" t="s">
        <v>1687</v>
      </c>
      <c r="G575" t="s">
        <v>1704</v>
      </c>
      <c r="H575">
        <v>5</v>
      </c>
      <c r="I575">
        <v>4872.8900000000003</v>
      </c>
      <c r="J575">
        <v>24364.45</v>
      </c>
      <c r="AA575">
        <v>45036</v>
      </c>
      <c r="AB575" t="str">
        <v>Aarav</v>
      </c>
      <c r="AC575" t="str">
        <v>Mysuru</v>
      </c>
      <c r="AD575" t="str">
        <v>Karnataka</v>
      </c>
      <c r="AE575" t="str">
        <v>South</v>
      </c>
      <c r="AF575" t="str">
        <v>Electronics</v>
      </c>
      <c r="AG575" t="str">
        <v>Smartphone</v>
      </c>
      <c r="AH575">
        <v>2</v>
      </c>
      <c r="AI575">
        <v>1207.92</v>
      </c>
      <c r="AJ575">
        <v>2415.84</v>
      </c>
    </row>
    <row r="576" spans="1:36">
      <c r="A576" s="25">
        <v>45282</v>
      </c>
      <c r="B576" t="s">
        <v>1676</v>
      </c>
      <c r="C576" t="s">
        <v>1135</v>
      </c>
      <c r="D576" t="s">
        <v>1673</v>
      </c>
      <c r="E576" t="s">
        <v>1674</v>
      </c>
      <c r="F576" t="s">
        <v>1687</v>
      </c>
      <c r="G576" t="s">
        <v>1708</v>
      </c>
      <c r="H576">
        <v>10</v>
      </c>
      <c r="I576">
        <v>2112.91</v>
      </c>
      <c r="J576">
        <v>21129.1</v>
      </c>
      <c r="AA576">
        <v>45042</v>
      </c>
      <c r="AB576" t="str">
        <v>Nishant</v>
      </c>
      <c r="AC576" t="str">
        <v>Mysuru</v>
      </c>
      <c r="AD576" t="str">
        <v>Karnataka</v>
      </c>
      <c r="AE576" t="str">
        <v>South</v>
      </c>
      <c r="AF576" t="str">
        <v>Furniture</v>
      </c>
      <c r="AG576" t="str">
        <v>Bed</v>
      </c>
      <c r="AH576">
        <v>20</v>
      </c>
      <c r="AI576">
        <v>4365.58</v>
      </c>
      <c r="AJ576">
        <v>87311.6</v>
      </c>
    </row>
    <row r="577" spans="1:36">
      <c r="A577" s="25">
        <v>45145</v>
      </c>
      <c r="B577" t="s">
        <v>1686</v>
      </c>
      <c r="C577" t="s">
        <v>1135</v>
      </c>
      <c r="D577" t="s">
        <v>1673</v>
      </c>
      <c r="E577" t="s">
        <v>1674</v>
      </c>
      <c r="F577" t="s">
        <v>1687</v>
      </c>
      <c r="G577" t="s">
        <v>1688</v>
      </c>
      <c r="H577">
        <v>17</v>
      </c>
      <c r="I577">
        <v>1240.77</v>
      </c>
      <c r="J577">
        <v>21093.09</v>
      </c>
      <c r="AA577">
        <v>44953</v>
      </c>
      <c r="AB577" t="str">
        <v>Kabir</v>
      </c>
      <c r="AC577" t="str">
        <v>Mysuru</v>
      </c>
      <c r="AD577" t="str">
        <v>Karnataka</v>
      </c>
      <c r="AE577" t="str">
        <v>South</v>
      </c>
      <c r="AF577" t="str">
        <v>Furniture</v>
      </c>
      <c r="AG577" t="str">
        <v>Bed</v>
      </c>
      <c r="AH577">
        <v>16</v>
      </c>
      <c r="AI577">
        <v>4008.72</v>
      </c>
      <c r="AJ577">
        <v>64139.519999999997</v>
      </c>
    </row>
    <row r="578" spans="1:36">
      <c r="A578" s="25">
        <v>45150</v>
      </c>
      <c r="B578" t="s">
        <v>1671</v>
      </c>
      <c r="C578" t="s">
        <v>1135</v>
      </c>
      <c r="D578" t="s">
        <v>1673</v>
      </c>
      <c r="E578" t="s">
        <v>1674</v>
      </c>
      <c r="F578" t="s">
        <v>1687</v>
      </c>
      <c r="G578" t="s">
        <v>1688</v>
      </c>
      <c r="H578">
        <v>11</v>
      </c>
      <c r="I578">
        <v>1749.31</v>
      </c>
      <c r="J578">
        <v>19242.41</v>
      </c>
      <c r="AA578">
        <v>45152</v>
      </c>
      <c r="AB578" t="str">
        <v>Aditi</v>
      </c>
      <c r="AC578" t="str">
        <v>Mysuru</v>
      </c>
      <c r="AD578" t="str">
        <v>Karnataka</v>
      </c>
      <c r="AE578" t="str">
        <v>South</v>
      </c>
      <c r="AF578" t="str">
        <v>Furniture</v>
      </c>
      <c r="AG578" t="str">
        <v>Sofa</v>
      </c>
      <c r="AH578">
        <v>20</v>
      </c>
      <c r="AI578">
        <v>2791.25</v>
      </c>
      <c r="AJ578">
        <v>55825</v>
      </c>
    </row>
    <row r="579" spans="1:36">
      <c r="A579" s="25">
        <v>45002</v>
      </c>
      <c r="B579" t="s">
        <v>1681</v>
      </c>
      <c r="C579" t="s">
        <v>1135</v>
      </c>
      <c r="D579" t="s">
        <v>1673</v>
      </c>
      <c r="E579" t="s">
        <v>1674</v>
      </c>
      <c r="F579" t="s">
        <v>1687</v>
      </c>
      <c r="G579" t="s">
        <v>1710</v>
      </c>
      <c r="H579">
        <v>5</v>
      </c>
      <c r="I579">
        <v>3775.72</v>
      </c>
      <c r="J579">
        <v>18878.599999999999</v>
      </c>
      <c r="AA579">
        <v>45255</v>
      </c>
      <c r="AB579" t="str">
        <v>Ishita</v>
      </c>
      <c r="AC579" t="str">
        <v>Mysuru</v>
      </c>
      <c r="AD579" t="str">
        <v>Karnataka</v>
      </c>
      <c r="AE579" t="str">
        <v>South</v>
      </c>
      <c r="AF579" t="str">
        <v>Furniture</v>
      </c>
      <c r="AG579" t="str">
        <v>Chair</v>
      </c>
      <c r="AH579">
        <v>18</v>
      </c>
      <c r="AI579">
        <v>2658.57</v>
      </c>
      <c r="AJ579">
        <v>47854.26</v>
      </c>
    </row>
    <row r="580" spans="1:36">
      <c r="A580" s="25">
        <v>45291</v>
      </c>
      <c r="B580" t="s">
        <v>1694</v>
      </c>
      <c r="C580" t="s">
        <v>1135</v>
      </c>
      <c r="D580" t="s">
        <v>1673</v>
      </c>
      <c r="E580" t="s">
        <v>1674</v>
      </c>
      <c r="F580" t="s">
        <v>1687</v>
      </c>
      <c r="G580" t="s">
        <v>1688</v>
      </c>
      <c r="H580">
        <v>6</v>
      </c>
      <c r="I580">
        <v>3119.62</v>
      </c>
      <c r="J580">
        <v>18717.72</v>
      </c>
      <c r="AA580">
        <v>44996</v>
      </c>
      <c r="AB580" t="str">
        <v>Vihaan</v>
      </c>
      <c r="AC580" t="str">
        <v>Mysuru</v>
      </c>
      <c r="AD580" t="str">
        <v>Karnataka</v>
      </c>
      <c r="AE580" t="str">
        <v>South</v>
      </c>
      <c r="AF580" t="str">
        <v>Furniture</v>
      </c>
      <c r="AG580" t="str">
        <v>Sofa</v>
      </c>
      <c r="AH580">
        <v>18</v>
      </c>
      <c r="AI580">
        <v>2231.56</v>
      </c>
      <c r="AJ580">
        <v>40168.080000000002</v>
      </c>
    </row>
    <row r="581" spans="1:36">
      <c r="A581" s="25">
        <v>45211</v>
      </c>
      <c r="B581" t="s">
        <v>1694</v>
      </c>
      <c r="C581" t="s">
        <v>1135</v>
      </c>
      <c r="D581" t="s">
        <v>1673</v>
      </c>
      <c r="E581" t="s">
        <v>1674</v>
      </c>
      <c r="F581" t="s">
        <v>1687</v>
      </c>
      <c r="G581" t="s">
        <v>1704</v>
      </c>
      <c r="H581">
        <v>5</v>
      </c>
      <c r="I581">
        <v>2819.92</v>
      </c>
      <c r="J581">
        <v>14099.6</v>
      </c>
      <c r="AA581">
        <v>44975</v>
      </c>
      <c r="AB581" t="str">
        <v>Aarav</v>
      </c>
      <c r="AC581" t="str">
        <v>Mysuru</v>
      </c>
      <c r="AD581" t="str">
        <v>Karnataka</v>
      </c>
      <c r="AE581" t="str">
        <v>South</v>
      </c>
      <c r="AF581" t="str">
        <v>Furniture</v>
      </c>
      <c r="AG581" t="str">
        <v>Sofa</v>
      </c>
      <c r="AH581">
        <v>16</v>
      </c>
      <c r="AI581">
        <v>2288.6799999999998</v>
      </c>
      <c r="AJ581">
        <v>36618.879999999997</v>
      </c>
    </row>
    <row r="582" spans="1:36">
      <c r="A582" s="25">
        <v>45147</v>
      </c>
      <c r="B582" t="s">
        <v>1698</v>
      </c>
      <c r="C582" t="s">
        <v>1135</v>
      </c>
      <c r="D582" t="s">
        <v>1673</v>
      </c>
      <c r="E582" t="s">
        <v>1674</v>
      </c>
      <c r="F582" t="s">
        <v>1687</v>
      </c>
      <c r="G582" t="s">
        <v>1688</v>
      </c>
      <c r="H582">
        <v>4</v>
      </c>
      <c r="I582">
        <v>3246.52</v>
      </c>
      <c r="J582">
        <v>12986.08</v>
      </c>
      <c r="AA582">
        <v>45071</v>
      </c>
      <c r="AB582" t="str">
        <v>Ishita</v>
      </c>
      <c r="AC582" t="str">
        <v>Mysuru</v>
      </c>
      <c r="AD582" t="str">
        <v>Karnataka</v>
      </c>
      <c r="AE582" t="str">
        <v>South</v>
      </c>
      <c r="AF582" t="str">
        <v>Furniture</v>
      </c>
      <c r="AG582" t="str">
        <v>Table</v>
      </c>
      <c r="AH582">
        <v>10</v>
      </c>
      <c r="AI582">
        <v>3339.72</v>
      </c>
      <c r="AJ582">
        <v>33397.199999999997</v>
      </c>
    </row>
    <row r="583" spans="1:36">
      <c r="A583" s="25">
        <v>44996</v>
      </c>
      <c r="B583" t="s">
        <v>1686</v>
      </c>
      <c r="C583" t="s">
        <v>1135</v>
      </c>
      <c r="D583" t="s">
        <v>1673</v>
      </c>
      <c r="E583" t="s">
        <v>1674</v>
      </c>
      <c r="F583" t="s">
        <v>1687</v>
      </c>
      <c r="G583" t="s">
        <v>1708</v>
      </c>
      <c r="H583">
        <v>7</v>
      </c>
      <c r="I583">
        <v>1640.58</v>
      </c>
      <c r="J583">
        <v>11484.06</v>
      </c>
      <c r="AA583">
        <v>45186</v>
      </c>
      <c r="AB583" t="str">
        <v>Aryan</v>
      </c>
      <c r="AC583" t="str">
        <v>Mysuru</v>
      </c>
      <c r="AD583" t="str">
        <v>Karnataka</v>
      </c>
      <c r="AE583" t="str">
        <v>South</v>
      </c>
      <c r="AF583" t="str">
        <v>Furniture</v>
      </c>
      <c r="AG583" t="str">
        <v>Table</v>
      </c>
      <c r="AH583">
        <v>7</v>
      </c>
      <c r="AI583">
        <v>4741.12</v>
      </c>
      <c r="AJ583">
        <v>33187.839999999997</v>
      </c>
    </row>
    <row r="584" spans="1:36">
      <c r="A584" s="25">
        <v>45160</v>
      </c>
      <c r="B584" t="s">
        <v>1692</v>
      </c>
      <c r="C584" t="s">
        <v>1135</v>
      </c>
      <c r="D584" t="s">
        <v>1673</v>
      </c>
      <c r="E584" t="s">
        <v>1674</v>
      </c>
      <c r="F584" t="s">
        <v>1687</v>
      </c>
      <c r="G584" t="s">
        <v>1708</v>
      </c>
      <c r="H584">
        <v>9</v>
      </c>
      <c r="I584">
        <v>564.08000000000004</v>
      </c>
      <c r="J584">
        <v>5076.72</v>
      </c>
      <c r="AA584">
        <v>44964</v>
      </c>
      <c r="AB584" t="str">
        <v>Riya</v>
      </c>
      <c r="AC584" t="str">
        <v>Mysuru</v>
      </c>
      <c r="AD584" t="str">
        <v>Karnataka</v>
      </c>
      <c r="AE584" t="str">
        <v>South</v>
      </c>
      <c r="AF584" t="str">
        <v>Furniture</v>
      </c>
      <c r="AG584" t="str">
        <v>Chair</v>
      </c>
      <c r="AH584">
        <v>9</v>
      </c>
      <c r="AI584">
        <v>3425.59</v>
      </c>
      <c r="AJ584">
        <v>30830.31</v>
      </c>
    </row>
    <row r="585" spans="1:36">
      <c r="A585" s="25">
        <v>45227</v>
      </c>
      <c r="B585" t="s">
        <v>1681</v>
      </c>
      <c r="C585" t="s">
        <v>1135</v>
      </c>
      <c r="D585" t="s">
        <v>1673</v>
      </c>
      <c r="E585" t="s">
        <v>1674</v>
      </c>
      <c r="F585" t="s">
        <v>1687</v>
      </c>
      <c r="G585" t="s">
        <v>1688</v>
      </c>
      <c r="H585">
        <v>8</v>
      </c>
      <c r="I585">
        <v>465.32</v>
      </c>
      <c r="J585">
        <v>3722.56</v>
      </c>
      <c r="AA585">
        <v>45273</v>
      </c>
      <c r="AB585" t="str">
        <v>Aryan</v>
      </c>
      <c r="AC585" t="str">
        <v>Mysuru</v>
      </c>
      <c r="AD585" t="str">
        <v>Karnataka</v>
      </c>
      <c r="AE585" t="str">
        <v>South</v>
      </c>
      <c r="AF585" t="str">
        <v>Furniture</v>
      </c>
      <c r="AG585" t="str">
        <v>Bed</v>
      </c>
      <c r="AH585">
        <v>13</v>
      </c>
      <c r="AI585">
        <v>2109.15</v>
      </c>
      <c r="AJ585">
        <v>27418.95</v>
      </c>
    </row>
    <row r="586" spans="1:36">
      <c r="A586" s="25">
        <v>45014</v>
      </c>
      <c r="B586" t="s">
        <v>1694</v>
      </c>
      <c r="C586" t="s">
        <v>1135</v>
      </c>
      <c r="D586" t="s">
        <v>1673</v>
      </c>
      <c r="E586" t="s">
        <v>1674</v>
      </c>
      <c r="F586" t="s">
        <v>1687</v>
      </c>
      <c r="G586" t="s">
        <v>1708</v>
      </c>
      <c r="H586">
        <v>6</v>
      </c>
      <c r="I586">
        <v>549.79999999999995</v>
      </c>
      <c r="J586">
        <v>3298.8</v>
      </c>
      <c r="AA586">
        <v>45055</v>
      </c>
      <c r="AB586" t="str">
        <v>Aarav</v>
      </c>
      <c r="AC586" t="str">
        <v>Mysuru</v>
      </c>
      <c r="AD586" t="str">
        <v>Karnataka</v>
      </c>
      <c r="AE586" t="str">
        <v>South</v>
      </c>
      <c r="AF586" t="str">
        <v>Furniture</v>
      </c>
      <c r="AG586" t="str">
        <v>Table</v>
      </c>
      <c r="AH586">
        <v>3</v>
      </c>
      <c r="AI586">
        <v>4146.75</v>
      </c>
      <c r="AJ586">
        <v>12440.25</v>
      </c>
    </row>
    <row r="587" spans="1:36">
      <c r="A587" s="25">
        <v>44997</v>
      </c>
      <c r="B587" t="s">
        <v>1694</v>
      </c>
      <c r="C587" t="s">
        <v>1135</v>
      </c>
      <c r="D587" t="s">
        <v>1673</v>
      </c>
      <c r="E587" t="s">
        <v>1674</v>
      </c>
      <c r="F587" t="s">
        <v>1687</v>
      </c>
      <c r="G587" t="s">
        <v>1710</v>
      </c>
      <c r="H587">
        <v>2</v>
      </c>
      <c r="I587">
        <v>1269.81</v>
      </c>
      <c r="J587">
        <v>2539.62</v>
      </c>
      <c r="AA587">
        <v>45143</v>
      </c>
      <c r="AB587" t="str">
        <v>Nishant</v>
      </c>
      <c r="AC587" t="str">
        <v>Mysuru</v>
      </c>
      <c r="AD587" t="str">
        <v>Karnataka</v>
      </c>
      <c r="AE587" t="str">
        <v>South</v>
      </c>
      <c r="AF587" t="str">
        <v>Furniture</v>
      </c>
      <c r="AG587" t="str">
        <v>Table</v>
      </c>
      <c r="AH587">
        <v>4</v>
      </c>
      <c r="AI587">
        <v>2457.5</v>
      </c>
      <c r="AJ587">
        <v>9830</v>
      </c>
    </row>
    <row r="588" spans="1:36">
      <c r="A588" s="25">
        <v>45104</v>
      </c>
      <c r="B588" t="s">
        <v>1676</v>
      </c>
      <c r="C588" t="s">
        <v>1135</v>
      </c>
      <c r="D588" t="s">
        <v>1673</v>
      </c>
      <c r="E588" t="s">
        <v>1674</v>
      </c>
      <c r="F588" t="s">
        <v>1687</v>
      </c>
      <c r="G588" t="s">
        <v>1710</v>
      </c>
      <c r="H588">
        <v>1</v>
      </c>
      <c r="I588">
        <v>1544.87</v>
      </c>
      <c r="J588">
        <v>1544.87</v>
      </c>
      <c r="AA588">
        <v>45098</v>
      </c>
      <c r="AB588" t="str">
        <v>Ishita</v>
      </c>
      <c r="AC588" t="str">
        <v>Mysuru</v>
      </c>
      <c r="AD588" t="str">
        <v>Karnataka</v>
      </c>
      <c r="AE588" t="str">
        <v>South</v>
      </c>
      <c r="AF588" t="str">
        <v>Furniture</v>
      </c>
      <c r="AG588" t="str">
        <v>Chair</v>
      </c>
      <c r="AH588">
        <v>20</v>
      </c>
      <c r="AI588">
        <v>459.48</v>
      </c>
      <c r="AJ588">
        <v>9189.6</v>
      </c>
    </row>
    <row r="589" spans="1:36">
      <c r="A589" s="25">
        <v>45011</v>
      </c>
      <c r="B589" t="s">
        <v>1676</v>
      </c>
      <c r="C589" t="s">
        <v>1135</v>
      </c>
      <c r="D589" t="s">
        <v>1673</v>
      </c>
      <c r="E589" t="s">
        <v>1674</v>
      </c>
      <c r="F589" t="s">
        <v>114</v>
      </c>
      <c r="G589" t="s">
        <v>1680</v>
      </c>
      <c r="H589">
        <v>19</v>
      </c>
      <c r="I589">
        <v>4786.8900000000003</v>
      </c>
      <c r="J589">
        <v>90950.91</v>
      </c>
      <c r="AA589">
        <v>45012</v>
      </c>
      <c r="AB589" t="str">
        <v>Nishant</v>
      </c>
      <c r="AC589" t="str">
        <v>Mysuru</v>
      </c>
      <c r="AD589" t="str">
        <v>Karnataka</v>
      </c>
      <c r="AE589" t="str">
        <v>South</v>
      </c>
      <c r="AF589" t="str">
        <v>Furniture</v>
      </c>
      <c r="AG589" t="str">
        <v>Bed</v>
      </c>
      <c r="AH589">
        <v>2</v>
      </c>
      <c r="AI589">
        <v>962.28</v>
      </c>
      <c r="AJ589">
        <v>1924.56</v>
      </c>
    </row>
    <row r="590" spans="1:36">
      <c r="A590" s="25">
        <v>45046</v>
      </c>
      <c r="B590" t="s">
        <v>1681</v>
      </c>
      <c r="C590" t="s">
        <v>1135</v>
      </c>
      <c r="D590" t="s">
        <v>1673</v>
      </c>
      <c r="E590" t="s">
        <v>1674</v>
      </c>
      <c r="F590" t="s">
        <v>114</v>
      </c>
      <c r="G590" t="s">
        <v>1712</v>
      </c>
      <c r="H590">
        <v>17</v>
      </c>
      <c r="I590">
        <v>4083.07</v>
      </c>
      <c r="J590">
        <v>69412.19</v>
      </c>
      <c r="AA590">
        <v>45260</v>
      </c>
      <c r="AB590" t="str">
        <v>Nishant</v>
      </c>
      <c r="AC590" t="str">
        <v>Mysuru</v>
      </c>
      <c r="AD590" t="str">
        <v>Karnataka</v>
      </c>
      <c r="AE590" t="str">
        <v>South</v>
      </c>
      <c r="AF590" t="str">
        <v>Groceries</v>
      </c>
      <c r="AG590" t="str">
        <v>Sugar</v>
      </c>
      <c r="AH590">
        <v>14</v>
      </c>
      <c r="AI590">
        <v>4935.3</v>
      </c>
      <c r="AJ590">
        <v>69094.2</v>
      </c>
    </row>
    <row r="591" spans="1:36">
      <c r="A591" s="25">
        <v>45169</v>
      </c>
      <c r="B591" t="s">
        <v>1686</v>
      </c>
      <c r="C591" t="s">
        <v>1135</v>
      </c>
      <c r="D591" t="s">
        <v>1673</v>
      </c>
      <c r="E591" t="s">
        <v>1674</v>
      </c>
      <c r="F591" t="s">
        <v>114</v>
      </c>
      <c r="G591" t="s">
        <v>1680</v>
      </c>
      <c r="H591">
        <v>19</v>
      </c>
      <c r="I591">
        <v>3316.87</v>
      </c>
      <c r="J591">
        <v>63020.53</v>
      </c>
      <c r="AA591">
        <v>45052</v>
      </c>
      <c r="AB591" t="str">
        <v>Riya</v>
      </c>
      <c r="AC591" t="str">
        <v>Mysuru</v>
      </c>
      <c r="AD591" t="str">
        <v>Karnataka</v>
      </c>
      <c r="AE591" t="str">
        <v>South</v>
      </c>
      <c r="AF591" t="str">
        <v>Groceries</v>
      </c>
      <c r="AG591" t="str">
        <v>Lentils</v>
      </c>
      <c r="AH591">
        <v>14</v>
      </c>
      <c r="AI591">
        <v>4868.33</v>
      </c>
      <c r="AJ591">
        <v>68156.62</v>
      </c>
    </row>
    <row r="592" spans="1:36">
      <c r="A592" s="25">
        <v>45261</v>
      </c>
      <c r="B592" t="s">
        <v>1692</v>
      </c>
      <c r="C592" t="s">
        <v>1135</v>
      </c>
      <c r="D592" t="s">
        <v>1673</v>
      </c>
      <c r="E592" t="s">
        <v>1674</v>
      </c>
      <c r="F592" t="s">
        <v>114</v>
      </c>
      <c r="G592" t="s">
        <v>1718</v>
      </c>
      <c r="H592">
        <v>13</v>
      </c>
      <c r="I592">
        <v>4263.79</v>
      </c>
      <c r="J592">
        <v>55429.27</v>
      </c>
      <c r="AA592">
        <v>45233</v>
      </c>
      <c r="AB592" t="str">
        <v>Riya</v>
      </c>
      <c r="AC592" t="str">
        <v>Mysuru</v>
      </c>
      <c r="AD592" t="str">
        <v>Karnataka</v>
      </c>
      <c r="AE592" t="str">
        <v>South</v>
      </c>
      <c r="AF592" t="str">
        <v>Groceries</v>
      </c>
      <c r="AG592" t="str">
        <v>Oil</v>
      </c>
      <c r="AH592">
        <v>20</v>
      </c>
      <c r="AI592">
        <v>1787.99</v>
      </c>
      <c r="AJ592">
        <v>35759.800000000003</v>
      </c>
    </row>
    <row r="593" spans="1:36">
      <c r="A593" s="25">
        <v>45264</v>
      </c>
      <c r="B593" t="s">
        <v>1676</v>
      </c>
      <c r="C593" t="s">
        <v>1135</v>
      </c>
      <c r="D593" t="s">
        <v>1673</v>
      </c>
      <c r="E593" t="s">
        <v>1674</v>
      </c>
      <c r="F593" t="s">
        <v>114</v>
      </c>
      <c r="G593" t="s">
        <v>1680</v>
      </c>
      <c r="H593">
        <v>14</v>
      </c>
      <c r="I593">
        <v>3167.49</v>
      </c>
      <c r="J593">
        <v>44344.86</v>
      </c>
      <c r="AA593">
        <v>45212</v>
      </c>
      <c r="AB593" t="str">
        <v>Nishant</v>
      </c>
      <c r="AC593" t="str">
        <v>Mysuru</v>
      </c>
      <c r="AD593" t="str">
        <v>Karnataka</v>
      </c>
      <c r="AE593" t="str">
        <v>South</v>
      </c>
      <c r="AF593" t="str">
        <v>Groceries</v>
      </c>
      <c r="AG593" t="str">
        <v>Rice</v>
      </c>
      <c r="AH593">
        <v>17</v>
      </c>
      <c r="AI593">
        <v>1975.71</v>
      </c>
      <c r="AJ593">
        <v>33587.07</v>
      </c>
    </row>
    <row r="594" spans="1:36">
      <c r="A594" s="25">
        <v>45005</v>
      </c>
      <c r="B594" t="s">
        <v>1692</v>
      </c>
      <c r="C594" t="s">
        <v>1135</v>
      </c>
      <c r="D594" t="s">
        <v>1673</v>
      </c>
      <c r="E594" t="s">
        <v>1674</v>
      </c>
      <c r="F594" t="s">
        <v>114</v>
      </c>
      <c r="G594" t="s">
        <v>1712</v>
      </c>
      <c r="H594">
        <v>9</v>
      </c>
      <c r="I594">
        <v>4198.92</v>
      </c>
      <c r="J594">
        <v>37790.28</v>
      </c>
      <c r="AA594">
        <v>45136</v>
      </c>
      <c r="AB594" t="str">
        <v>Kabir</v>
      </c>
      <c r="AC594" t="str">
        <v>Mysuru</v>
      </c>
      <c r="AD594" t="str">
        <v>Karnataka</v>
      </c>
      <c r="AE594" t="str">
        <v>South</v>
      </c>
      <c r="AF594" t="str">
        <v>Groceries</v>
      </c>
      <c r="AG594" t="str">
        <v>Sugar</v>
      </c>
      <c r="AH594">
        <v>19</v>
      </c>
      <c r="AI594">
        <v>1120.5999999999999</v>
      </c>
      <c r="AJ594">
        <v>21291.4</v>
      </c>
    </row>
    <row r="595" spans="1:36">
      <c r="A595" s="25">
        <v>45219</v>
      </c>
      <c r="B595" t="s">
        <v>1694</v>
      </c>
      <c r="C595" t="s">
        <v>1135</v>
      </c>
      <c r="D595" t="s">
        <v>1673</v>
      </c>
      <c r="E595" t="s">
        <v>1674</v>
      </c>
      <c r="F595" t="s">
        <v>114</v>
      </c>
      <c r="G595" t="s">
        <v>1680</v>
      </c>
      <c r="H595">
        <v>13</v>
      </c>
      <c r="I595">
        <v>2511.64</v>
      </c>
      <c r="J595">
        <v>32651.32</v>
      </c>
      <c r="AA595">
        <v>45168</v>
      </c>
      <c r="AB595" t="str">
        <v>Aditi</v>
      </c>
      <c r="AC595" t="str">
        <v>Mysuru</v>
      </c>
      <c r="AD595" t="str">
        <v>Karnataka</v>
      </c>
      <c r="AE595" t="str">
        <v>South</v>
      </c>
      <c r="AF595" t="str">
        <v>Groceries</v>
      </c>
      <c r="AG595" t="str">
        <v>Oil</v>
      </c>
      <c r="AH595">
        <v>3</v>
      </c>
      <c r="AI595">
        <v>4766.28</v>
      </c>
      <c r="AJ595">
        <v>14298.84</v>
      </c>
    </row>
    <row r="596" spans="1:36">
      <c r="A596" s="25">
        <v>45248</v>
      </c>
      <c r="B596" t="s">
        <v>1686</v>
      </c>
      <c r="C596" t="s">
        <v>1135</v>
      </c>
      <c r="D596" t="s">
        <v>1673</v>
      </c>
      <c r="E596" t="s">
        <v>1674</v>
      </c>
      <c r="F596" t="s">
        <v>114</v>
      </c>
      <c r="G596" t="s">
        <v>1691</v>
      </c>
      <c r="H596">
        <v>7</v>
      </c>
      <c r="I596">
        <v>4514.21</v>
      </c>
      <c r="J596">
        <v>31599.47</v>
      </c>
      <c r="AA596">
        <v>45161</v>
      </c>
      <c r="AB596" t="str">
        <v>Riya</v>
      </c>
      <c r="AC596" t="str">
        <v>Mysuru</v>
      </c>
      <c r="AD596" t="str">
        <v>Karnataka</v>
      </c>
      <c r="AE596" t="str">
        <v>South</v>
      </c>
      <c r="AF596" t="str">
        <v>Groceries</v>
      </c>
      <c r="AG596" t="str">
        <v>Lentils</v>
      </c>
      <c r="AH596">
        <v>6</v>
      </c>
      <c r="AI596">
        <v>2263.36</v>
      </c>
      <c r="AJ596">
        <v>13580.16</v>
      </c>
    </row>
    <row r="597" spans="1:36">
      <c r="A597" s="25">
        <v>44938</v>
      </c>
      <c r="B597" t="s">
        <v>1689</v>
      </c>
      <c r="C597" t="s">
        <v>1135</v>
      </c>
      <c r="D597" t="s">
        <v>1673</v>
      </c>
      <c r="E597" t="s">
        <v>1674</v>
      </c>
      <c r="F597" t="s">
        <v>114</v>
      </c>
      <c r="G597" t="s">
        <v>1691</v>
      </c>
      <c r="H597">
        <v>6</v>
      </c>
      <c r="I597">
        <v>4231.7700000000004</v>
      </c>
      <c r="J597">
        <v>25390.62</v>
      </c>
      <c r="AA597">
        <v>45221</v>
      </c>
      <c r="AB597" t="str">
        <v>Nishant</v>
      </c>
      <c r="AC597" t="str">
        <v>Mysuru</v>
      </c>
      <c r="AD597" t="str">
        <v>Karnataka</v>
      </c>
      <c r="AE597" t="str">
        <v>South</v>
      </c>
      <c r="AF597" t="str">
        <v>Groceries</v>
      </c>
      <c r="AG597" t="str">
        <v>Sugar</v>
      </c>
      <c r="AH597">
        <v>8</v>
      </c>
      <c r="AI597">
        <v>303.48</v>
      </c>
      <c r="AJ597">
        <v>2427.84</v>
      </c>
    </row>
    <row r="598" spans="1:36">
      <c r="A598" s="25">
        <v>45088</v>
      </c>
      <c r="B598" t="s">
        <v>1698</v>
      </c>
      <c r="C598" t="s">
        <v>1135</v>
      </c>
      <c r="D598" t="s">
        <v>1673</v>
      </c>
      <c r="E598" t="s">
        <v>1674</v>
      </c>
      <c r="F598" t="s">
        <v>114</v>
      </c>
      <c r="G598" t="s">
        <v>1712</v>
      </c>
      <c r="H598">
        <v>7</v>
      </c>
      <c r="I598">
        <v>2483.54</v>
      </c>
      <c r="J598">
        <v>17384.78</v>
      </c>
      <c r="AA598">
        <v>44957</v>
      </c>
      <c r="AB598" t="str">
        <v>Aryan</v>
      </c>
      <c r="AC598" t="str">
        <v>Mysuru</v>
      </c>
      <c r="AD598" t="str">
        <v>Karnataka</v>
      </c>
      <c r="AE598" t="str">
        <v>South</v>
      </c>
      <c r="AF598" t="str">
        <v>Groceries</v>
      </c>
      <c r="AG598" t="str">
        <v>Oil</v>
      </c>
      <c r="AH598">
        <v>5</v>
      </c>
      <c r="AI598">
        <v>417.76</v>
      </c>
      <c r="AJ598">
        <v>2088.8000000000002</v>
      </c>
    </row>
    <row r="599" spans="1:36">
      <c r="A599" s="25">
        <v>45054</v>
      </c>
      <c r="B599" t="s">
        <v>1700</v>
      </c>
      <c r="C599" t="s">
        <v>1135</v>
      </c>
      <c r="D599" t="s">
        <v>1673</v>
      </c>
      <c r="E599" t="s">
        <v>1674</v>
      </c>
      <c r="F599" t="s">
        <v>114</v>
      </c>
      <c r="G599" t="s">
        <v>1680</v>
      </c>
      <c r="H599">
        <v>10</v>
      </c>
      <c r="I599">
        <v>1512.64</v>
      </c>
      <c r="J599">
        <v>15126.4</v>
      </c>
      <c r="AA599">
        <v>45032</v>
      </c>
      <c r="AB599" t="str">
        <v>Ishita</v>
      </c>
      <c r="AC599" t="str">
        <v>Mysuru</v>
      </c>
      <c r="AD599" t="str">
        <v>Karnataka</v>
      </c>
      <c r="AE599" t="str">
        <v>South</v>
      </c>
      <c r="AF599" t="str">
        <v>Groceries</v>
      </c>
      <c r="AG599" t="str">
        <v>Oil</v>
      </c>
      <c r="AH599">
        <v>1</v>
      </c>
      <c r="AI599">
        <v>1628.88</v>
      </c>
      <c r="AJ599">
        <v>1628.88</v>
      </c>
    </row>
    <row r="600" spans="1:36">
      <c r="A600" s="25">
        <v>45113</v>
      </c>
      <c r="B600" t="s">
        <v>1676</v>
      </c>
      <c r="C600" t="s">
        <v>1135</v>
      </c>
      <c r="D600" t="s">
        <v>1673</v>
      </c>
      <c r="E600" t="s">
        <v>1674</v>
      </c>
      <c r="F600" t="s">
        <v>114</v>
      </c>
      <c r="G600" t="s">
        <v>1712</v>
      </c>
      <c r="H600">
        <v>4</v>
      </c>
      <c r="I600">
        <v>2836.34</v>
      </c>
      <c r="J600">
        <v>11345.36</v>
      </c>
      <c r="AA600">
        <v>45036</v>
      </c>
      <c r="AB600" t="str">
        <v>Ishita</v>
      </c>
      <c r="AC600" t="str">
        <v>Mysuru</v>
      </c>
      <c r="AD600" t="str">
        <v>Karnataka</v>
      </c>
      <c r="AE600" t="str">
        <v>South</v>
      </c>
      <c r="AF600" t="str">
        <v>Stationery</v>
      </c>
      <c r="AG600" t="str">
        <v>Eraser</v>
      </c>
      <c r="AH600">
        <v>18</v>
      </c>
      <c r="AI600">
        <v>3989.44</v>
      </c>
      <c r="AJ600">
        <v>71809.919999999998</v>
      </c>
    </row>
    <row r="601" spans="1:36">
      <c r="A601" s="25">
        <v>45259</v>
      </c>
      <c r="B601" t="s">
        <v>1689</v>
      </c>
      <c r="C601" t="s">
        <v>1135</v>
      </c>
      <c r="D601" t="s">
        <v>1673</v>
      </c>
      <c r="E601" t="s">
        <v>1674</v>
      </c>
      <c r="F601" t="s">
        <v>114</v>
      </c>
      <c r="G601" t="s">
        <v>1691</v>
      </c>
      <c r="H601">
        <v>17</v>
      </c>
      <c r="I601">
        <v>608.79</v>
      </c>
      <c r="J601">
        <v>10349.43</v>
      </c>
      <c r="AA601">
        <v>45088</v>
      </c>
      <c r="AB601" t="str">
        <v>Aryan</v>
      </c>
      <c r="AC601" t="str">
        <v>Mysuru</v>
      </c>
      <c r="AD601" t="str">
        <v>Karnataka</v>
      </c>
      <c r="AE601" t="str">
        <v>South</v>
      </c>
      <c r="AF601" t="str">
        <v>Stationery</v>
      </c>
      <c r="AG601" t="str">
        <v>Eraser</v>
      </c>
      <c r="AH601">
        <v>17</v>
      </c>
      <c r="AI601">
        <v>3975.74</v>
      </c>
      <c r="AJ601">
        <v>67587.58</v>
      </c>
    </row>
    <row r="602" spans="1:36">
      <c r="A602" s="25">
        <v>45236</v>
      </c>
      <c r="B602" t="s">
        <v>1698</v>
      </c>
      <c r="C602" t="s">
        <v>1135</v>
      </c>
      <c r="D602" t="s">
        <v>1673</v>
      </c>
      <c r="E602" t="s">
        <v>1674</v>
      </c>
      <c r="F602" t="s">
        <v>114</v>
      </c>
      <c r="G602" t="s">
        <v>1718</v>
      </c>
      <c r="H602">
        <v>1</v>
      </c>
      <c r="I602">
        <v>4370.57</v>
      </c>
      <c r="J602">
        <v>4370.57</v>
      </c>
      <c r="AA602">
        <v>45229</v>
      </c>
      <c r="AB602" t="str">
        <v>Vihaan</v>
      </c>
      <c r="AC602" t="str">
        <v>Mysuru</v>
      </c>
      <c r="AD602" t="str">
        <v>Karnataka</v>
      </c>
      <c r="AE602" t="str">
        <v>South</v>
      </c>
      <c r="AF602" t="str">
        <v>Stationery</v>
      </c>
      <c r="AG602" t="str">
        <v>Ruler</v>
      </c>
      <c r="AH602">
        <v>18</v>
      </c>
      <c r="AI602">
        <v>3627.09</v>
      </c>
      <c r="AJ602">
        <v>65287.62</v>
      </c>
    </row>
    <row r="603" spans="1:36">
      <c r="A603" s="25">
        <v>44989</v>
      </c>
      <c r="B603" t="s">
        <v>1689</v>
      </c>
      <c r="C603" t="s">
        <v>1135</v>
      </c>
      <c r="D603" t="s">
        <v>1673</v>
      </c>
      <c r="E603" t="s">
        <v>1674</v>
      </c>
      <c r="F603" t="s">
        <v>114</v>
      </c>
      <c r="G603" t="s">
        <v>1691</v>
      </c>
      <c r="H603">
        <v>1</v>
      </c>
      <c r="I603">
        <v>4192.3900000000003</v>
      </c>
      <c r="J603">
        <v>4192.3900000000003</v>
      </c>
      <c r="AA603">
        <v>45095</v>
      </c>
      <c r="AB603" t="str">
        <v>Aarav</v>
      </c>
      <c r="AC603" t="str">
        <v>Mysuru</v>
      </c>
      <c r="AD603" t="str">
        <v>Karnataka</v>
      </c>
      <c r="AE603" t="str">
        <v>South</v>
      </c>
      <c r="AF603" t="str">
        <v>Stationery</v>
      </c>
      <c r="AG603" t="str">
        <v>Pen</v>
      </c>
      <c r="AH603">
        <v>18</v>
      </c>
      <c r="AI603">
        <v>2535.8200000000002</v>
      </c>
      <c r="AJ603">
        <v>45644.76</v>
      </c>
    </row>
    <row r="604" spans="1:36">
      <c r="A604" s="25">
        <v>45014</v>
      </c>
      <c r="B604" t="s">
        <v>1689</v>
      </c>
      <c r="C604" t="s">
        <v>1135</v>
      </c>
      <c r="D604" t="s">
        <v>1673</v>
      </c>
      <c r="E604" t="s">
        <v>1674</v>
      </c>
      <c r="F604" t="s">
        <v>114</v>
      </c>
      <c r="G604" t="s">
        <v>1712</v>
      </c>
      <c r="H604">
        <v>4</v>
      </c>
      <c r="I604">
        <v>942.96</v>
      </c>
      <c r="J604">
        <v>3771.84</v>
      </c>
      <c r="AA604">
        <v>45083</v>
      </c>
      <c r="AB604" t="str">
        <v>Nishant</v>
      </c>
      <c r="AC604" t="str">
        <v>Mysuru</v>
      </c>
      <c r="AD604" t="str">
        <v>Karnataka</v>
      </c>
      <c r="AE604" t="str">
        <v>South</v>
      </c>
      <c r="AF604" t="str">
        <v>Stationery</v>
      </c>
      <c r="AG604" t="str">
        <v>Ruler</v>
      </c>
      <c r="AH604">
        <v>9</v>
      </c>
      <c r="AI604">
        <v>4712.9799999999996</v>
      </c>
      <c r="AJ604">
        <v>42416.82</v>
      </c>
    </row>
    <row r="605" spans="1:36">
      <c r="A605" s="25">
        <v>45037</v>
      </c>
      <c r="B605" t="s">
        <v>1692</v>
      </c>
      <c r="C605" t="s">
        <v>1693</v>
      </c>
      <c r="D605" t="s">
        <v>1683</v>
      </c>
      <c r="E605" t="s">
        <v>1679</v>
      </c>
      <c r="F605" t="s">
        <v>97</v>
      </c>
      <c r="G605" t="s">
        <v>1697</v>
      </c>
      <c r="H605">
        <v>19</v>
      </c>
      <c r="I605">
        <v>4562.0200000000004</v>
      </c>
      <c r="J605">
        <v>86678.38</v>
      </c>
      <c r="AA605">
        <v>44933</v>
      </c>
      <c r="AB605" t="str">
        <v>Aarav</v>
      </c>
      <c r="AC605" t="str">
        <v>Mysuru</v>
      </c>
      <c r="AD605" t="str">
        <v>Karnataka</v>
      </c>
      <c r="AE605" t="str">
        <v>South</v>
      </c>
      <c r="AF605" t="str">
        <v>Stationery</v>
      </c>
      <c r="AG605" t="str">
        <v>Notebook</v>
      </c>
      <c r="AH605">
        <v>9</v>
      </c>
      <c r="AI605">
        <v>4674.04</v>
      </c>
      <c r="AJ605">
        <v>42066.36</v>
      </c>
    </row>
    <row r="606" spans="1:36">
      <c r="A606" s="25">
        <v>45280</v>
      </c>
      <c r="B606" t="s">
        <v>1686</v>
      </c>
      <c r="C606" t="s">
        <v>1693</v>
      </c>
      <c r="D606" t="s">
        <v>1683</v>
      </c>
      <c r="E606" t="s">
        <v>1679</v>
      </c>
      <c r="F606" t="s">
        <v>97</v>
      </c>
      <c r="G606" t="s">
        <v>1711</v>
      </c>
      <c r="H606">
        <v>16</v>
      </c>
      <c r="I606">
        <v>4238.6400000000003</v>
      </c>
      <c r="J606">
        <v>67818.240000000005</v>
      </c>
      <c r="AA606">
        <v>44931</v>
      </c>
      <c r="AB606" t="str">
        <v>Vihaan</v>
      </c>
      <c r="AC606" t="str">
        <v>Mysuru</v>
      </c>
      <c r="AD606" t="str">
        <v>Karnataka</v>
      </c>
      <c r="AE606" t="str">
        <v>South</v>
      </c>
      <c r="AF606" t="str">
        <v>Stationery</v>
      </c>
      <c r="AG606" t="str">
        <v>Pen</v>
      </c>
      <c r="AH606">
        <v>13</v>
      </c>
      <c r="AI606">
        <v>2979.65</v>
      </c>
      <c r="AJ606">
        <v>38735.449999999997</v>
      </c>
    </row>
    <row r="607" spans="1:36">
      <c r="A607" s="25">
        <v>45072</v>
      </c>
      <c r="B607" t="s">
        <v>1694</v>
      </c>
      <c r="C607" t="s">
        <v>1693</v>
      </c>
      <c r="D607" t="s">
        <v>1683</v>
      </c>
      <c r="E607" t="s">
        <v>1679</v>
      </c>
      <c r="F607" t="s">
        <v>97</v>
      </c>
      <c r="G607" t="s">
        <v>1685</v>
      </c>
      <c r="H607">
        <v>17</v>
      </c>
      <c r="I607">
        <v>3244.79</v>
      </c>
      <c r="J607">
        <v>55161.43</v>
      </c>
      <c r="AA607">
        <v>45025</v>
      </c>
      <c r="AB607" t="str">
        <v>Vihaan</v>
      </c>
      <c r="AC607" t="str">
        <v>Mysuru</v>
      </c>
      <c r="AD607" t="str">
        <v>Karnataka</v>
      </c>
      <c r="AE607" t="str">
        <v>South</v>
      </c>
      <c r="AF607" t="str">
        <v>Stationery</v>
      </c>
      <c r="AG607" t="str">
        <v>Eraser</v>
      </c>
      <c r="AH607">
        <v>9</v>
      </c>
      <c r="AI607">
        <v>3441.09</v>
      </c>
      <c r="AJ607">
        <v>30969.81</v>
      </c>
    </row>
    <row r="608" spans="1:36">
      <c r="A608" s="25">
        <v>45012</v>
      </c>
      <c r="B608" t="s">
        <v>1694</v>
      </c>
      <c r="C608" t="s">
        <v>1693</v>
      </c>
      <c r="D608" t="s">
        <v>1683</v>
      </c>
      <c r="E608" t="s">
        <v>1679</v>
      </c>
      <c r="F608" t="s">
        <v>97</v>
      </c>
      <c r="G608" t="s">
        <v>1711</v>
      </c>
      <c r="H608">
        <v>16</v>
      </c>
      <c r="I608">
        <v>3158.66</v>
      </c>
      <c r="J608">
        <v>50538.559999999998</v>
      </c>
      <c r="AA608">
        <v>45207</v>
      </c>
      <c r="AB608" t="str">
        <v>Ishita</v>
      </c>
      <c r="AC608" t="str">
        <v>Mysuru</v>
      </c>
      <c r="AD608" t="str">
        <v>Karnataka</v>
      </c>
      <c r="AE608" t="str">
        <v>South</v>
      </c>
      <c r="AF608" t="str">
        <v>Stationery</v>
      </c>
      <c r="AG608" t="str">
        <v>Eraser</v>
      </c>
      <c r="AH608">
        <v>7</v>
      </c>
      <c r="AI608">
        <v>3820.3</v>
      </c>
      <c r="AJ608">
        <v>26742.1</v>
      </c>
    </row>
    <row r="609" spans="1:36">
      <c r="A609" s="25">
        <v>45064</v>
      </c>
      <c r="B609" t="s">
        <v>1676</v>
      </c>
      <c r="C609" t="s">
        <v>1693</v>
      </c>
      <c r="D609" t="s">
        <v>1683</v>
      </c>
      <c r="E609" t="s">
        <v>1679</v>
      </c>
      <c r="F609" t="s">
        <v>97</v>
      </c>
      <c r="G609" t="s">
        <v>1697</v>
      </c>
      <c r="H609">
        <v>10</v>
      </c>
      <c r="I609">
        <v>4017.66</v>
      </c>
      <c r="J609">
        <v>40176.6</v>
      </c>
      <c r="AA609">
        <v>44970</v>
      </c>
      <c r="AB609" t="str">
        <v>Ananya</v>
      </c>
      <c r="AC609" t="str">
        <v>Mysuru</v>
      </c>
      <c r="AD609" t="str">
        <v>Karnataka</v>
      </c>
      <c r="AE609" t="str">
        <v>South</v>
      </c>
      <c r="AF609" t="str">
        <v>Stationery</v>
      </c>
      <c r="AG609" t="str">
        <v>Notebook</v>
      </c>
      <c r="AH609">
        <v>11</v>
      </c>
      <c r="AI609">
        <v>1473.35</v>
      </c>
      <c r="AJ609">
        <v>16206.85</v>
      </c>
    </row>
    <row r="610" spans="1:36">
      <c r="A610" s="25">
        <v>45090</v>
      </c>
      <c r="B610" t="s">
        <v>1676</v>
      </c>
      <c r="C610" t="s">
        <v>1693</v>
      </c>
      <c r="D610" t="s">
        <v>1683</v>
      </c>
      <c r="E610" t="s">
        <v>1679</v>
      </c>
      <c r="F610" t="s">
        <v>97</v>
      </c>
      <c r="G610" t="s">
        <v>1699</v>
      </c>
      <c r="H610">
        <v>7</v>
      </c>
      <c r="I610">
        <v>4950.24</v>
      </c>
      <c r="J610">
        <v>34651.68</v>
      </c>
      <c r="AA610">
        <v>45183</v>
      </c>
      <c r="AB610" t="str">
        <v>Aditi</v>
      </c>
      <c r="AC610" t="str">
        <v>Mysuru</v>
      </c>
      <c r="AD610" t="str">
        <v>Karnataka</v>
      </c>
      <c r="AE610" t="str">
        <v>South</v>
      </c>
      <c r="AF610" t="str">
        <v>Stationery</v>
      </c>
      <c r="AG610" t="str">
        <v>Notebook</v>
      </c>
      <c r="AH610">
        <v>9</v>
      </c>
      <c r="AI610">
        <v>1609.98</v>
      </c>
      <c r="AJ610">
        <v>14489.82</v>
      </c>
    </row>
    <row r="611" spans="1:36">
      <c r="A611" s="25">
        <v>44977</v>
      </c>
      <c r="B611" t="s">
        <v>1689</v>
      </c>
      <c r="C611" t="s">
        <v>1693</v>
      </c>
      <c r="D611" t="s">
        <v>1683</v>
      </c>
      <c r="E611" t="s">
        <v>1679</v>
      </c>
      <c r="F611" t="s">
        <v>97</v>
      </c>
      <c r="G611" t="s">
        <v>1685</v>
      </c>
      <c r="H611">
        <v>8</v>
      </c>
      <c r="I611">
        <v>4143.5600000000004</v>
      </c>
      <c r="J611">
        <v>33148.480000000003</v>
      </c>
      <c r="AA611">
        <v>45131</v>
      </c>
      <c r="AB611" t="str">
        <v>Vihaan</v>
      </c>
      <c r="AC611" t="str">
        <v>Mysuru</v>
      </c>
      <c r="AD611" t="str">
        <v>Karnataka</v>
      </c>
      <c r="AE611" t="str">
        <v>South</v>
      </c>
      <c r="AF611" t="str">
        <v>Stationery</v>
      </c>
      <c r="AG611" t="str">
        <v>Ruler</v>
      </c>
      <c r="AH611">
        <v>3</v>
      </c>
      <c r="AI611">
        <v>3853.05</v>
      </c>
      <c r="AJ611">
        <v>11559.15</v>
      </c>
    </row>
    <row r="612" spans="1:36">
      <c r="A612" s="25">
        <v>45240</v>
      </c>
      <c r="B612" t="s">
        <v>1705</v>
      </c>
      <c r="C612" t="s">
        <v>1693</v>
      </c>
      <c r="D612" t="s">
        <v>1683</v>
      </c>
      <c r="E612" t="s">
        <v>1679</v>
      </c>
      <c r="F612" t="s">
        <v>97</v>
      </c>
      <c r="G612" t="s">
        <v>1699</v>
      </c>
      <c r="H612">
        <v>11</v>
      </c>
      <c r="I612">
        <v>2666.77</v>
      </c>
      <c r="J612">
        <v>29334.47</v>
      </c>
      <c r="AA612">
        <v>45168</v>
      </c>
      <c r="AB612" t="str">
        <v>Aarav</v>
      </c>
      <c r="AC612" t="str">
        <v>Mysuru</v>
      </c>
      <c r="AD612" t="str">
        <v>Karnataka</v>
      </c>
      <c r="AE612" t="str">
        <v>South</v>
      </c>
      <c r="AF612" t="str">
        <v>Stationery</v>
      </c>
      <c r="AG612" t="str">
        <v>Pen</v>
      </c>
      <c r="AH612">
        <v>17</v>
      </c>
      <c r="AI612">
        <v>583.88</v>
      </c>
      <c r="AJ612">
        <v>9925.9599999999991</v>
      </c>
    </row>
    <row r="613" spans="1:36">
      <c r="A613" s="25">
        <v>45200</v>
      </c>
      <c r="B613" t="s">
        <v>1676</v>
      </c>
      <c r="C613" t="s">
        <v>1693</v>
      </c>
      <c r="D613" t="s">
        <v>1683</v>
      </c>
      <c r="E613" t="s">
        <v>1679</v>
      </c>
      <c r="F613" t="s">
        <v>97</v>
      </c>
      <c r="G613" t="s">
        <v>1711</v>
      </c>
      <c r="H613">
        <v>18</v>
      </c>
      <c r="I613">
        <v>1412.15</v>
      </c>
      <c r="J613">
        <v>25418.7</v>
      </c>
      <c r="AA613">
        <v>45060</v>
      </c>
      <c r="AB613" t="str">
        <v>Ishita</v>
      </c>
      <c r="AC613" t="str">
        <v>Mysuru</v>
      </c>
      <c r="AD613" t="str">
        <v>Karnataka</v>
      </c>
      <c r="AE613" t="str">
        <v>South</v>
      </c>
      <c r="AF613" t="str">
        <v>Stationery</v>
      </c>
      <c r="AG613" t="str">
        <v>Pen</v>
      </c>
      <c r="AH613">
        <v>4</v>
      </c>
      <c r="AI613">
        <v>917.97</v>
      </c>
      <c r="AJ613">
        <v>3671.88</v>
      </c>
    </row>
    <row r="614" spans="1:36">
      <c r="A614" s="25">
        <v>45125</v>
      </c>
      <c r="B614" t="s">
        <v>1689</v>
      </c>
      <c r="C614" t="s">
        <v>1693</v>
      </c>
      <c r="D614" t="s">
        <v>1683</v>
      </c>
      <c r="E614" t="s">
        <v>1679</v>
      </c>
      <c r="F614" t="s">
        <v>97</v>
      </c>
      <c r="G614" t="s">
        <v>1697</v>
      </c>
      <c r="H614">
        <v>7</v>
      </c>
      <c r="I614">
        <v>3416.74</v>
      </c>
      <c r="J614">
        <v>23917.18</v>
      </c>
      <c r="AA614">
        <v>44972</v>
      </c>
      <c r="AB614" t="str">
        <v>Nishant</v>
      </c>
      <c r="AC614" t="str">
        <v>Mysuru</v>
      </c>
      <c r="AD614" t="str">
        <v>Karnataka</v>
      </c>
      <c r="AE614" t="str">
        <v>South</v>
      </c>
      <c r="AF614" t="str">
        <v>Stationery</v>
      </c>
      <c r="AG614" t="str">
        <v>Eraser</v>
      </c>
      <c r="AH614">
        <v>3</v>
      </c>
      <c r="AI614">
        <v>1133.19</v>
      </c>
      <c r="AJ614">
        <v>3399.57</v>
      </c>
    </row>
    <row r="615" spans="1:36">
      <c r="A615" s="25">
        <v>45111</v>
      </c>
      <c r="B615" t="s">
        <v>1692</v>
      </c>
      <c r="C615" t="s">
        <v>1693</v>
      </c>
      <c r="D615" t="s">
        <v>1683</v>
      </c>
      <c r="E615" t="s">
        <v>1679</v>
      </c>
      <c r="F615" t="s">
        <v>97</v>
      </c>
      <c r="G615" t="s">
        <v>1685</v>
      </c>
      <c r="H615">
        <v>9</v>
      </c>
      <c r="I615">
        <v>2210.8000000000002</v>
      </c>
      <c r="J615">
        <v>19897.2</v>
      </c>
      <c r="AA615">
        <v>45143</v>
      </c>
      <c r="AB615" t="str">
        <v>Ananya</v>
      </c>
      <c r="AC615" t="str">
        <v>Ahmedabad</v>
      </c>
      <c r="AD615" t="str">
        <v>Gujarat</v>
      </c>
      <c r="AE615" t="str">
        <v>West</v>
      </c>
      <c r="AF615" t="str">
        <v>Clothing</v>
      </c>
      <c r="AG615" t="str">
        <v>Dress</v>
      </c>
      <c r="AH615">
        <v>20</v>
      </c>
      <c r="AI615">
        <v>4428.59</v>
      </c>
      <c r="AJ615">
        <v>88571.8</v>
      </c>
    </row>
    <row r="616" spans="1:36">
      <c r="A616" s="25">
        <v>44963</v>
      </c>
      <c r="B616" t="s">
        <v>1681</v>
      </c>
      <c r="C616" t="s">
        <v>1693</v>
      </c>
      <c r="D616" t="s">
        <v>1683</v>
      </c>
      <c r="E616" t="s">
        <v>1679</v>
      </c>
      <c r="F616" t="s">
        <v>97</v>
      </c>
      <c r="G616" t="s">
        <v>1685</v>
      </c>
      <c r="H616">
        <v>18</v>
      </c>
      <c r="I616">
        <v>941.19</v>
      </c>
      <c r="J616">
        <v>16941.419999999998</v>
      </c>
      <c r="AA616">
        <v>44958</v>
      </c>
      <c r="AB616" t="str">
        <v>Aditi</v>
      </c>
      <c r="AC616" t="str">
        <v>Ahmedabad</v>
      </c>
      <c r="AD616" t="str">
        <v>Gujarat</v>
      </c>
      <c r="AE616" t="str">
        <v>West</v>
      </c>
      <c r="AF616" t="str">
        <v>Clothing</v>
      </c>
      <c r="AG616" t="str">
        <v>Dress</v>
      </c>
      <c r="AH616">
        <v>17</v>
      </c>
      <c r="AI616">
        <v>4247.5600000000004</v>
      </c>
      <c r="AJ616">
        <v>72208.52</v>
      </c>
    </row>
    <row r="617" spans="1:36">
      <c r="A617" s="25">
        <v>45283</v>
      </c>
      <c r="B617" t="s">
        <v>1671</v>
      </c>
      <c r="C617" t="s">
        <v>1693</v>
      </c>
      <c r="D617" t="s">
        <v>1683</v>
      </c>
      <c r="E617" t="s">
        <v>1679</v>
      </c>
      <c r="F617" t="s">
        <v>97</v>
      </c>
      <c r="G617" t="s">
        <v>1711</v>
      </c>
      <c r="H617">
        <v>14</v>
      </c>
      <c r="I617">
        <v>917.55</v>
      </c>
      <c r="J617">
        <v>12845.7</v>
      </c>
      <c r="AA617">
        <v>44940</v>
      </c>
      <c r="AB617" t="str">
        <v>Aryan</v>
      </c>
      <c r="AC617" t="str">
        <v>Ahmedabad</v>
      </c>
      <c r="AD617" t="str">
        <v>Gujarat</v>
      </c>
      <c r="AE617" t="str">
        <v>West</v>
      </c>
      <c r="AF617" t="str">
        <v>Clothing</v>
      </c>
      <c r="AG617" t="str">
        <v>Dress</v>
      </c>
      <c r="AH617">
        <v>20</v>
      </c>
      <c r="AI617">
        <v>2974.89</v>
      </c>
      <c r="AJ617">
        <v>59497.8</v>
      </c>
    </row>
    <row r="618" spans="1:36">
      <c r="A618" s="25">
        <v>45043</v>
      </c>
      <c r="B618" t="s">
        <v>1689</v>
      </c>
      <c r="C618" t="s">
        <v>1693</v>
      </c>
      <c r="D618" t="s">
        <v>1683</v>
      </c>
      <c r="E618" t="s">
        <v>1679</v>
      </c>
      <c r="F618" t="s">
        <v>97</v>
      </c>
      <c r="G618" t="s">
        <v>1711</v>
      </c>
      <c r="H618">
        <v>6</v>
      </c>
      <c r="I618">
        <v>2069.96</v>
      </c>
      <c r="J618">
        <v>12419.76</v>
      </c>
      <c r="AA618">
        <v>44996</v>
      </c>
      <c r="AB618" t="str">
        <v>Ananya</v>
      </c>
      <c r="AC618" t="str">
        <v>Ahmedabad</v>
      </c>
      <c r="AD618" t="str">
        <v>Gujarat</v>
      </c>
      <c r="AE618" t="str">
        <v>West</v>
      </c>
      <c r="AF618" t="str">
        <v>Clothing</v>
      </c>
      <c r="AG618" t="str">
        <v>Dress</v>
      </c>
      <c r="AH618">
        <v>20</v>
      </c>
      <c r="AI618">
        <v>1690.56</v>
      </c>
      <c r="AJ618">
        <v>33811.199999999997</v>
      </c>
    </row>
    <row r="619" spans="1:36">
      <c r="A619" s="25">
        <v>45043</v>
      </c>
      <c r="B619" t="s">
        <v>1686</v>
      </c>
      <c r="C619" t="s">
        <v>1693</v>
      </c>
      <c r="D619" t="s">
        <v>1683</v>
      </c>
      <c r="E619" t="s">
        <v>1679</v>
      </c>
      <c r="F619" t="s">
        <v>97</v>
      </c>
      <c r="G619" t="s">
        <v>1697</v>
      </c>
      <c r="H619">
        <v>4</v>
      </c>
      <c r="I619">
        <v>3087.87</v>
      </c>
      <c r="J619">
        <v>12351.48</v>
      </c>
      <c r="AA619">
        <v>45283</v>
      </c>
      <c r="AB619" t="str">
        <v>Meera</v>
      </c>
      <c r="AC619" t="str">
        <v>Ahmedabad</v>
      </c>
      <c r="AD619" t="str">
        <v>Gujarat</v>
      </c>
      <c r="AE619" t="str">
        <v>West</v>
      </c>
      <c r="AF619" t="str">
        <v>Clothing</v>
      </c>
      <c r="AG619" t="str">
        <v>Pants</v>
      </c>
      <c r="AH619">
        <v>19</v>
      </c>
      <c r="AI619">
        <v>1317.72</v>
      </c>
      <c r="AJ619">
        <v>25036.68</v>
      </c>
    </row>
    <row r="620" spans="1:36">
      <c r="A620" s="25">
        <v>45253</v>
      </c>
      <c r="B620" t="s">
        <v>1694</v>
      </c>
      <c r="C620" t="s">
        <v>1693</v>
      </c>
      <c r="D620" t="s">
        <v>1683</v>
      </c>
      <c r="E620" t="s">
        <v>1679</v>
      </c>
      <c r="F620" t="s">
        <v>97</v>
      </c>
      <c r="G620" t="s">
        <v>1699</v>
      </c>
      <c r="H620">
        <v>2</v>
      </c>
      <c r="I620">
        <v>3313.63</v>
      </c>
      <c r="J620">
        <v>6627.26</v>
      </c>
      <c r="AA620">
        <v>44999</v>
      </c>
      <c r="AB620" t="str">
        <v>Aditi</v>
      </c>
      <c r="AC620" t="str">
        <v>Ahmedabad</v>
      </c>
      <c r="AD620" t="str">
        <v>Gujarat</v>
      </c>
      <c r="AE620" t="str">
        <v>West</v>
      </c>
      <c r="AF620" t="str">
        <v>Clothing</v>
      </c>
      <c r="AG620" t="str">
        <v>Dress</v>
      </c>
      <c r="AH620">
        <v>5</v>
      </c>
      <c r="AI620">
        <v>4686.67</v>
      </c>
      <c r="AJ620">
        <v>23433.35</v>
      </c>
    </row>
    <row r="621" spans="1:36">
      <c r="A621" s="25">
        <v>45091</v>
      </c>
      <c r="B621" t="s">
        <v>1671</v>
      </c>
      <c r="C621" t="s">
        <v>1693</v>
      </c>
      <c r="D621" t="s">
        <v>1683</v>
      </c>
      <c r="E621" t="s">
        <v>1679</v>
      </c>
      <c r="F621" t="s">
        <v>97</v>
      </c>
      <c r="G621" t="s">
        <v>1699</v>
      </c>
      <c r="H621">
        <v>8</v>
      </c>
      <c r="I621">
        <v>565.82000000000005</v>
      </c>
      <c r="J621">
        <v>4526.5600000000004</v>
      </c>
      <c r="AA621">
        <v>45249</v>
      </c>
      <c r="AB621" t="str">
        <v>Meera</v>
      </c>
      <c r="AC621" t="str">
        <v>Ahmedabad</v>
      </c>
      <c r="AD621" t="str">
        <v>Gujarat</v>
      </c>
      <c r="AE621" t="str">
        <v>West</v>
      </c>
      <c r="AF621" t="str">
        <v>Clothing</v>
      </c>
      <c r="AG621" t="str">
        <v>Jacket</v>
      </c>
      <c r="AH621">
        <v>13</v>
      </c>
      <c r="AI621">
        <v>1762.69</v>
      </c>
      <c r="AJ621">
        <v>22914.97</v>
      </c>
    </row>
    <row r="622" spans="1:36">
      <c r="A622" s="25">
        <v>45123</v>
      </c>
      <c r="B622" t="s">
        <v>1681</v>
      </c>
      <c r="C622" t="s">
        <v>1693</v>
      </c>
      <c r="D622" t="s">
        <v>1683</v>
      </c>
      <c r="E622" t="s">
        <v>1679</v>
      </c>
      <c r="F622" t="s">
        <v>97</v>
      </c>
      <c r="G622" t="s">
        <v>1685</v>
      </c>
      <c r="H622">
        <v>3</v>
      </c>
      <c r="I622">
        <v>1129.8800000000001</v>
      </c>
      <c r="J622">
        <v>3389.64</v>
      </c>
      <c r="AA622">
        <v>45115</v>
      </c>
      <c r="AB622" t="str">
        <v>Riya</v>
      </c>
      <c r="AC622" t="str">
        <v>Ahmedabad</v>
      </c>
      <c r="AD622" t="str">
        <v>Gujarat</v>
      </c>
      <c r="AE622" t="str">
        <v>West</v>
      </c>
      <c r="AF622" t="str">
        <v>Clothing</v>
      </c>
      <c r="AG622" t="str">
        <v>Pants</v>
      </c>
      <c r="AH622">
        <v>12</v>
      </c>
      <c r="AI622">
        <v>1804.27</v>
      </c>
      <c r="AJ622">
        <v>21651.24</v>
      </c>
    </row>
    <row r="623" spans="1:36">
      <c r="A623" s="25">
        <v>45172</v>
      </c>
      <c r="B623" t="s">
        <v>1700</v>
      </c>
      <c r="C623" t="s">
        <v>1693</v>
      </c>
      <c r="D623" t="s">
        <v>1683</v>
      </c>
      <c r="E623" t="s">
        <v>1679</v>
      </c>
      <c r="F623" t="s">
        <v>89</v>
      </c>
      <c r="G623" t="s">
        <v>1106</v>
      </c>
      <c r="H623">
        <v>8</v>
      </c>
      <c r="I623">
        <v>4649.3500000000004</v>
      </c>
      <c r="J623">
        <v>37194.800000000003</v>
      </c>
      <c r="AA623">
        <v>44952</v>
      </c>
      <c r="AB623" t="str">
        <v>Aryan</v>
      </c>
      <c r="AC623" t="str">
        <v>Ahmedabad</v>
      </c>
      <c r="AD623" t="str">
        <v>Gujarat</v>
      </c>
      <c r="AE623" t="str">
        <v>West</v>
      </c>
      <c r="AF623" t="str">
        <v>Clothing</v>
      </c>
      <c r="AG623" t="str">
        <v>Shirt</v>
      </c>
      <c r="AH623">
        <v>20</v>
      </c>
      <c r="AI623">
        <v>1027.53</v>
      </c>
      <c r="AJ623">
        <v>20550.599999999999</v>
      </c>
    </row>
    <row r="624" spans="1:36">
      <c r="A624" s="25">
        <v>44956</v>
      </c>
      <c r="B624" t="s">
        <v>1671</v>
      </c>
      <c r="C624" t="s">
        <v>1693</v>
      </c>
      <c r="D624" t="s">
        <v>1683</v>
      </c>
      <c r="E624" t="s">
        <v>1679</v>
      </c>
      <c r="F624" t="s">
        <v>89</v>
      </c>
      <c r="G624" t="s">
        <v>1713</v>
      </c>
      <c r="H624">
        <v>14</v>
      </c>
      <c r="I624">
        <v>2535.08</v>
      </c>
      <c r="J624">
        <v>35491.120000000003</v>
      </c>
      <c r="AA624">
        <v>45277</v>
      </c>
      <c r="AB624" t="str">
        <v>Vihaan</v>
      </c>
      <c r="AC624" t="str">
        <v>Ahmedabad</v>
      </c>
      <c r="AD624" t="str">
        <v>Gujarat</v>
      </c>
      <c r="AE624" t="str">
        <v>West</v>
      </c>
      <c r="AF624" t="str">
        <v>Clothing</v>
      </c>
      <c r="AG624" t="str">
        <v>Pants</v>
      </c>
      <c r="AH624">
        <v>4</v>
      </c>
      <c r="AI624">
        <v>4412.41</v>
      </c>
      <c r="AJ624">
        <v>17649.64</v>
      </c>
    </row>
    <row r="625" spans="1:36">
      <c r="A625" s="25">
        <v>45067</v>
      </c>
      <c r="B625" t="s">
        <v>1692</v>
      </c>
      <c r="C625" t="s">
        <v>1693</v>
      </c>
      <c r="D625" t="s">
        <v>1683</v>
      </c>
      <c r="E625" t="s">
        <v>1679</v>
      </c>
      <c r="F625" t="s">
        <v>89</v>
      </c>
      <c r="G625" t="s">
        <v>1713</v>
      </c>
      <c r="H625">
        <v>18</v>
      </c>
      <c r="I625">
        <v>1745.63</v>
      </c>
      <c r="J625">
        <v>31421.34</v>
      </c>
      <c r="AA625">
        <v>45021</v>
      </c>
      <c r="AB625" t="str">
        <v>Meera</v>
      </c>
      <c r="AC625" t="str">
        <v>Ahmedabad</v>
      </c>
      <c r="AD625" t="str">
        <v>Gujarat</v>
      </c>
      <c r="AE625" t="str">
        <v>West</v>
      </c>
      <c r="AF625" t="str">
        <v>Clothing</v>
      </c>
      <c r="AG625" t="str">
        <v>Pants</v>
      </c>
      <c r="AH625">
        <v>4</v>
      </c>
      <c r="AI625">
        <v>3300.36</v>
      </c>
      <c r="AJ625">
        <v>13201.44</v>
      </c>
    </row>
    <row r="626" spans="1:36">
      <c r="A626" s="25">
        <v>45281</v>
      </c>
      <c r="B626" t="s">
        <v>1681</v>
      </c>
      <c r="C626" t="s">
        <v>1693</v>
      </c>
      <c r="D626" t="s">
        <v>1683</v>
      </c>
      <c r="E626" t="s">
        <v>1679</v>
      </c>
      <c r="F626" t="s">
        <v>89</v>
      </c>
      <c r="G626" t="s">
        <v>1105</v>
      </c>
      <c r="H626">
        <v>7</v>
      </c>
      <c r="I626">
        <v>4023.6</v>
      </c>
      <c r="J626">
        <v>28165.200000000001</v>
      </c>
      <c r="AA626">
        <v>45030</v>
      </c>
      <c r="AB626" t="str">
        <v>Aarav</v>
      </c>
      <c r="AC626" t="str">
        <v>Ahmedabad</v>
      </c>
      <c r="AD626" t="str">
        <v>Gujarat</v>
      </c>
      <c r="AE626" t="str">
        <v>West</v>
      </c>
      <c r="AF626" t="str">
        <v>Clothing</v>
      </c>
      <c r="AG626" t="str">
        <v>Dress</v>
      </c>
      <c r="AH626">
        <v>4</v>
      </c>
      <c r="AI626">
        <v>1906.89</v>
      </c>
      <c r="AJ626">
        <v>7627.56</v>
      </c>
    </row>
    <row r="627" spans="1:36">
      <c r="A627" s="25">
        <v>45082</v>
      </c>
      <c r="B627" t="s">
        <v>1689</v>
      </c>
      <c r="C627" t="s">
        <v>1693</v>
      </c>
      <c r="D627" t="s">
        <v>1683</v>
      </c>
      <c r="E627" t="s">
        <v>1679</v>
      </c>
      <c r="F627" t="s">
        <v>89</v>
      </c>
      <c r="G627" t="s">
        <v>1106</v>
      </c>
      <c r="H627">
        <v>5</v>
      </c>
      <c r="I627">
        <v>4773.5600000000004</v>
      </c>
      <c r="J627">
        <v>23867.8</v>
      </c>
      <c r="AA627">
        <v>45283</v>
      </c>
      <c r="AB627" t="str">
        <v>Riya</v>
      </c>
      <c r="AC627" t="str">
        <v>Ahmedabad</v>
      </c>
      <c r="AD627" t="str">
        <v>Gujarat</v>
      </c>
      <c r="AE627" t="str">
        <v>West</v>
      </c>
      <c r="AF627" t="str">
        <v>Clothing</v>
      </c>
      <c r="AG627" t="str">
        <v>Dress</v>
      </c>
      <c r="AH627">
        <v>5</v>
      </c>
      <c r="AI627">
        <v>967.6</v>
      </c>
      <c r="AJ627">
        <v>4838</v>
      </c>
    </row>
    <row r="628" spans="1:36">
      <c r="A628" s="25">
        <v>45224</v>
      </c>
      <c r="B628" t="s">
        <v>1694</v>
      </c>
      <c r="C628" t="s">
        <v>1693</v>
      </c>
      <c r="D628" t="s">
        <v>1683</v>
      </c>
      <c r="E628" t="s">
        <v>1679</v>
      </c>
      <c r="F628" t="s">
        <v>89</v>
      </c>
      <c r="G628" t="s">
        <v>1713</v>
      </c>
      <c r="H628">
        <v>15</v>
      </c>
      <c r="I628">
        <v>1450.75</v>
      </c>
      <c r="J628">
        <v>21761.25</v>
      </c>
      <c r="AA628">
        <v>45262</v>
      </c>
      <c r="AB628" t="str">
        <v>Aryan</v>
      </c>
      <c r="AC628" t="str">
        <v>Ahmedabad</v>
      </c>
      <c r="AD628" t="str">
        <v>Gujarat</v>
      </c>
      <c r="AE628" t="str">
        <v>West</v>
      </c>
      <c r="AF628" t="str">
        <v>Clothing</v>
      </c>
      <c r="AG628" t="str">
        <v>Dress</v>
      </c>
      <c r="AH628">
        <v>14</v>
      </c>
      <c r="AI628">
        <v>148.43</v>
      </c>
      <c r="AJ628">
        <v>2078.02</v>
      </c>
    </row>
    <row r="629" spans="1:36">
      <c r="A629" s="25">
        <v>45148</v>
      </c>
      <c r="B629" t="s">
        <v>1676</v>
      </c>
      <c r="C629" t="s">
        <v>1693</v>
      </c>
      <c r="D629" t="s">
        <v>1683</v>
      </c>
      <c r="E629" t="s">
        <v>1679</v>
      </c>
      <c r="F629" t="s">
        <v>89</v>
      </c>
      <c r="G629" t="s">
        <v>1105</v>
      </c>
      <c r="H629">
        <v>8</v>
      </c>
      <c r="I629">
        <v>2518.13</v>
      </c>
      <c r="J629">
        <v>20145.04</v>
      </c>
      <c r="AA629">
        <v>44972</v>
      </c>
      <c r="AB629" t="str">
        <v>Vihaan</v>
      </c>
      <c r="AC629" t="str">
        <v>Ahmedabad</v>
      </c>
      <c r="AD629" t="str">
        <v>Gujarat</v>
      </c>
      <c r="AE629" t="str">
        <v>West</v>
      </c>
      <c r="AF629" t="str">
        <v>Electronics</v>
      </c>
      <c r="AG629" t="str">
        <v>Laptop</v>
      </c>
      <c r="AH629">
        <v>19</v>
      </c>
      <c r="AI629">
        <v>4896.3100000000004</v>
      </c>
      <c r="AJ629">
        <v>93029.89</v>
      </c>
    </row>
    <row r="630" spans="1:36">
      <c r="A630" s="25">
        <v>45050</v>
      </c>
      <c r="B630" t="s">
        <v>1692</v>
      </c>
      <c r="C630" t="s">
        <v>1693</v>
      </c>
      <c r="D630" t="s">
        <v>1683</v>
      </c>
      <c r="E630" t="s">
        <v>1679</v>
      </c>
      <c r="F630" t="s">
        <v>89</v>
      </c>
      <c r="G630" t="s">
        <v>1713</v>
      </c>
      <c r="H630">
        <v>4</v>
      </c>
      <c r="I630">
        <v>4968.93</v>
      </c>
      <c r="J630">
        <v>19875.72</v>
      </c>
      <c r="AA630">
        <v>45091</v>
      </c>
      <c r="AB630" t="str">
        <v>Vihaan</v>
      </c>
      <c r="AC630" t="str">
        <v>Ahmedabad</v>
      </c>
      <c r="AD630" t="str">
        <v>Gujarat</v>
      </c>
      <c r="AE630" t="str">
        <v>West</v>
      </c>
      <c r="AF630" t="str">
        <v>Electronics</v>
      </c>
      <c r="AG630" t="str">
        <v>Laptop</v>
      </c>
      <c r="AH630">
        <v>15</v>
      </c>
      <c r="AI630">
        <v>4180.6099999999997</v>
      </c>
      <c r="AJ630">
        <v>62709.15</v>
      </c>
    </row>
    <row r="631" spans="1:36">
      <c r="A631" s="25">
        <v>45018</v>
      </c>
      <c r="B631" t="s">
        <v>1698</v>
      </c>
      <c r="C631" t="s">
        <v>1693</v>
      </c>
      <c r="D631" t="s">
        <v>1683</v>
      </c>
      <c r="E631" t="s">
        <v>1679</v>
      </c>
      <c r="F631" t="s">
        <v>89</v>
      </c>
      <c r="G631" t="s">
        <v>1105</v>
      </c>
      <c r="H631">
        <v>14</v>
      </c>
      <c r="I631">
        <v>1247.48</v>
      </c>
      <c r="J631">
        <v>17464.72</v>
      </c>
      <c r="AA631">
        <v>44956</v>
      </c>
      <c r="AB631" t="str">
        <v>Aryan</v>
      </c>
      <c r="AC631" t="str">
        <v>Ahmedabad</v>
      </c>
      <c r="AD631" t="str">
        <v>Gujarat</v>
      </c>
      <c r="AE631" t="str">
        <v>West</v>
      </c>
      <c r="AF631" t="str">
        <v>Electronics</v>
      </c>
      <c r="AG631" t="str">
        <v>Smartphone</v>
      </c>
      <c r="AH631">
        <v>18</v>
      </c>
      <c r="AI631">
        <v>3238.98</v>
      </c>
      <c r="AJ631">
        <v>58301.64</v>
      </c>
    </row>
    <row r="632" spans="1:36">
      <c r="A632" s="25">
        <v>45003</v>
      </c>
      <c r="B632" t="s">
        <v>1689</v>
      </c>
      <c r="C632" t="s">
        <v>1693</v>
      </c>
      <c r="D632" t="s">
        <v>1683</v>
      </c>
      <c r="E632" t="s">
        <v>1679</v>
      </c>
      <c r="F632" t="s">
        <v>89</v>
      </c>
      <c r="G632" t="s">
        <v>1713</v>
      </c>
      <c r="H632">
        <v>5</v>
      </c>
      <c r="I632">
        <v>3058.74</v>
      </c>
      <c r="J632">
        <v>15293.7</v>
      </c>
      <c r="AA632">
        <v>45251</v>
      </c>
      <c r="AB632" t="str">
        <v>Meera</v>
      </c>
      <c r="AC632" t="str">
        <v>Ahmedabad</v>
      </c>
      <c r="AD632" t="str">
        <v>Gujarat</v>
      </c>
      <c r="AE632" t="str">
        <v>West</v>
      </c>
      <c r="AF632" t="str">
        <v>Electronics</v>
      </c>
      <c r="AG632" t="str">
        <v>Tablet</v>
      </c>
      <c r="AH632">
        <v>11</v>
      </c>
      <c r="AI632">
        <v>4315</v>
      </c>
      <c r="AJ632">
        <v>47465</v>
      </c>
    </row>
    <row r="633" spans="1:36">
      <c r="A633" s="25">
        <v>45270</v>
      </c>
      <c r="B633" t="s">
        <v>1700</v>
      </c>
      <c r="C633" t="s">
        <v>1693</v>
      </c>
      <c r="D633" t="s">
        <v>1683</v>
      </c>
      <c r="E633" t="s">
        <v>1679</v>
      </c>
      <c r="F633" t="s">
        <v>89</v>
      </c>
      <c r="G633" t="s">
        <v>1105</v>
      </c>
      <c r="H633">
        <v>9</v>
      </c>
      <c r="I633">
        <v>1694.83</v>
      </c>
      <c r="J633">
        <v>15253.47</v>
      </c>
      <c r="AA633">
        <v>45185</v>
      </c>
      <c r="AB633" t="str">
        <v>Aditi</v>
      </c>
      <c r="AC633" t="str">
        <v>Ahmedabad</v>
      </c>
      <c r="AD633" t="str">
        <v>Gujarat</v>
      </c>
      <c r="AE633" t="str">
        <v>West</v>
      </c>
      <c r="AF633" t="str">
        <v>Electronics</v>
      </c>
      <c r="AG633" t="str">
        <v>Smartphone</v>
      </c>
      <c r="AH633">
        <v>10</v>
      </c>
      <c r="AI633">
        <v>3829.38</v>
      </c>
      <c r="AJ633">
        <v>38293.800000000003</v>
      </c>
    </row>
    <row r="634" spans="1:36">
      <c r="A634" s="25">
        <v>44929</v>
      </c>
      <c r="B634" t="s">
        <v>1676</v>
      </c>
      <c r="C634" t="s">
        <v>1693</v>
      </c>
      <c r="D634" t="s">
        <v>1683</v>
      </c>
      <c r="E634" t="s">
        <v>1679</v>
      </c>
      <c r="F634" t="s">
        <v>89</v>
      </c>
      <c r="G634" t="s">
        <v>1714</v>
      </c>
      <c r="H634">
        <v>3</v>
      </c>
      <c r="I634">
        <v>4908.74</v>
      </c>
      <c r="J634">
        <v>14726.22</v>
      </c>
      <c r="AA634">
        <v>45195</v>
      </c>
      <c r="AB634" t="str">
        <v>Ishita</v>
      </c>
      <c r="AC634" t="str">
        <v>Ahmedabad</v>
      </c>
      <c r="AD634" t="str">
        <v>Gujarat</v>
      </c>
      <c r="AE634" t="str">
        <v>West</v>
      </c>
      <c r="AF634" t="str">
        <v>Electronics</v>
      </c>
      <c r="AG634" t="str">
        <v>Tablet</v>
      </c>
      <c r="AH634">
        <v>14</v>
      </c>
      <c r="AI634">
        <v>2251.87</v>
      </c>
      <c r="AJ634">
        <v>31526.18</v>
      </c>
    </row>
    <row r="635" spans="1:36">
      <c r="A635" s="25">
        <v>45047</v>
      </c>
      <c r="B635" t="s">
        <v>1692</v>
      </c>
      <c r="C635" t="s">
        <v>1693</v>
      </c>
      <c r="D635" t="s">
        <v>1683</v>
      </c>
      <c r="E635" t="s">
        <v>1679</v>
      </c>
      <c r="F635" t="s">
        <v>89</v>
      </c>
      <c r="G635" t="s">
        <v>1105</v>
      </c>
      <c r="H635">
        <v>5</v>
      </c>
      <c r="I635">
        <v>2196.9899999999998</v>
      </c>
      <c r="J635">
        <v>10984.95</v>
      </c>
      <c r="AA635">
        <v>45098</v>
      </c>
      <c r="AB635" t="str">
        <v>Vihaan</v>
      </c>
      <c r="AC635" t="str">
        <v>Ahmedabad</v>
      </c>
      <c r="AD635" t="str">
        <v>Gujarat</v>
      </c>
      <c r="AE635" t="str">
        <v>West</v>
      </c>
      <c r="AF635" t="str">
        <v>Electronics</v>
      </c>
      <c r="AG635" t="str">
        <v>Headphones</v>
      </c>
      <c r="AH635">
        <v>16</v>
      </c>
      <c r="AI635">
        <v>1426.64</v>
      </c>
      <c r="AJ635">
        <v>22826.240000000002</v>
      </c>
    </row>
    <row r="636" spans="1:36">
      <c r="A636" s="25">
        <v>45004</v>
      </c>
      <c r="B636" t="s">
        <v>1698</v>
      </c>
      <c r="C636" t="s">
        <v>1693</v>
      </c>
      <c r="D636" t="s">
        <v>1683</v>
      </c>
      <c r="E636" t="s">
        <v>1679</v>
      </c>
      <c r="F636" t="s">
        <v>89</v>
      </c>
      <c r="G636" t="s">
        <v>1106</v>
      </c>
      <c r="H636">
        <v>2</v>
      </c>
      <c r="I636">
        <v>3830.39</v>
      </c>
      <c r="J636">
        <v>7660.78</v>
      </c>
      <c r="AA636">
        <v>45225</v>
      </c>
      <c r="AB636" t="str">
        <v>Aditi</v>
      </c>
      <c r="AC636" t="str">
        <v>Ahmedabad</v>
      </c>
      <c r="AD636" t="str">
        <v>Gujarat</v>
      </c>
      <c r="AE636" t="str">
        <v>West</v>
      </c>
      <c r="AF636" t="str">
        <v>Electronics</v>
      </c>
      <c r="AG636" t="str">
        <v>Smartphone</v>
      </c>
      <c r="AH636">
        <v>4</v>
      </c>
      <c r="AI636">
        <v>4778.2299999999996</v>
      </c>
      <c r="AJ636">
        <v>19112.919999999998</v>
      </c>
    </row>
    <row r="637" spans="1:36">
      <c r="A637" s="25">
        <v>45122</v>
      </c>
      <c r="B637" t="s">
        <v>1705</v>
      </c>
      <c r="C637" t="s">
        <v>1693</v>
      </c>
      <c r="D637" t="s">
        <v>1683</v>
      </c>
      <c r="E637" t="s">
        <v>1679</v>
      </c>
      <c r="F637" t="s">
        <v>89</v>
      </c>
      <c r="G637" t="s">
        <v>1106</v>
      </c>
      <c r="H637">
        <v>4</v>
      </c>
      <c r="I637">
        <v>894.64</v>
      </c>
      <c r="J637">
        <v>3578.56</v>
      </c>
      <c r="AA637">
        <v>45131</v>
      </c>
      <c r="AB637" t="str">
        <v>Riya</v>
      </c>
      <c r="AC637" t="str">
        <v>Ahmedabad</v>
      </c>
      <c r="AD637" t="str">
        <v>Gujarat</v>
      </c>
      <c r="AE637" t="str">
        <v>West</v>
      </c>
      <c r="AF637" t="str">
        <v>Electronics</v>
      </c>
      <c r="AG637" t="str">
        <v>Laptop</v>
      </c>
      <c r="AH637">
        <v>4</v>
      </c>
      <c r="AI637">
        <v>3751.49</v>
      </c>
      <c r="AJ637">
        <v>15005.96</v>
      </c>
    </row>
    <row r="638" spans="1:36">
      <c r="A638" s="25">
        <v>45070</v>
      </c>
      <c r="B638" t="s">
        <v>1692</v>
      </c>
      <c r="C638" t="s">
        <v>1693</v>
      </c>
      <c r="D638" t="s">
        <v>1683</v>
      </c>
      <c r="E638" t="s">
        <v>1679</v>
      </c>
      <c r="F638" t="s">
        <v>89</v>
      </c>
      <c r="G638" t="s">
        <v>1106</v>
      </c>
      <c r="H638">
        <v>1</v>
      </c>
      <c r="I638">
        <v>3382.37</v>
      </c>
      <c r="J638">
        <v>3382.37</v>
      </c>
      <c r="AA638">
        <v>45089</v>
      </c>
      <c r="AB638" t="str">
        <v>Ananya</v>
      </c>
      <c r="AC638" t="str">
        <v>Ahmedabad</v>
      </c>
      <c r="AD638" t="str">
        <v>Gujarat</v>
      </c>
      <c r="AE638" t="str">
        <v>West</v>
      </c>
      <c r="AF638" t="str">
        <v>Electronics</v>
      </c>
      <c r="AG638" t="str">
        <v>Laptop</v>
      </c>
      <c r="AH638">
        <v>14</v>
      </c>
      <c r="AI638">
        <v>1049.21</v>
      </c>
      <c r="AJ638">
        <v>14688.94</v>
      </c>
    </row>
    <row r="639" spans="1:36">
      <c r="A639" s="25">
        <v>45036</v>
      </c>
      <c r="B639" t="s">
        <v>1692</v>
      </c>
      <c r="C639" t="s">
        <v>1693</v>
      </c>
      <c r="D639" t="s">
        <v>1683</v>
      </c>
      <c r="E639" t="s">
        <v>1679</v>
      </c>
      <c r="F639" t="s">
        <v>89</v>
      </c>
      <c r="G639" t="s">
        <v>1713</v>
      </c>
      <c r="H639">
        <v>2</v>
      </c>
      <c r="I639">
        <v>1207.92</v>
      </c>
      <c r="J639">
        <v>2415.84</v>
      </c>
      <c r="AA639">
        <v>45270</v>
      </c>
      <c r="AB639" t="str">
        <v>Vihaan</v>
      </c>
      <c r="AC639" t="str">
        <v>Ahmedabad</v>
      </c>
      <c r="AD639" t="str">
        <v>Gujarat</v>
      </c>
      <c r="AE639" t="str">
        <v>West</v>
      </c>
      <c r="AF639" t="str">
        <v>Electronics</v>
      </c>
      <c r="AG639" t="str">
        <v>Laptop</v>
      </c>
      <c r="AH639">
        <v>11</v>
      </c>
      <c r="AI639">
        <v>941.97</v>
      </c>
      <c r="AJ639">
        <v>10361.67</v>
      </c>
    </row>
    <row r="640" spans="1:36">
      <c r="A640" s="25">
        <v>45042</v>
      </c>
      <c r="B640" t="s">
        <v>1681</v>
      </c>
      <c r="C640" t="s">
        <v>1693</v>
      </c>
      <c r="D640" t="s">
        <v>1683</v>
      </c>
      <c r="E640" t="s">
        <v>1679</v>
      </c>
      <c r="F640" t="s">
        <v>101</v>
      </c>
      <c r="G640" t="s">
        <v>1709</v>
      </c>
      <c r="H640">
        <v>20</v>
      </c>
      <c r="I640">
        <v>4365.58</v>
      </c>
      <c r="J640">
        <v>87311.6</v>
      </c>
      <c r="AA640">
        <v>45285</v>
      </c>
      <c r="AB640" t="str">
        <v>Aditi</v>
      </c>
      <c r="AC640" t="str">
        <v>Ahmedabad</v>
      </c>
      <c r="AD640" t="str">
        <v>Gujarat</v>
      </c>
      <c r="AE640" t="str">
        <v>West</v>
      </c>
      <c r="AF640" t="str">
        <v>Electronics</v>
      </c>
      <c r="AG640" t="str">
        <v>Tablet</v>
      </c>
      <c r="AH640">
        <v>2</v>
      </c>
      <c r="AI640">
        <v>4081.92</v>
      </c>
      <c r="AJ640">
        <v>8163.84</v>
      </c>
    </row>
    <row r="641" spans="1:36">
      <c r="A641" s="25">
        <v>44953</v>
      </c>
      <c r="B641" t="s">
        <v>1705</v>
      </c>
      <c r="C641" t="s">
        <v>1693</v>
      </c>
      <c r="D641" t="s">
        <v>1683</v>
      </c>
      <c r="E641" t="s">
        <v>1679</v>
      </c>
      <c r="F641" t="s">
        <v>101</v>
      </c>
      <c r="G641" t="s">
        <v>1709</v>
      </c>
      <c r="H641">
        <v>16</v>
      </c>
      <c r="I641">
        <v>4008.72</v>
      </c>
      <c r="J641">
        <v>64139.519999999997</v>
      </c>
      <c r="AA641">
        <v>45163</v>
      </c>
      <c r="AB641" t="str">
        <v>Kabir</v>
      </c>
      <c r="AC641" t="str">
        <v>Ahmedabad</v>
      </c>
      <c r="AD641" t="str">
        <v>Gujarat</v>
      </c>
      <c r="AE641" t="str">
        <v>West</v>
      </c>
      <c r="AF641" t="str">
        <v>Electronics</v>
      </c>
      <c r="AG641" t="str">
        <v>Laptop</v>
      </c>
      <c r="AH641">
        <v>6</v>
      </c>
      <c r="AI641">
        <v>1212.76</v>
      </c>
      <c r="AJ641">
        <v>7276.56</v>
      </c>
    </row>
    <row r="642" spans="1:36">
      <c r="A642" s="25">
        <v>45152</v>
      </c>
      <c r="B642" t="s">
        <v>1686</v>
      </c>
      <c r="C642" t="s">
        <v>1693</v>
      </c>
      <c r="D642" t="s">
        <v>1683</v>
      </c>
      <c r="E642" t="s">
        <v>1679</v>
      </c>
      <c r="F642" t="s">
        <v>101</v>
      </c>
      <c r="G642" t="s">
        <v>1715</v>
      </c>
      <c r="H642">
        <v>20</v>
      </c>
      <c r="I642">
        <v>2791.25</v>
      </c>
      <c r="J642">
        <v>55825</v>
      </c>
      <c r="AA642">
        <v>44932</v>
      </c>
      <c r="AB642" t="str">
        <v>Aryan</v>
      </c>
      <c r="AC642" t="str">
        <v>Ahmedabad</v>
      </c>
      <c r="AD642" t="str">
        <v>Gujarat</v>
      </c>
      <c r="AE642" t="str">
        <v>West</v>
      </c>
      <c r="AF642" t="str">
        <v>Electronics</v>
      </c>
      <c r="AG642" t="str">
        <v>Laptop</v>
      </c>
      <c r="AH642">
        <v>15</v>
      </c>
      <c r="AI642">
        <v>447.71</v>
      </c>
      <c r="AJ642">
        <v>6715.65</v>
      </c>
    </row>
    <row r="643" spans="1:36">
      <c r="A643" s="25">
        <v>45255</v>
      </c>
      <c r="B643" t="s">
        <v>1689</v>
      </c>
      <c r="C643" t="s">
        <v>1693</v>
      </c>
      <c r="D643" t="s">
        <v>1683</v>
      </c>
      <c r="E643" t="s">
        <v>1679</v>
      </c>
      <c r="F643" t="s">
        <v>101</v>
      </c>
      <c r="G643" t="s">
        <v>1719</v>
      </c>
      <c r="H643">
        <v>18</v>
      </c>
      <c r="I643">
        <v>2658.57</v>
      </c>
      <c r="J643">
        <v>47854.26</v>
      </c>
      <c r="AA643">
        <v>44970</v>
      </c>
      <c r="AB643" t="str">
        <v>Aditi</v>
      </c>
      <c r="AC643" t="str">
        <v>Ahmedabad</v>
      </c>
      <c r="AD643" t="str">
        <v>Gujarat</v>
      </c>
      <c r="AE643" t="str">
        <v>West</v>
      </c>
      <c r="AF643" t="str">
        <v>Electronics</v>
      </c>
      <c r="AG643" t="str">
        <v>Laptop</v>
      </c>
      <c r="AH643">
        <v>11</v>
      </c>
      <c r="AI643">
        <v>490.34</v>
      </c>
      <c r="AJ643">
        <v>5393.74</v>
      </c>
    </row>
    <row r="644" spans="1:36">
      <c r="A644" s="25">
        <v>44996</v>
      </c>
      <c r="B644" t="s">
        <v>1676</v>
      </c>
      <c r="C644" t="s">
        <v>1693</v>
      </c>
      <c r="D644" t="s">
        <v>1683</v>
      </c>
      <c r="E644" t="s">
        <v>1679</v>
      </c>
      <c r="F644" t="s">
        <v>101</v>
      </c>
      <c r="G644" t="s">
        <v>1715</v>
      </c>
      <c r="H644">
        <v>18</v>
      </c>
      <c r="I644">
        <v>2231.56</v>
      </c>
      <c r="J644">
        <v>40168.080000000002</v>
      </c>
      <c r="AA644">
        <v>45116</v>
      </c>
      <c r="AB644" t="str">
        <v>Ananya</v>
      </c>
      <c r="AC644" t="str">
        <v>Ahmedabad</v>
      </c>
      <c r="AD644" t="str">
        <v>Gujarat</v>
      </c>
      <c r="AE644" t="str">
        <v>West</v>
      </c>
      <c r="AF644" t="str">
        <v>Electronics</v>
      </c>
      <c r="AG644" t="str">
        <v>Laptop</v>
      </c>
      <c r="AH644">
        <v>3</v>
      </c>
      <c r="AI644">
        <v>1753.98</v>
      </c>
      <c r="AJ644">
        <v>5261.94</v>
      </c>
    </row>
    <row r="645" spans="1:36">
      <c r="A645" s="25">
        <v>44975</v>
      </c>
      <c r="B645" t="s">
        <v>1692</v>
      </c>
      <c r="C645" t="s">
        <v>1693</v>
      </c>
      <c r="D645" t="s">
        <v>1683</v>
      </c>
      <c r="E645" t="s">
        <v>1679</v>
      </c>
      <c r="F645" t="s">
        <v>101</v>
      </c>
      <c r="G645" t="s">
        <v>1715</v>
      </c>
      <c r="H645">
        <v>16</v>
      </c>
      <c r="I645">
        <v>2288.6799999999998</v>
      </c>
      <c r="J645">
        <v>36618.879999999997</v>
      </c>
      <c r="AA645">
        <v>44986</v>
      </c>
      <c r="AB645" t="str">
        <v>Aditi</v>
      </c>
      <c r="AC645" t="str">
        <v>Ahmedabad</v>
      </c>
      <c r="AD645" t="str">
        <v>Gujarat</v>
      </c>
      <c r="AE645" t="str">
        <v>West</v>
      </c>
      <c r="AF645" t="str">
        <v>Electronics</v>
      </c>
      <c r="AG645" t="str">
        <v>Smartphone</v>
      </c>
      <c r="AH645">
        <v>1</v>
      </c>
      <c r="AI645">
        <v>1979.54</v>
      </c>
      <c r="AJ645">
        <v>1979.54</v>
      </c>
    </row>
    <row r="646" spans="1:36">
      <c r="A646" s="25">
        <v>45071</v>
      </c>
      <c r="B646" t="s">
        <v>1689</v>
      </c>
      <c r="C646" t="s">
        <v>1693</v>
      </c>
      <c r="D646" t="s">
        <v>1683</v>
      </c>
      <c r="E646" t="s">
        <v>1679</v>
      </c>
      <c r="F646" t="s">
        <v>101</v>
      </c>
      <c r="G646" t="s">
        <v>1675</v>
      </c>
      <c r="H646">
        <v>10</v>
      </c>
      <c r="I646">
        <v>3339.72</v>
      </c>
      <c r="J646">
        <v>33397.199999999997</v>
      </c>
      <c r="AA646">
        <v>45180</v>
      </c>
      <c r="AB646" t="str">
        <v>Aarav</v>
      </c>
      <c r="AC646" t="str">
        <v>Ahmedabad</v>
      </c>
      <c r="AD646" t="str">
        <v>Gujarat</v>
      </c>
      <c r="AE646" t="str">
        <v>West</v>
      </c>
      <c r="AF646" t="str">
        <v>Furniture</v>
      </c>
      <c r="AG646" t="str">
        <v>Chair</v>
      </c>
      <c r="AH646">
        <v>20</v>
      </c>
      <c r="AI646">
        <v>4055.72</v>
      </c>
      <c r="AJ646">
        <v>81114.399999999994</v>
      </c>
    </row>
    <row r="647" spans="1:36">
      <c r="A647" s="25">
        <v>45186</v>
      </c>
      <c r="B647" t="s">
        <v>1698</v>
      </c>
      <c r="C647" t="s">
        <v>1693</v>
      </c>
      <c r="D647" t="s">
        <v>1683</v>
      </c>
      <c r="E647" t="s">
        <v>1679</v>
      </c>
      <c r="F647" t="s">
        <v>101</v>
      </c>
      <c r="G647" t="s">
        <v>1675</v>
      </c>
      <c r="H647">
        <v>7</v>
      </c>
      <c r="I647">
        <v>4741.12</v>
      </c>
      <c r="J647">
        <v>33187.839999999997</v>
      </c>
      <c r="AA647">
        <v>45002</v>
      </c>
      <c r="AB647" t="str">
        <v>Nishant</v>
      </c>
      <c r="AC647" t="str">
        <v>Ahmedabad</v>
      </c>
      <c r="AD647" t="str">
        <v>Gujarat</v>
      </c>
      <c r="AE647" t="str">
        <v>West</v>
      </c>
      <c r="AF647" t="str">
        <v>Furniture</v>
      </c>
      <c r="AG647" t="str">
        <v>Sofa</v>
      </c>
      <c r="AH647">
        <v>16</v>
      </c>
      <c r="AI647">
        <v>4624.91</v>
      </c>
      <c r="AJ647">
        <v>73998.559999999998</v>
      </c>
    </row>
    <row r="648" spans="1:36">
      <c r="A648" s="25">
        <v>44964</v>
      </c>
      <c r="B648" t="s">
        <v>1694</v>
      </c>
      <c r="C648" t="s">
        <v>1693</v>
      </c>
      <c r="D648" t="s">
        <v>1683</v>
      </c>
      <c r="E648" t="s">
        <v>1679</v>
      </c>
      <c r="F648" t="s">
        <v>101</v>
      </c>
      <c r="G648" t="s">
        <v>1719</v>
      </c>
      <c r="H648">
        <v>9</v>
      </c>
      <c r="I648">
        <v>3425.59</v>
      </c>
      <c r="J648">
        <v>30830.31</v>
      </c>
      <c r="AA648">
        <v>45215</v>
      </c>
      <c r="AB648" t="str">
        <v>Kabir</v>
      </c>
      <c r="AC648" t="str">
        <v>Ahmedabad</v>
      </c>
      <c r="AD648" t="str">
        <v>Gujarat</v>
      </c>
      <c r="AE648" t="str">
        <v>West</v>
      </c>
      <c r="AF648" t="str">
        <v>Furniture</v>
      </c>
      <c r="AG648" t="str">
        <v>Table</v>
      </c>
      <c r="AH648">
        <v>16</v>
      </c>
      <c r="AI648">
        <v>4608.55</v>
      </c>
      <c r="AJ648">
        <v>73736.800000000003</v>
      </c>
    </row>
    <row r="649" spans="1:36">
      <c r="A649" s="25">
        <v>45273</v>
      </c>
      <c r="B649" t="s">
        <v>1698</v>
      </c>
      <c r="C649" t="s">
        <v>1693</v>
      </c>
      <c r="D649" t="s">
        <v>1683</v>
      </c>
      <c r="E649" t="s">
        <v>1679</v>
      </c>
      <c r="F649" t="s">
        <v>101</v>
      </c>
      <c r="G649" t="s">
        <v>1709</v>
      </c>
      <c r="H649">
        <v>13</v>
      </c>
      <c r="I649">
        <v>2109.15</v>
      </c>
      <c r="J649">
        <v>27418.95</v>
      </c>
      <c r="AA649">
        <v>45205</v>
      </c>
      <c r="AB649" t="str">
        <v>Meera</v>
      </c>
      <c r="AC649" t="str">
        <v>Ahmedabad</v>
      </c>
      <c r="AD649" t="str">
        <v>Gujarat</v>
      </c>
      <c r="AE649" t="str">
        <v>West</v>
      </c>
      <c r="AF649" t="str">
        <v>Furniture</v>
      </c>
      <c r="AG649" t="str">
        <v>Sofa</v>
      </c>
      <c r="AH649">
        <v>15</v>
      </c>
      <c r="AI649">
        <v>4146.03</v>
      </c>
      <c r="AJ649">
        <v>62190.45</v>
      </c>
    </row>
    <row r="650" spans="1:36">
      <c r="A650" s="25">
        <v>45055</v>
      </c>
      <c r="B650" t="s">
        <v>1692</v>
      </c>
      <c r="C650" t="s">
        <v>1693</v>
      </c>
      <c r="D650" t="s">
        <v>1683</v>
      </c>
      <c r="E650" t="s">
        <v>1679</v>
      </c>
      <c r="F650" t="s">
        <v>101</v>
      </c>
      <c r="G650" t="s">
        <v>1675</v>
      </c>
      <c r="H650">
        <v>3</v>
      </c>
      <c r="I650">
        <v>4146.75</v>
      </c>
      <c r="J650">
        <v>12440.25</v>
      </c>
      <c r="AA650">
        <v>45290</v>
      </c>
      <c r="AB650" t="str">
        <v>Ananya</v>
      </c>
      <c r="AC650" t="str">
        <v>Ahmedabad</v>
      </c>
      <c r="AD650" t="str">
        <v>Gujarat</v>
      </c>
      <c r="AE650" t="str">
        <v>West</v>
      </c>
      <c r="AF650" t="str">
        <v>Furniture</v>
      </c>
      <c r="AG650" t="str">
        <v>Bed</v>
      </c>
      <c r="AH650">
        <v>20</v>
      </c>
      <c r="AI650">
        <v>2818.78</v>
      </c>
      <c r="AJ650">
        <v>56375.6</v>
      </c>
    </row>
    <row r="651" spans="1:36">
      <c r="A651" s="25">
        <v>45143</v>
      </c>
      <c r="B651" t="s">
        <v>1681</v>
      </c>
      <c r="C651" t="s">
        <v>1693</v>
      </c>
      <c r="D651" t="s">
        <v>1683</v>
      </c>
      <c r="E651" t="s">
        <v>1679</v>
      </c>
      <c r="F651" t="s">
        <v>101</v>
      </c>
      <c r="G651" t="s">
        <v>1675</v>
      </c>
      <c r="H651">
        <v>4</v>
      </c>
      <c r="I651">
        <v>2457.5</v>
      </c>
      <c r="J651">
        <v>9830</v>
      </c>
      <c r="AA651">
        <v>45110</v>
      </c>
      <c r="AB651" t="str">
        <v>Meera</v>
      </c>
      <c r="AC651" t="str">
        <v>Ahmedabad</v>
      </c>
      <c r="AD651" t="str">
        <v>Gujarat</v>
      </c>
      <c r="AE651" t="str">
        <v>West</v>
      </c>
      <c r="AF651" t="str">
        <v>Furniture</v>
      </c>
      <c r="AG651" t="str">
        <v>Bed</v>
      </c>
      <c r="AH651">
        <v>14</v>
      </c>
      <c r="AI651">
        <v>3507.75</v>
      </c>
      <c r="AJ651">
        <v>49108.5</v>
      </c>
    </row>
    <row r="652" spans="1:36">
      <c r="A652" s="25">
        <v>45098</v>
      </c>
      <c r="B652" t="s">
        <v>1689</v>
      </c>
      <c r="C652" t="s">
        <v>1693</v>
      </c>
      <c r="D652" t="s">
        <v>1683</v>
      </c>
      <c r="E652" t="s">
        <v>1679</v>
      </c>
      <c r="F652" t="s">
        <v>101</v>
      </c>
      <c r="G652" t="s">
        <v>1719</v>
      </c>
      <c r="H652">
        <v>20</v>
      </c>
      <c r="I652">
        <v>459.48</v>
      </c>
      <c r="J652">
        <v>9189.6</v>
      </c>
      <c r="AA652">
        <v>44956</v>
      </c>
      <c r="AB652" t="str">
        <v>Vihaan</v>
      </c>
      <c r="AC652" t="str">
        <v>Ahmedabad</v>
      </c>
      <c r="AD652" t="str">
        <v>Gujarat</v>
      </c>
      <c r="AE652" t="str">
        <v>West</v>
      </c>
      <c r="AF652" t="str">
        <v>Furniture</v>
      </c>
      <c r="AG652" t="str">
        <v>Bed</v>
      </c>
      <c r="AH652">
        <v>16</v>
      </c>
      <c r="AI652">
        <v>2714.37</v>
      </c>
      <c r="AJ652">
        <v>43429.919999999998</v>
      </c>
    </row>
    <row r="653" spans="1:36">
      <c r="A653" s="25">
        <v>45012</v>
      </c>
      <c r="B653" t="s">
        <v>1681</v>
      </c>
      <c r="C653" t="s">
        <v>1693</v>
      </c>
      <c r="D653" t="s">
        <v>1683</v>
      </c>
      <c r="E653" t="s">
        <v>1679</v>
      </c>
      <c r="F653" t="s">
        <v>101</v>
      </c>
      <c r="G653" t="s">
        <v>1709</v>
      </c>
      <c r="H653">
        <v>2</v>
      </c>
      <c r="I653">
        <v>962.28</v>
      </c>
      <c r="J653">
        <v>1924.56</v>
      </c>
      <c r="AA653">
        <v>45119</v>
      </c>
      <c r="AB653" t="str">
        <v>Meera</v>
      </c>
      <c r="AC653" t="str">
        <v>Ahmedabad</v>
      </c>
      <c r="AD653" t="str">
        <v>Gujarat</v>
      </c>
      <c r="AE653" t="str">
        <v>West</v>
      </c>
      <c r="AF653" t="str">
        <v>Furniture</v>
      </c>
      <c r="AG653" t="str">
        <v>Chair</v>
      </c>
      <c r="AH653">
        <v>14</v>
      </c>
      <c r="AI653">
        <v>3099.57</v>
      </c>
      <c r="AJ653">
        <v>43393.98</v>
      </c>
    </row>
    <row r="654" spans="1:36">
      <c r="A654" s="25">
        <v>45260</v>
      </c>
      <c r="B654" t="s">
        <v>1681</v>
      </c>
      <c r="C654" t="s">
        <v>1693</v>
      </c>
      <c r="D654" t="s">
        <v>1683</v>
      </c>
      <c r="E654" t="s">
        <v>1679</v>
      </c>
      <c r="F654" t="s">
        <v>1687</v>
      </c>
      <c r="G654" t="s">
        <v>1708</v>
      </c>
      <c r="H654">
        <v>14</v>
      </c>
      <c r="I654">
        <v>4935.3</v>
      </c>
      <c r="J654">
        <v>69094.2</v>
      </c>
      <c r="AA654">
        <v>45171</v>
      </c>
      <c r="AB654" t="str">
        <v>Nishant</v>
      </c>
      <c r="AC654" t="str">
        <v>Ahmedabad</v>
      </c>
      <c r="AD654" t="str">
        <v>Gujarat</v>
      </c>
      <c r="AE654" t="str">
        <v>West</v>
      </c>
      <c r="AF654" t="str">
        <v>Furniture</v>
      </c>
      <c r="AG654" t="str">
        <v>Table</v>
      </c>
      <c r="AH654">
        <v>13</v>
      </c>
      <c r="AI654">
        <v>2835.8</v>
      </c>
      <c r="AJ654">
        <v>36865.4</v>
      </c>
    </row>
    <row r="655" spans="1:36">
      <c r="A655" s="25">
        <v>45052</v>
      </c>
      <c r="B655" t="s">
        <v>1694</v>
      </c>
      <c r="C655" t="s">
        <v>1693</v>
      </c>
      <c r="D655" t="s">
        <v>1683</v>
      </c>
      <c r="E655" t="s">
        <v>1679</v>
      </c>
      <c r="F655" t="s">
        <v>1687</v>
      </c>
      <c r="G655" t="s">
        <v>1688</v>
      </c>
      <c r="H655">
        <v>14</v>
      </c>
      <c r="I655">
        <v>4868.33</v>
      </c>
      <c r="J655">
        <v>68156.62</v>
      </c>
      <c r="AA655">
        <v>45052</v>
      </c>
      <c r="AB655" t="str">
        <v>Kabir</v>
      </c>
      <c r="AC655" t="str">
        <v>Ahmedabad</v>
      </c>
      <c r="AD655" t="str">
        <v>Gujarat</v>
      </c>
      <c r="AE655" t="str">
        <v>West</v>
      </c>
      <c r="AF655" t="str">
        <v>Furniture</v>
      </c>
      <c r="AG655" t="str">
        <v>Bed</v>
      </c>
      <c r="AH655">
        <v>7</v>
      </c>
      <c r="AI655">
        <v>3721.37</v>
      </c>
      <c r="AJ655">
        <v>26049.59</v>
      </c>
    </row>
    <row r="656" spans="1:36">
      <c r="A656" s="25">
        <v>45233</v>
      </c>
      <c r="B656" t="s">
        <v>1694</v>
      </c>
      <c r="C656" t="s">
        <v>1693</v>
      </c>
      <c r="D656" t="s">
        <v>1683</v>
      </c>
      <c r="E656" t="s">
        <v>1679</v>
      </c>
      <c r="F656" t="s">
        <v>1687</v>
      </c>
      <c r="G656" t="s">
        <v>1710</v>
      </c>
      <c r="H656">
        <v>20</v>
      </c>
      <c r="I656">
        <v>1787.99</v>
      </c>
      <c r="J656">
        <v>35759.800000000003</v>
      </c>
      <c r="AA656">
        <v>44951</v>
      </c>
      <c r="AB656" t="str">
        <v>Kabir</v>
      </c>
      <c r="AC656" t="str">
        <v>Ahmedabad</v>
      </c>
      <c r="AD656" t="str">
        <v>Gujarat</v>
      </c>
      <c r="AE656" t="str">
        <v>West</v>
      </c>
      <c r="AF656" t="str">
        <v>Furniture</v>
      </c>
      <c r="AG656" t="str">
        <v>Bed</v>
      </c>
      <c r="AH656">
        <v>11</v>
      </c>
      <c r="AI656">
        <v>1788.39</v>
      </c>
      <c r="AJ656">
        <v>19672.29</v>
      </c>
    </row>
    <row r="657" spans="1:36">
      <c r="A657" s="25">
        <v>45212</v>
      </c>
      <c r="B657" t="s">
        <v>1681</v>
      </c>
      <c r="C657" t="s">
        <v>1693</v>
      </c>
      <c r="D657" t="s">
        <v>1683</v>
      </c>
      <c r="E657" t="s">
        <v>1679</v>
      </c>
      <c r="F657" t="s">
        <v>1687</v>
      </c>
      <c r="G657" t="s">
        <v>1704</v>
      </c>
      <c r="H657">
        <v>17</v>
      </c>
      <c r="I657">
        <v>1975.71</v>
      </c>
      <c r="J657">
        <v>33587.07</v>
      </c>
      <c r="AA657">
        <v>45005</v>
      </c>
      <c r="AB657" t="str">
        <v>Ishita</v>
      </c>
      <c r="AC657" t="str">
        <v>Ahmedabad</v>
      </c>
      <c r="AD657" t="str">
        <v>Gujarat</v>
      </c>
      <c r="AE657" t="str">
        <v>West</v>
      </c>
      <c r="AF657" t="str">
        <v>Furniture</v>
      </c>
      <c r="AG657" t="str">
        <v>Bed</v>
      </c>
      <c r="AH657">
        <v>16</v>
      </c>
      <c r="AI657">
        <v>1018.83</v>
      </c>
      <c r="AJ657">
        <v>16301.28</v>
      </c>
    </row>
    <row r="658" spans="1:36">
      <c r="A658" s="25">
        <v>45136</v>
      </c>
      <c r="B658" t="s">
        <v>1705</v>
      </c>
      <c r="C658" t="s">
        <v>1693</v>
      </c>
      <c r="D658" t="s">
        <v>1683</v>
      </c>
      <c r="E658" t="s">
        <v>1679</v>
      </c>
      <c r="F658" t="s">
        <v>1687</v>
      </c>
      <c r="G658" t="s">
        <v>1708</v>
      </c>
      <c r="H658">
        <v>19</v>
      </c>
      <c r="I658">
        <v>1120.5999999999999</v>
      </c>
      <c r="J658">
        <v>21291.4</v>
      </c>
      <c r="AA658">
        <v>45213</v>
      </c>
      <c r="AB658" t="str">
        <v>Vihaan</v>
      </c>
      <c r="AC658" t="str">
        <v>Ahmedabad</v>
      </c>
      <c r="AD658" t="str">
        <v>Gujarat</v>
      </c>
      <c r="AE658" t="str">
        <v>West</v>
      </c>
      <c r="AF658" t="str">
        <v>Furniture</v>
      </c>
      <c r="AG658" t="str">
        <v>Sofa</v>
      </c>
      <c r="AH658">
        <v>13</v>
      </c>
      <c r="AI658">
        <v>956.49</v>
      </c>
      <c r="AJ658">
        <v>12434.37</v>
      </c>
    </row>
    <row r="659" spans="1:36">
      <c r="A659" s="25">
        <v>45168</v>
      </c>
      <c r="B659" t="s">
        <v>1686</v>
      </c>
      <c r="C659" t="s">
        <v>1693</v>
      </c>
      <c r="D659" t="s">
        <v>1683</v>
      </c>
      <c r="E659" t="s">
        <v>1679</v>
      </c>
      <c r="F659" t="s">
        <v>1687</v>
      </c>
      <c r="G659" t="s">
        <v>1710</v>
      </c>
      <c r="H659">
        <v>3</v>
      </c>
      <c r="I659">
        <v>4766.28</v>
      </c>
      <c r="J659">
        <v>14298.84</v>
      </c>
      <c r="AA659">
        <v>45159</v>
      </c>
      <c r="AB659" t="str">
        <v>Riya</v>
      </c>
      <c r="AC659" t="str">
        <v>Ahmedabad</v>
      </c>
      <c r="AD659" t="str">
        <v>Gujarat</v>
      </c>
      <c r="AE659" t="str">
        <v>West</v>
      </c>
      <c r="AF659" t="str">
        <v>Furniture</v>
      </c>
      <c r="AG659" t="str">
        <v>Bed</v>
      </c>
      <c r="AH659">
        <v>10</v>
      </c>
      <c r="AI659">
        <v>1097.83</v>
      </c>
      <c r="AJ659">
        <v>10978.3</v>
      </c>
    </row>
    <row r="660" spans="1:36">
      <c r="A660" s="25">
        <v>45161</v>
      </c>
      <c r="B660" t="s">
        <v>1694</v>
      </c>
      <c r="C660" t="s">
        <v>1693</v>
      </c>
      <c r="D660" t="s">
        <v>1683</v>
      </c>
      <c r="E660" t="s">
        <v>1679</v>
      </c>
      <c r="F660" t="s">
        <v>1687</v>
      </c>
      <c r="G660" t="s">
        <v>1688</v>
      </c>
      <c r="H660">
        <v>6</v>
      </c>
      <c r="I660">
        <v>2263.36</v>
      </c>
      <c r="J660">
        <v>13580.16</v>
      </c>
      <c r="AA660">
        <v>44979</v>
      </c>
      <c r="AB660" t="str">
        <v>Aditi</v>
      </c>
      <c r="AC660" t="str">
        <v>Ahmedabad</v>
      </c>
      <c r="AD660" t="str">
        <v>Gujarat</v>
      </c>
      <c r="AE660" t="str">
        <v>West</v>
      </c>
      <c r="AF660" t="str">
        <v>Furniture</v>
      </c>
      <c r="AG660" t="str">
        <v>Bed</v>
      </c>
      <c r="AH660">
        <v>11</v>
      </c>
      <c r="AI660">
        <v>575.73</v>
      </c>
      <c r="AJ660">
        <v>6333.03</v>
      </c>
    </row>
    <row r="661" spans="1:36">
      <c r="A661" s="25">
        <v>45221</v>
      </c>
      <c r="B661" t="s">
        <v>1681</v>
      </c>
      <c r="C661" t="s">
        <v>1693</v>
      </c>
      <c r="D661" t="s">
        <v>1683</v>
      </c>
      <c r="E661" t="s">
        <v>1679</v>
      </c>
      <c r="F661" t="s">
        <v>1687</v>
      </c>
      <c r="G661" t="s">
        <v>1708</v>
      </c>
      <c r="H661">
        <v>8</v>
      </c>
      <c r="I661">
        <v>303.48</v>
      </c>
      <c r="J661">
        <v>2427.84</v>
      </c>
      <c r="AA661">
        <v>45029</v>
      </c>
      <c r="AB661" t="str">
        <v>Vihaan</v>
      </c>
      <c r="AC661" t="str">
        <v>Ahmedabad</v>
      </c>
      <c r="AD661" t="str">
        <v>Gujarat</v>
      </c>
      <c r="AE661" t="str">
        <v>West</v>
      </c>
      <c r="AF661" t="str">
        <v>Furniture</v>
      </c>
      <c r="AG661" t="str">
        <v>Chair</v>
      </c>
      <c r="AH661">
        <v>3</v>
      </c>
      <c r="AI661">
        <v>1270.1500000000001</v>
      </c>
      <c r="AJ661">
        <v>3810.45</v>
      </c>
    </row>
    <row r="662" spans="1:36">
      <c r="A662" s="25">
        <v>44957</v>
      </c>
      <c r="B662" t="s">
        <v>1698</v>
      </c>
      <c r="C662" t="s">
        <v>1693</v>
      </c>
      <c r="D662" t="s">
        <v>1683</v>
      </c>
      <c r="E662" t="s">
        <v>1679</v>
      </c>
      <c r="F662" t="s">
        <v>1687</v>
      </c>
      <c r="G662" t="s">
        <v>1710</v>
      </c>
      <c r="H662">
        <v>5</v>
      </c>
      <c r="I662">
        <v>417.76</v>
      </c>
      <c r="J662">
        <v>2088.8000000000002</v>
      </c>
      <c r="AA662">
        <v>45214</v>
      </c>
      <c r="AB662" t="str">
        <v>Aarav</v>
      </c>
      <c r="AC662" t="str">
        <v>Ahmedabad</v>
      </c>
      <c r="AD662" t="str">
        <v>Gujarat</v>
      </c>
      <c r="AE662" t="str">
        <v>West</v>
      </c>
      <c r="AF662" t="str">
        <v>Furniture</v>
      </c>
      <c r="AG662" t="str">
        <v>Bed</v>
      </c>
      <c r="AH662">
        <v>5</v>
      </c>
      <c r="AI662">
        <v>606.49</v>
      </c>
      <c r="AJ662">
        <v>3032.45</v>
      </c>
    </row>
    <row r="663" spans="1:36">
      <c r="A663" s="25">
        <v>45032</v>
      </c>
      <c r="B663" t="s">
        <v>1689</v>
      </c>
      <c r="C663" t="s">
        <v>1693</v>
      </c>
      <c r="D663" t="s">
        <v>1683</v>
      </c>
      <c r="E663" t="s">
        <v>1679</v>
      </c>
      <c r="F663" t="s">
        <v>1687</v>
      </c>
      <c r="G663" t="s">
        <v>1710</v>
      </c>
      <c r="H663">
        <v>1</v>
      </c>
      <c r="I663">
        <v>1628.88</v>
      </c>
      <c r="J663">
        <v>1628.88</v>
      </c>
      <c r="AA663">
        <v>44978</v>
      </c>
      <c r="AB663" t="str">
        <v>Kabir</v>
      </c>
      <c r="AC663" t="str">
        <v>Ahmedabad</v>
      </c>
      <c r="AD663" t="str">
        <v>Gujarat</v>
      </c>
      <c r="AE663" t="str">
        <v>West</v>
      </c>
      <c r="AF663" t="str">
        <v>Furniture</v>
      </c>
      <c r="AG663" t="str">
        <v>Bed</v>
      </c>
      <c r="AH663">
        <v>1</v>
      </c>
      <c r="AI663">
        <v>2333.7800000000002</v>
      </c>
      <c r="AJ663">
        <v>2333.7800000000002</v>
      </c>
    </row>
    <row r="664" spans="1:36">
      <c r="A664" s="25">
        <v>45036</v>
      </c>
      <c r="B664" t="s">
        <v>1689</v>
      </c>
      <c r="C664" t="s">
        <v>1693</v>
      </c>
      <c r="D664" t="s">
        <v>1683</v>
      </c>
      <c r="E664" t="s">
        <v>1679</v>
      </c>
      <c r="F664" t="s">
        <v>114</v>
      </c>
      <c r="G664" t="s">
        <v>1691</v>
      </c>
      <c r="H664">
        <v>18</v>
      </c>
      <c r="I664">
        <v>3989.44</v>
      </c>
      <c r="J664">
        <v>71809.919999999998</v>
      </c>
      <c r="AA664">
        <v>45035</v>
      </c>
      <c r="AB664" t="str">
        <v>Aarav</v>
      </c>
      <c r="AC664" t="str">
        <v>Ahmedabad</v>
      </c>
      <c r="AD664" t="str">
        <v>Gujarat</v>
      </c>
      <c r="AE664" t="str">
        <v>West</v>
      </c>
      <c r="AF664" t="str">
        <v>Groceries</v>
      </c>
      <c r="AG664" t="str">
        <v>Lentils</v>
      </c>
      <c r="AH664">
        <v>20</v>
      </c>
      <c r="AI664">
        <v>4856.17</v>
      </c>
      <c r="AJ664">
        <v>97123.4</v>
      </c>
    </row>
    <row r="665" spans="1:36">
      <c r="A665" s="25">
        <v>45088</v>
      </c>
      <c r="B665" t="s">
        <v>1698</v>
      </c>
      <c r="C665" t="s">
        <v>1693</v>
      </c>
      <c r="D665" t="s">
        <v>1683</v>
      </c>
      <c r="E665" t="s">
        <v>1679</v>
      </c>
      <c r="F665" t="s">
        <v>114</v>
      </c>
      <c r="G665" t="s">
        <v>1691</v>
      </c>
      <c r="H665">
        <v>17</v>
      </c>
      <c r="I665">
        <v>3975.74</v>
      </c>
      <c r="J665">
        <v>67587.58</v>
      </c>
      <c r="AA665">
        <v>45118</v>
      </c>
      <c r="AB665" t="str">
        <v>Nishant</v>
      </c>
      <c r="AC665" t="str">
        <v>Ahmedabad</v>
      </c>
      <c r="AD665" t="str">
        <v>Gujarat</v>
      </c>
      <c r="AE665" t="str">
        <v>West</v>
      </c>
      <c r="AF665" t="str">
        <v>Groceries</v>
      </c>
      <c r="AG665" t="str">
        <v>Oil</v>
      </c>
      <c r="AH665">
        <v>14</v>
      </c>
      <c r="AI665">
        <v>4566.12</v>
      </c>
      <c r="AJ665">
        <v>63925.68</v>
      </c>
    </row>
    <row r="666" spans="1:36">
      <c r="A666" s="25">
        <v>45229</v>
      </c>
      <c r="B666" t="s">
        <v>1676</v>
      </c>
      <c r="C666" t="s">
        <v>1693</v>
      </c>
      <c r="D666" t="s">
        <v>1683</v>
      </c>
      <c r="E666" t="s">
        <v>1679</v>
      </c>
      <c r="F666" t="s">
        <v>114</v>
      </c>
      <c r="G666" t="s">
        <v>1680</v>
      </c>
      <c r="H666">
        <v>18</v>
      </c>
      <c r="I666">
        <v>3627.09</v>
      </c>
      <c r="J666">
        <v>65287.62</v>
      </c>
      <c r="AA666">
        <v>45166</v>
      </c>
      <c r="AB666" t="str">
        <v>Vihaan</v>
      </c>
      <c r="AC666" t="str">
        <v>Ahmedabad</v>
      </c>
      <c r="AD666" t="str">
        <v>Gujarat</v>
      </c>
      <c r="AE666" t="str">
        <v>West</v>
      </c>
      <c r="AF666" t="str">
        <v>Groceries</v>
      </c>
      <c r="AG666" t="str">
        <v>Lentils</v>
      </c>
      <c r="AH666">
        <v>20</v>
      </c>
      <c r="AI666">
        <v>3184.86</v>
      </c>
      <c r="AJ666">
        <v>63697.2</v>
      </c>
    </row>
    <row r="667" spans="1:36">
      <c r="A667" s="25">
        <v>45095</v>
      </c>
      <c r="B667" t="s">
        <v>1692</v>
      </c>
      <c r="C667" t="s">
        <v>1693</v>
      </c>
      <c r="D667" t="s">
        <v>1683</v>
      </c>
      <c r="E667" t="s">
        <v>1679</v>
      </c>
      <c r="F667" t="s">
        <v>114</v>
      </c>
      <c r="G667" t="s">
        <v>1712</v>
      </c>
      <c r="H667">
        <v>18</v>
      </c>
      <c r="I667">
        <v>2535.8200000000002</v>
      </c>
      <c r="J667">
        <v>45644.76</v>
      </c>
      <c r="AA667">
        <v>44994</v>
      </c>
      <c r="AB667" t="str">
        <v>Aarav</v>
      </c>
      <c r="AC667" t="str">
        <v>Ahmedabad</v>
      </c>
      <c r="AD667" t="str">
        <v>Gujarat</v>
      </c>
      <c r="AE667" t="str">
        <v>West</v>
      </c>
      <c r="AF667" t="str">
        <v>Groceries</v>
      </c>
      <c r="AG667" t="str">
        <v>Oil</v>
      </c>
      <c r="AH667">
        <v>11</v>
      </c>
      <c r="AI667">
        <v>4209.66</v>
      </c>
      <c r="AJ667">
        <v>46306.26</v>
      </c>
    </row>
    <row r="668" spans="1:36">
      <c r="A668" s="25">
        <v>45083</v>
      </c>
      <c r="B668" t="s">
        <v>1681</v>
      </c>
      <c r="C668" t="s">
        <v>1693</v>
      </c>
      <c r="D668" t="s">
        <v>1683</v>
      </c>
      <c r="E668" t="s">
        <v>1679</v>
      </c>
      <c r="F668" t="s">
        <v>114</v>
      </c>
      <c r="G668" t="s">
        <v>1680</v>
      </c>
      <c r="H668">
        <v>9</v>
      </c>
      <c r="I668">
        <v>4712.9799999999996</v>
      </c>
      <c r="J668">
        <v>42416.82</v>
      </c>
      <c r="AA668">
        <v>45277</v>
      </c>
      <c r="AB668" t="str">
        <v>Kabir</v>
      </c>
      <c r="AC668" t="str">
        <v>Ahmedabad</v>
      </c>
      <c r="AD668" t="str">
        <v>Gujarat</v>
      </c>
      <c r="AE668" t="str">
        <v>West</v>
      </c>
      <c r="AF668" t="str">
        <v>Groceries</v>
      </c>
      <c r="AG668" t="str">
        <v>Rice</v>
      </c>
      <c r="AH668">
        <v>10</v>
      </c>
      <c r="AI668">
        <v>4507.62</v>
      </c>
      <c r="AJ668">
        <v>45076.2</v>
      </c>
    </row>
    <row r="669" spans="1:36">
      <c r="A669" s="25">
        <v>44933</v>
      </c>
      <c r="B669" t="s">
        <v>1692</v>
      </c>
      <c r="C669" t="s">
        <v>1693</v>
      </c>
      <c r="D669" t="s">
        <v>1683</v>
      </c>
      <c r="E669" t="s">
        <v>1679</v>
      </c>
      <c r="F669" t="s">
        <v>114</v>
      </c>
      <c r="G669" t="s">
        <v>1718</v>
      </c>
      <c r="H669">
        <v>9</v>
      </c>
      <c r="I669">
        <v>4674.04</v>
      </c>
      <c r="J669">
        <v>42066.36</v>
      </c>
      <c r="AA669">
        <v>45116</v>
      </c>
      <c r="AB669" t="str">
        <v>Kabir</v>
      </c>
      <c r="AC669" t="str">
        <v>Ahmedabad</v>
      </c>
      <c r="AD669" t="str">
        <v>Gujarat</v>
      </c>
      <c r="AE669" t="str">
        <v>West</v>
      </c>
      <c r="AF669" t="str">
        <v>Groceries</v>
      </c>
      <c r="AG669" t="str">
        <v>Sugar</v>
      </c>
      <c r="AH669">
        <v>20</v>
      </c>
      <c r="AI669">
        <v>1580.59</v>
      </c>
      <c r="AJ669">
        <v>31611.8</v>
      </c>
    </row>
    <row r="670" spans="1:36">
      <c r="A670" s="25">
        <v>44931</v>
      </c>
      <c r="B670" t="s">
        <v>1676</v>
      </c>
      <c r="C670" t="s">
        <v>1693</v>
      </c>
      <c r="D670" t="s">
        <v>1683</v>
      </c>
      <c r="E670" t="s">
        <v>1679</v>
      </c>
      <c r="F670" t="s">
        <v>114</v>
      </c>
      <c r="G670" t="s">
        <v>1712</v>
      </c>
      <c r="H670">
        <v>13</v>
      </c>
      <c r="I670">
        <v>2979.65</v>
      </c>
      <c r="J670">
        <v>38735.449999999997</v>
      </c>
      <c r="AA670">
        <v>45114</v>
      </c>
      <c r="AB670" t="str">
        <v>Meera</v>
      </c>
      <c r="AC670" t="str">
        <v>Ahmedabad</v>
      </c>
      <c r="AD670" t="str">
        <v>Gujarat</v>
      </c>
      <c r="AE670" t="str">
        <v>West</v>
      </c>
      <c r="AF670" t="str">
        <v>Groceries</v>
      </c>
      <c r="AG670" t="str">
        <v>Rice</v>
      </c>
      <c r="AH670">
        <v>8</v>
      </c>
      <c r="AI670">
        <v>3069.86</v>
      </c>
      <c r="AJ670">
        <v>24558.880000000001</v>
      </c>
    </row>
    <row r="671" spans="1:36">
      <c r="A671" s="25">
        <v>45025</v>
      </c>
      <c r="B671" t="s">
        <v>1676</v>
      </c>
      <c r="C671" t="s">
        <v>1693</v>
      </c>
      <c r="D671" t="s">
        <v>1683</v>
      </c>
      <c r="E671" t="s">
        <v>1679</v>
      </c>
      <c r="F671" t="s">
        <v>114</v>
      </c>
      <c r="G671" t="s">
        <v>1691</v>
      </c>
      <c r="H671">
        <v>9</v>
      </c>
      <c r="I671">
        <v>3441.09</v>
      </c>
      <c r="J671">
        <v>30969.81</v>
      </c>
      <c r="AA671">
        <v>45218</v>
      </c>
      <c r="AB671" t="str">
        <v>Vihaan</v>
      </c>
      <c r="AC671" t="str">
        <v>Ahmedabad</v>
      </c>
      <c r="AD671" t="str">
        <v>Gujarat</v>
      </c>
      <c r="AE671" t="str">
        <v>West</v>
      </c>
      <c r="AF671" t="str">
        <v>Groceries</v>
      </c>
      <c r="AG671" t="str">
        <v>Oil</v>
      </c>
      <c r="AH671">
        <v>12</v>
      </c>
      <c r="AI671">
        <v>548.36</v>
      </c>
      <c r="AJ671">
        <v>6580.32</v>
      </c>
    </row>
    <row r="672" spans="1:36">
      <c r="A672" s="25">
        <v>45207</v>
      </c>
      <c r="B672" t="s">
        <v>1689</v>
      </c>
      <c r="C672" t="s">
        <v>1693</v>
      </c>
      <c r="D672" t="s">
        <v>1683</v>
      </c>
      <c r="E672" t="s">
        <v>1679</v>
      </c>
      <c r="F672" t="s">
        <v>114</v>
      </c>
      <c r="G672" t="s">
        <v>1691</v>
      </c>
      <c r="H672">
        <v>7</v>
      </c>
      <c r="I672">
        <v>3820.3</v>
      </c>
      <c r="J672">
        <v>26742.1</v>
      </c>
      <c r="AA672">
        <v>45060</v>
      </c>
      <c r="AB672" t="str">
        <v>Vihaan</v>
      </c>
      <c r="AC672" t="str">
        <v>Ahmedabad</v>
      </c>
      <c r="AD672" t="str">
        <v>Gujarat</v>
      </c>
      <c r="AE672" t="str">
        <v>West</v>
      </c>
      <c r="AF672" t="str">
        <v>Groceries</v>
      </c>
      <c r="AG672" t="str">
        <v>Sugar</v>
      </c>
      <c r="AH672">
        <v>1</v>
      </c>
      <c r="AI672">
        <v>403.2</v>
      </c>
      <c r="AJ672">
        <v>403.2</v>
      </c>
    </row>
    <row r="673" spans="1:36">
      <c r="A673" s="25">
        <v>44970</v>
      </c>
      <c r="B673" t="s">
        <v>1700</v>
      </c>
      <c r="C673" t="s">
        <v>1693</v>
      </c>
      <c r="D673" t="s">
        <v>1683</v>
      </c>
      <c r="E673" t="s">
        <v>1679</v>
      </c>
      <c r="F673" t="s">
        <v>114</v>
      </c>
      <c r="G673" t="s">
        <v>1718</v>
      </c>
      <c r="H673">
        <v>11</v>
      </c>
      <c r="I673">
        <v>1473.35</v>
      </c>
      <c r="J673">
        <v>16206.85</v>
      </c>
      <c r="AA673">
        <v>45016</v>
      </c>
      <c r="AB673" t="str">
        <v>Nishant</v>
      </c>
      <c r="AC673" t="str">
        <v>Ahmedabad</v>
      </c>
      <c r="AD673" t="str">
        <v>Gujarat</v>
      </c>
      <c r="AE673" t="str">
        <v>West</v>
      </c>
      <c r="AF673" t="str">
        <v>Stationery</v>
      </c>
      <c r="AG673" t="str">
        <v>Pen</v>
      </c>
      <c r="AH673">
        <v>17</v>
      </c>
      <c r="AI673">
        <v>3844.7</v>
      </c>
      <c r="AJ673">
        <v>65359.9</v>
      </c>
    </row>
    <row r="674" spans="1:36">
      <c r="A674" s="25">
        <v>45183</v>
      </c>
      <c r="B674" t="s">
        <v>1686</v>
      </c>
      <c r="C674" t="s">
        <v>1693</v>
      </c>
      <c r="D674" t="s">
        <v>1683</v>
      </c>
      <c r="E674" t="s">
        <v>1679</v>
      </c>
      <c r="F674" t="s">
        <v>114</v>
      </c>
      <c r="G674" t="s">
        <v>1718</v>
      </c>
      <c r="H674">
        <v>9</v>
      </c>
      <c r="I674">
        <v>1609.98</v>
      </c>
      <c r="J674">
        <v>14489.82</v>
      </c>
      <c r="AA674">
        <v>44975</v>
      </c>
      <c r="AB674" t="str">
        <v>Riya</v>
      </c>
      <c r="AC674" t="str">
        <v>Ahmedabad</v>
      </c>
      <c r="AD674" t="str">
        <v>Gujarat</v>
      </c>
      <c r="AE674" t="str">
        <v>West</v>
      </c>
      <c r="AF674" t="str">
        <v>Stationery</v>
      </c>
      <c r="AG674" t="str">
        <v>Eraser</v>
      </c>
      <c r="AH674">
        <v>14</v>
      </c>
      <c r="AI674">
        <v>2452.98</v>
      </c>
      <c r="AJ674">
        <v>34341.72</v>
      </c>
    </row>
    <row r="675" spans="1:36">
      <c r="A675" s="25">
        <v>45131</v>
      </c>
      <c r="B675" t="s">
        <v>1676</v>
      </c>
      <c r="C675" t="s">
        <v>1693</v>
      </c>
      <c r="D675" t="s">
        <v>1683</v>
      </c>
      <c r="E675" t="s">
        <v>1679</v>
      </c>
      <c r="F675" t="s">
        <v>114</v>
      </c>
      <c r="G675" t="s">
        <v>1680</v>
      </c>
      <c r="H675">
        <v>3</v>
      </c>
      <c r="I675">
        <v>3853.05</v>
      </c>
      <c r="J675">
        <v>11559.15</v>
      </c>
      <c r="AA675">
        <v>45110</v>
      </c>
      <c r="AB675" t="str">
        <v>Vihaan</v>
      </c>
      <c r="AC675" t="str">
        <v>Ahmedabad</v>
      </c>
      <c r="AD675" t="str">
        <v>Gujarat</v>
      </c>
      <c r="AE675" t="str">
        <v>West</v>
      </c>
      <c r="AF675" t="str">
        <v>Stationery</v>
      </c>
      <c r="AG675" t="str">
        <v>Pen</v>
      </c>
      <c r="AH675">
        <v>11</v>
      </c>
      <c r="AI675">
        <v>2416.1799999999998</v>
      </c>
      <c r="AJ675">
        <v>26577.98</v>
      </c>
    </row>
    <row r="676" spans="1:36">
      <c r="A676" s="25">
        <v>45168</v>
      </c>
      <c r="B676" t="s">
        <v>1692</v>
      </c>
      <c r="C676" t="s">
        <v>1693</v>
      </c>
      <c r="D676" t="s">
        <v>1683</v>
      </c>
      <c r="E676" t="s">
        <v>1679</v>
      </c>
      <c r="F676" t="s">
        <v>114</v>
      </c>
      <c r="G676" t="s">
        <v>1712</v>
      </c>
      <c r="H676">
        <v>17</v>
      </c>
      <c r="I676">
        <v>583.88</v>
      </c>
      <c r="J676">
        <v>9925.9599999999991</v>
      </c>
      <c r="AA676">
        <v>45138</v>
      </c>
      <c r="AB676" t="str">
        <v>Ananya</v>
      </c>
      <c r="AC676" t="str">
        <v>Ahmedabad</v>
      </c>
      <c r="AD676" t="str">
        <v>Gujarat</v>
      </c>
      <c r="AE676" t="str">
        <v>West</v>
      </c>
      <c r="AF676" t="str">
        <v>Stationery</v>
      </c>
      <c r="AG676" t="str">
        <v>Ruler</v>
      </c>
      <c r="AH676">
        <v>6</v>
      </c>
      <c r="AI676">
        <v>3847.76</v>
      </c>
      <c r="AJ676">
        <v>23086.560000000001</v>
      </c>
    </row>
    <row r="677" spans="1:36">
      <c r="A677" s="25">
        <v>45060</v>
      </c>
      <c r="B677" t="s">
        <v>1689</v>
      </c>
      <c r="C677" t="s">
        <v>1693</v>
      </c>
      <c r="D677" t="s">
        <v>1683</v>
      </c>
      <c r="E677" t="s">
        <v>1679</v>
      </c>
      <c r="F677" t="s">
        <v>114</v>
      </c>
      <c r="G677" t="s">
        <v>1712</v>
      </c>
      <c r="H677">
        <v>4</v>
      </c>
      <c r="I677">
        <v>917.97</v>
      </c>
      <c r="J677">
        <v>3671.88</v>
      </c>
      <c r="AA677">
        <v>45102</v>
      </c>
      <c r="AB677" t="str">
        <v>Ishita</v>
      </c>
      <c r="AC677" t="str">
        <v>Ahmedabad</v>
      </c>
      <c r="AD677" t="str">
        <v>Gujarat</v>
      </c>
      <c r="AE677" t="str">
        <v>West</v>
      </c>
      <c r="AF677" t="str">
        <v>Stationery</v>
      </c>
      <c r="AG677" t="str">
        <v>Eraser</v>
      </c>
      <c r="AH677">
        <v>12</v>
      </c>
      <c r="AI677">
        <v>1554.75</v>
      </c>
      <c r="AJ677">
        <v>18657</v>
      </c>
    </row>
    <row r="678" spans="1:36">
      <c r="A678" s="25">
        <v>44972</v>
      </c>
      <c r="B678" t="s">
        <v>1681</v>
      </c>
      <c r="C678" t="s">
        <v>1693</v>
      </c>
      <c r="D678" t="s">
        <v>1683</v>
      </c>
      <c r="E678" t="s">
        <v>1679</v>
      </c>
      <c r="F678" t="s">
        <v>114</v>
      </c>
      <c r="G678" t="s">
        <v>1691</v>
      </c>
      <c r="H678">
        <v>3</v>
      </c>
      <c r="I678">
        <v>1133.19</v>
      </c>
      <c r="J678">
        <v>3399.57</v>
      </c>
      <c r="AA678">
        <v>45097</v>
      </c>
      <c r="AB678" t="str">
        <v>Nishant</v>
      </c>
      <c r="AC678" t="str">
        <v>Ahmedabad</v>
      </c>
      <c r="AD678" t="str">
        <v>Gujarat</v>
      </c>
      <c r="AE678" t="str">
        <v>West</v>
      </c>
      <c r="AF678" t="str">
        <v>Stationery</v>
      </c>
      <c r="AG678" t="str">
        <v>Eraser</v>
      </c>
      <c r="AH678">
        <v>17</v>
      </c>
      <c r="AI678">
        <v>1037.05</v>
      </c>
      <c r="AJ678">
        <v>17629.849999999999</v>
      </c>
    </row>
    <row r="679" spans="1:36">
      <c r="A679" s="25">
        <v>45094</v>
      </c>
      <c r="B679" t="s">
        <v>1700</v>
      </c>
      <c r="C679" t="s">
        <v>1672</v>
      </c>
      <c r="D679" t="s">
        <v>1673</v>
      </c>
      <c r="E679" t="s">
        <v>1674</v>
      </c>
      <c r="F679" t="s">
        <v>97</v>
      </c>
      <c r="G679" t="s">
        <v>1697</v>
      </c>
      <c r="H679">
        <v>18</v>
      </c>
      <c r="I679">
        <v>4718.22</v>
      </c>
      <c r="J679">
        <v>84927.96</v>
      </c>
      <c r="AA679">
        <v>45237</v>
      </c>
      <c r="AB679" t="str">
        <v>Aditi</v>
      </c>
      <c r="AC679" t="str">
        <v>Ahmedabad</v>
      </c>
      <c r="AD679" t="str">
        <v>Gujarat</v>
      </c>
      <c r="AE679" t="str">
        <v>West</v>
      </c>
      <c r="AF679" t="str">
        <v>Stationery</v>
      </c>
      <c r="AG679" t="str">
        <v>Pen</v>
      </c>
      <c r="AH679">
        <v>2</v>
      </c>
      <c r="AI679">
        <v>4050.46</v>
      </c>
      <c r="AJ679">
        <v>8100.92</v>
      </c>
    </row>
    <row r="680" spans="1:36">
      <c r="A680" s="25">
        <v>45129</v>
      </c>
      <c r="B680" t="s">
        <v>1671</v>
      </c>
      <c r="C680" t="s">
        <v>1672</v>
      </c>
      <c r="D680" t="s">
        <v>1673</v>
      </c>
      <c r="E680" t="s">
        <v>1674</v>
      </c>
      <c r="F680" t="s">
        <v>97</v>
      </c>
      <c r="G680" t="s">
        <v>1699</v>
      </c>
      <c r="H680">
        <v>13</v>
      </c>
      <c r="I680">
        <v>4686.21</v>
      </c>
      <c r="J680">
        <v>60920.73</v>
      </c>
      <c r="AA680">
        <v>44968</v>
      </c>
      <c r="AB680" t="str">
        <v>Ananya</v>
      </c>
      <c r="AC680" t="str">
        <v>Ahmedabad</v>
      </c>
      <c r="AD680" t="str">
        <v>Gujarat</v>
      </c>
      <c r="AE680" t="str">
        <v>West</v>
      </c>
      <c r="AF680" t="str">
        <v>Stationery</v>
      </c>
      <c r="AG680" t="str">
        <v>Ruler</v>
      </c>
      <c r="AH680">
        <v>4</v>
      </c>
      <c r="AI680">
        <v>1139.74</v>
      </c>
      <c r="AJ680">
        <v>4558.96</v>
      </c>
    </row>
    <row r="681" spans="1:36">
      <c r="A681" s="25">
        <v>45046</v>
      </c>
      <c r="B681" t="s">
        <v>1689</v>
      </c>
      <c r="C681" t="s">
        <v>1672</v>
      </c>
      <c r="D681" t="s">
        <v>1673</v>
      </c>
      <c r="E681" t="s">
        <v>1674</v>
      </c>
      <c r="F681" t="s">
        <v>97</v>
      </c>
      <c r="G681" t="s">
        <v>1699</v>
      </c>
      <c r="H681">
        <v>18</v>
      </c>
      <c r="I681">
        <v>3271.29</v>
      </c>
      <c r="J681">
        <v>58883.22</v>
      </c>
      <c r="AA681">
        <v>44941</v>
      </c>
      <c r="AB681" t="str">
        <v>Aarav</v>
      </c>
      <c r="AC681" t="str">
        <v>Ahmedabad</v>
      </c>
      <c r="AD681" t="str">
        <v>Gujarat</v>
      </c>
      <c r="AE681" t="str">
        <v>West</v>
      </c>
      <c r="AF681" t="str">
        <v>Stationery</v>
      </c>
      <c r="AG681" t="str">
        <v>Pen</v>
      </c>
      <c r="AH681">
        <v>1</v>
      </c>
      <c r="AI681">
        <v>549.14</v>
      </c>
      <c r="AJ681">
        <v>549.14</v>
      </c>
    </row>
    <row r="682" spans="1:36">
      <c r="A682" s="25">
        <v>45261</v>
      </c>
      <c r="B682" t="s">
        <v>1694</v>
      </c>
      <c r="C682" t="s">
        <v>1672</v>
      </c>
      <c r="D682" t="s">
        <v>1673</v>
      </c>
      <c r="E682" t="s">
        <v>1674</v>
      </c>
      <c r="F682" t="s">
        <v>97</v>
      </c>
      <c r="G682" t="s">
        <v>1685</v>
      </c>
      <c r="H682">
        <v>12</v>
      </c>
      <c r="I682">
        <v>4514.3900000000003</v>
      </c>
      <c r="J682">
        <v>54172.68</v>
      </c>
      <c r="AA682">
        <v>45134</v>
      </c>
      <c r="AB682" t="str">
        <v>Meera</v>
      </c>
      <c r="AC682" t="str">
        <v>Mumbai</v>
      </c>
      <c r="AD682" t="str">
        <v>Maharashtra</v>
      </c>
      <c r="AE682" t="str">
        <v>West</v>
      </c>
      <c r="AF682" t="str">
        <v>Clothing</v>
      </c>
      <c r="AG682" t="str">
        <v>Dress</v>
      </c>
      <c r="AH682">
        <v>15</v>
      </c>
      <c r="AI682">
        <v>4671.6899999999996</v>
      </c>
      <c r="AJ682">
        <v>70075.350000000006</v>
      </c>
    </row>
    <row r="683" spans="1:36">
      <c r="A683" s="25">
        <v>44974</v>
      </c>
      <c r="B683" t="s">
        <v>1689</v>
      </c>
      <c r="C683" t="s">
        <v>1672</v>
      </c>
      <c r="D683" t="s">
        <v>1673</v>
      </c>
      <c r="E683" t="s">
        <v>1674</v>
      </c>
      <c r="F683" t="s">
        <v>97</v>
      </c>
      <c r="G683" t="s">
        <v>1685</v>
      </c>
      <c r="H683">
        <v>10</v>
      </c>
      <c r="I683">
        <v>4247.74</v>
      </c>
      <c r="J683">
        <v>42477.4</v>
      </c>
      <c r="AA683">
        <v>45117</v>
      </c>
      <c r="AB683" t="str">
        <v>Meera</v>
      </c>
      <c r="AC683" t="str">
        <v>Mumbai</v>
      </c>
      <c r="AD683" t="str">
        <v>Maharashtra</v>
      </c>
      <c r="AE683" t="str">
        <v>West</v>
      </c>
      <c r="AF683" t="str">
        <v>Clothing</v>
      </c>
      <c r="AG683" t="str">
        <v>Dress</v>
      </c>
      <c r="AH683">
        <v>16</v>
      </c>
      <c r="AI683">
        <v>3858.12</v>
      </c>
      <c r="AJ683">
        <v>61729.919999999998</v>
      </c>
    </row>
    <row r="684" spans="1:36">
      <c r="A684" s="25">
        <v>44948</v>
      </c>
      <c r="B684" t="s">
        <v>1689</v>
      </c>
      <c r="C684" t="s">
        <v>1672</v>
      </c>
      <c r="D684" t="s">
        <v>1673</v>
      </c>
      <c r="E684" t="s">
        <v>1674</v>
      </c>
      <c r="F684" t="s">
        <v>97</v>
      </c>
      <c r="G684" t="s">
        <v>1685</v>
      </c>
      <c r="H684">
        <v>14</v>
      </c>
      <c r="I684">
        <v>2713.47</v>
      </c>
      <c r="J684">
        <v>37988.58</v>
      </c>
      <c r="AA684">
        <v>45247</v>
      </c>
      <c r="AB684" t="str">
        <v>Aditi</v>
      </c>
      <c r="AC684" t="str">
        <v>Mumbai</v>
      </c>
      <c r="AD684" t="str">
        <v>Maharashtra</v>
      </c>
      <c r="AE684" t="str">
        <v>West</v>
      </c>
      <c r="AF684" t="str">
        <v>Clothing</v>
      </c>
      <c r="AG684" t="str">
        <v>Dress</v>
      </c>
      <c r="AH684">
        <v>12</v>
      </c>
      <c r="AI684">
        <v>3961.23</v>
      </c>
      <c r="AJ684">
        <v>47534.76</v>
      </c>
    </row>
    <row r="685" spans="1:36">
      <c r="A685" s="25">
        <v>45267</v>
      </c>
      <c r="B685" t="s">
        <v>1676</v>
      </c>
      <c r="C685" t="s">
        <v>1672</v>
      </c>
      <c r="D685" t="s">
        <v>1673</v>
      </c>
      <c r="E685" t="s">
        <v>1674</v>
      </c>
      <c r="F685" t="s">
        <v>97</v>
      </c>
      <c r="G685" t="s">
        <v>1697</v>
      </c>
      <c r="H685">
        <v>12</v>
      </c>
      <c r="I685">
        <v>2170.02</v>
      </c>
      <c r="J685">
        <v>26040.240000000002</v>
      </c>
      <c r="AA685">
        <v>45107</v>
      </c>
      <c r="AB685" t="str">
        <v>Riya</v>
      </c>
      <c r="AC685" t="str">
        <v>Mumbai</v>
      </c>
      <c r="AD685" t="str">
        <v>Maharashtra</v>
      </c>
      <c r="AE685" t="str">
        <v>West</v>
      </c>
      <c r="AF685" t="str">
        <v>Clothing</v>
      </c>
      <c r="AG685" t="str">
        <v>Dress</v>
      </c>
      <c r="AH685">
        <v>11</v>
      </c>
      <c r="AI685">
        <v>3562.92</v>
      </c>
      <c r="AJ685">
        <v>39192.120000000003</v>
      </c>
    </row>
    <row r="686" spans="1:36">
      <c r="A686" s="25">
        <v>44986</v>
      </c>
      <c r="B686" t="s">
        <v>1705</v>
      </c>
      <c r="C686" t="s">
        <v>1672</v>
      </c>
      <c r="D686" t="s">
        <v>1673</v>
      </c>
      <c r="E686" t="s">
        <v>1674</v>
      </c>
      <c r="F686" t="s">
        <v>97</v>
      </c>
      <c r="G686" t="s">
        <v>1685</v>
      </c>
      <c r="H686">
        <v>8</v>
      </c>
      <c r="I686">
        <v>3075.58</v>
      </c>
      <c r="J686">
        <v>24604.639999999999</v>
      </c>
      <c r="AA686">
        <v>45195</v>
      </c>
      <c r="AB686" t="str">
        <v>Kabir</v>
      </c>
      <c r="AC686" t="str">
        <v>Mumbai</v>
      </c>
      <c r="AD686" t="str">
        <v>Maharashtra</v>
      </c>
      <c r="AE686" t="str">
        <v>West</v>
      </c>
      <c r="AF686" t="str">
        <v>Clothing</v>
      </c>
      <c r="AG686" t="str">
        <v>Shirt</v>
      </c>
      <c r="AH686">
        <v>18</v>
      </c>
      <c r="AI686">
        <v>1957.78</v>
      </c>
      <c r="AJ686">
        <v>35240.04</v>
      </c>
    </row>
    <row r="687" spans="1:36">
      <c r="A687" s="25">
        <v>45123</v>
      </c>
      <c r="B687" t="s">
        <v>1686</v>
      </c>
      <c r="C687" t="s">
        <v>1672</v>
      </c>
      <c r="D687" t="s">
        <v>1673</v>
      </c>
      <c r="E687" t="s">
        <v>1674</v>
      </c>
      <c r="F687" t="s">
        <v>97</v>
      </c>
      <c r="G687" t="s">
        <v>1685</v>
      </c>
      <c r="H687">
        <v>6</v>
      </c>
      <c r="I687">
        <v>3566.53</v>
      </c>
      <c r="J687">
        <v>21399.18</v>
      </c>
      <c r="AA687">
        <v>45288</v>
      </c>
      <c r="AB687" t="str">
        <v>Aryan</v>
      </c>
      <c r="AC687" t="str">
        <v>Mumbai</v>
      </c>
      <c r="AD687" t="str">
        <v>Maharashtra</v>
      </c>
      <c r="AE687" t="str">
        <v>West</v>
      </c>
      <c r="AF687" t="str">
        <v>Clothing</v>
      </c>
      <c r="AG687" t="str">
        <v>Pants</v>
      </c>
      <c r="AH687">
        <v>18</v>
      </c>
      <c r="AI687">
        <v>1928.15</v>
      </c>
      <c r="AJ687">
        <v>34706.699999999997</v>
      </c>
    </row>
    <row r="688" spans="1:36">
      <c r="A688" s="25">
        <v>45106</v>
      </c>
      <c r="B688" t="s">
        <v>1692</v>
      </c>
      <c r="C688" t="s">
        <v>1672</v>
      </c>
      <c r="D688" t="s">
        <v>1673</v>
      </c>
      <c r="E688" t="s">
        <v>1674</v>
      </c>
      <c r="F688" t="s">
        <v>97</v>
      </c>
      <c r="G688" t="s">
        <v>1697</v>
      </c>
      <c r="H688">
        <v>5</v>
      </c>
      <c r="I688">
        <v>4175.13</v>
      </c>
      <c r="J688">
        <v>20875.650000000001</v>
      </c>
      <c r="AA688">
        <v>44969</v>
      </c>
      <c r="AB688" t="str">
        <v>Meera</v>
      </c>
      <c r="AC688" t="str">
        <v>Mumbai</v>
      </c>
      <c r="AD688" t="str">
        <v>Maharashtra</v>
      </c>
      <c r="AE688" t="str">
        <v>West</v>
      </c>
      <c r="AF688" t="str">
        <v>Clothing</v>
      </c>
      <c r="AG688" t="str">
        <v>Shirt</v>
      </c>
      <c r="AH688">
        <v>10</v>
      </c>
      <c r="AI688">
        <v>3391.5</v>
      </c>
      <c r="AJ688">
        <v>33915</v>
      </c>
    </row>
    <row r="689" spans="1:36">
      <c r="A689" s="25">
        <v>45118</v>
      </c>
      <c r="B689" t="s">
        <v>1671</v>
      </c>
      <c r="C689" t="s">
        <v>1672</v>
      </c>
      <c r="D689" t="s">
        <v>1673</v>
      </c>
      <c r="E689" t="s">
        <v>1674</v>
      </c>
      <c r="F689" t="s">
        <v>97</v>
      </c>
      <c r="G689" t="s">
        <v>1697</v>
      </c>
      <c r="H689">
        <v>18</v>
      </c>
      <c r="I689">
        <v>1120.0999999999999</v>
      </c>
      <c r="J689">
        <v>20161.8</v>
      </c>
      <c r="AA689">
        <v>45163</v>
      </c>
      <c r="AB689" t="str">
        <v>Aryan</v>
      </c>
      <c r="AC689" t="str">
        <v>Mumbai</v>
      </c>
      <c r="AD689" t="str">
        <v>Maharashtra</v>
      </c>
      <c r="AE689" t="str">
        <v>West</v>
      </c>
      <c r="AF689" t="str">
        <v>Clothing</v>
      </c>
      <c r="AG689" t="str">
        <v>Shirt</v>
      </c>
      <c r="AH689">
        <v>9</v>
      </c>
      <c r="AI689">
        <v>2935.97</v>
      </c>
      <c r="AJ689">
        <v>26423.73</v>
      </c>
    </row>
    <row r="690" spans="1:36">
      <c r="A690" s="25">
        <v>45003</v>
      </c>
      <c r="B690" t="s">
        <v>1700</v>
      </c>
      <c r="C690" t="s">
        <v>1672</v>
      </c>
      <c r="D690" t="s">
        <v>1673</v>
      </c>
      <c r="E690" t="s">
        <v>1674</v>
      </c>
      <c r="F690" t="s">
        <v>97</v>
      </c>
      <c r="G690" t="s">
        <v>1697</v>
      </c>
      <c r="H690">
        <v>4</v>
      </c>
      <c r="I690">
        <v>2985.48</v>
      </c>
      <c r="J690">
        <v>11941.92</v>
      </c>
      <c r="AA690">
        <v>45154</v>
      </c>
      <c r="AB690" t="str">
        <v>Aryan</v>
      </c>
      <c r="AC690" t="str">
        <v>Mumbai</v>
      </c>
      <c r="AD690" t="str">
        <v>Maharashtra</v>
      </c>
      <c r="AE690" t="str">
        <v>West</v>
      </c>
      <c r="AF690" t="str">
        <v>Clothing</v>
      </c>
      <c r="AG690" t="str">
        <v>Dress</v>
      </c>
      <c r="AH690">
        <v>4</v>
      </c>
      <c r="AI690">
        <v>4298.3500000000004</v>
      </c>
      <c r="AJ690">
        <v>17193.400000000001</v>
      </c>
    </row>
    <row r="691" spans="1:36">
      <c r="A691" s="25">
        <v>45036</v>
      </c>
      <c r="B691" t="s">
        <v>1698</v>
      </c>
      <c r="C691" t="s">
        <v>1672</v>
      </c>
      <c r="D691" t="s">
        <v>1673</v>
      </c>
      <c r="E691" t="s">
        <v>1674</v>
      </c>
      <c r="F691" t="s">
        <v>97</v>
      </c>
      <c r="G691" t="s">
        <v>1697</v>
      </c>
      <c r="H691">
        <v>10</v>
      </c>
      <c r="I691">
        <v>1018.19</v>
      </c>
      <c r="J691">
        <v>10181.9</v>
      </c>
      <c r="AA691">
        <v>45230</v>
      </c>
      <c r="AB691" t="str">
        <v>Kabir</v>
      </c>
      <c r="AC691" t="str">
        <v>Mumbai</v>
      </c>
      <c r="AD691" t="str">
        <v>Maharashtra</v>
      </c>
      <c r="AE691" t="str">
        <v>West</v>
      </c>
      <c r="AF691" t="str">
        <v>Clothing</v>
      </c>
      <c r="AG691" t="str">
        <v>Shirt</v>
      </c>
      <c r="AH691">
        <v>3</v>
      </c>
      <c r="AI691">
        <v>4447.8999999999996</v>
      </c>
      <c r="AJ691">
        <v>13343.7</v>
      </c>
    </row>
    <row r="692" spans="1:36">
      <c r="A692" s="25">
        <v>45220</v>
      </c>
      <c r="B692" t="s">
        <v>1681</v>
      </c>
      <c r="C692" t="s">
        <v>1672</v>
      </c>
      <c r="D692" t="s">
        <v>1673</v>
      </c>
      <c r="E692" t="s">
        <v>1674</v>
      </c>
      <c r="F692" t="s">
        <v>97</v>
      </c>
      <c r="G692" t="s">
        <v>1697</v>
      </c>
      <c r="H692">
        <v>2</v>
      </c>
      <c r="I692">
        <v>4726.0600000000004</v>
      </c>
      <c r="J692">
        <v>9452.1200000000008</v>
      </c>
      <c r="AA692">
        <v>44968</v>
      </c>
      <c r="AB692" t="str">
        <v>Aryan</v>
      </c>
      <c r="AC692" t="str">
        <v>Mumbai</v>
      </c>
      <c r="AD692" t="str">
        <v>Maharashtra</v>
      </c>
      <c r="AE692" t="str">
        <v>West</v>
      </c>
      <c r="AF692" t="str">
        <v>Clothing</v>
      </c>
      <c r="AG692" t="str">
        <v>Jacket</v>
      </c>
      <c r="AH692">
        <v>2</v>
      </c>
      <c r="AI692">
        <v>4845.74</v>
      </c>
      <c r="AJ692">
        <v>9691.48</v>
      </c>
    </row>
    <row r="693" spans="1:36">
      <c r="A693" s="25">
        <v>45073</v>
      </c>
      <c r="B693" t="s">
        <v>1700</v>
      </c>
      <c r="C693" t="s">
        <v>1672</v>
      </c>
      <c r="D693" t="s">
        <v>1673</v>
      </c>
      <c r="E693" t="s">
        <v>1674</v>
      </c>
      <c r="F693" t="s">
        <v>97</v>
      </c>
      <c r="G693" t="s">
        <v>1697</v>
      </c>
      <c r="H693">
        <v>7</v>
      </c>
      <c r="I693">
        <v>1257.3399999999999</v>
      </c>
      <c r="J693">
        <v>8801.3799999999992</v>
      </c>
      <c r="AA693">
        <v>45270</v>
      </c>
      <c r="AB693" t="str">
        <v>Riya</v>
      </c>
      <c r="AC693" t="str">
        <v>Mumbai</v>
      </c>
      <c r="AD693" t="str">
        <v>Maharashtra</v>
      </c>
      <c r="AE693" t="str">
        <v>West</v>
      </c>
      <c r="AF693" t="str">
        <v>Clothing</v>
      </c>
      <c r="AG693" t="str">
        <v>Dress</v>
      </c>
      <c r="AH693">
        <v>11</v>
      </c>
      <c r="AI693">
        <v>827.59</v>
      </c>
      <c r="AJ693">
        <v>9103.49</v>
      </c>
    </row>
    <row r="694" spans="1:36">
      <c r="A694" s="25">
        <v>45222</v>
      </c>
      <c r="B694" t="s">
        <v>1692</v>
      </c>
      <c r="C694" t="s">
        <v>1672</v>
      </c>
      <c r="D694" t="s">
        <v>1673</v>
      </c>
      <c r="E694" t="s">
        <v>1674</v>
      </c>
      <c r="F694" t="s">
        <v>97</v>
      </c>
      <c r="G694" t="s">
        <v>1697</v>
      </c>
      <c r="H694">
        <v>1</v>
      </c>
      <c r="I694">
        <v>3758.07</v>
      </c>
      <c r="J694">
        <v>3758.07</v>
      </c>
      <c r="AA694">
        <v>45274</v>
      </c>
      <c r="AB694" t="str">
        <v>Nishant</v>
      </c>
      <c r="AC694" t="str">
        <v>Mumbai</v>
      </c>
      <c r="AD694" t="str">
        <v>Maharashtra</v>
      </c>
      <c r="AE694" t="str">
        <v>West</v>
      </c>
      <c r="AF694" t="str">
        <v>Clothing</v>
      </c>
      <c r="AG694" t="str">
        <v>Jacket</v>
      </c>
      <c r="AH694">
        <v>2</v>
      </c>
      <c r="AI694">
        <v>3024.56</v>
      </c>
      <c r="AJ694">
        <v>6049.12</v>
      </c>
    </row>
    <row r="695" spans="1:36">
      <c r="A695" s="25">
        <v>45015</v>
      </c>
      <c r="B695" t="s">
        <v>1671</v>
      </c>
      <c r="C695" t="s">
        <v>1672</v>
      </c>
      <c r="D695" t="s">
        <v>1673</v>
      </c>
      <c r="E695" t="s">
        <v>1674</v>
      </c>
      <c r="F695" t="s">
        <v>89</v>
      </c>
      <c r="G695" t="s">
        <v>1106</v>
      </c>
      <c r="H695">
        <v>13</v>
      </c>
      <c r="I695">
        <v>4843.21</v>
      </c>
      <c r="J695">
        <v>62961.73</v>
      </c>
      <c r="AA695">
        <v>44961</v>
      </c>
      <c r="AB695" t="str">
        <v>Kabir</v>
      </c>
      <c r="AC695" t="str">
        <v>Mumbai</v>
      </c>
      <c r="AD695" t="str">
        <v>Maharashtra</v>
      </c>
      <c r="AE695" t="str">
        <v>West</v>
      </c>
      <c r="AF695" t="str">
        <v>Clothing</v>
      </c>
      <c r="AG695" t="str">
        <v>Pants</v>
      </c>
      <c r="AH695">
        <v>2</v>
      </c>
      <c r="AI695">
        <v>2623.43</v>
      </c>
      <c r="AJ695">
        <v>5246.86</v>
      </c>
    </row>
    <row r="696" spans="1:36">
      <c r="A696" s="25">
        <v>45168</v>
      </c>
      <c r="B696" t="s">
        <v>1686</v>
      </c>
      <c r="C696" t="s">
        <v>1672</v>
      </c>
      <c r="D696" t="s">
        <v>1673</v>
      </c>
      <c r="E696" t="s">
        <v>1674</v>
      </c>
      <c r="F696" t="s">
        <v>89</v>
      </c>
      <c r="G696" t="s">
        <v>1105</v>
      </c>
      <c r="H696">
        <v>12</v>
      </c>
      <c r="I696">
        <v>4405.1899999999996</v>
      </c>
      <c r="J696">
        <v>52862.28</v>
      </c>
      <c r="AA696">
        <v>45165</v>
      </c>
      <c r="AB696" t="str">
        <v>Kabir</v>
      </c>
      <c r="AC696" t="str">
        <v>Mumbai</v>
      </c>
      <c r="AD696" t="str">
        <v>Maharashtra</v>
      </c>
      <c r="AE696" t="str">
        <v>West</v>
      </c>
      <c r="AF696" t="str">
        <v>Clothing</v>
      </c>
      <c r="AG696" t="str">
        <v>Dress</v>
      </c>
      <c r="AH696">
        <v>2</v>
      </c>
      <c r="AI696">
        <v>991.8</v>
      </c>
      <c r="AJ696">
        <v>1983.6</v>
      </c>
    </row>
    <row r="697" spans="1:36">
      <c r="A697" s="25">
        <v>45223</v>
      </c>
      <c r="B697" t="s">
        <v>1705</v>
      </c>
      <c r="C697" t="s">
        <v>1672</v>
      </c>
      <c r="D697" t="s">
        <v>1673</v>
      </c>
      <c r="E697" t="s">
        <v>1674</v>
      </c>
      <c r="F697" t="s">
        <v>89</v>
      </c>
      <c r="G697" t="s">
        <v>1713</v>
      </c>
      <c r="H697">
        <v>15</v>
      </c>
      <c r="I697">
        <v>3225.2</v>
      </c>
      <c r="J697">
        <v>48378</v>
      </c>
      <c r="AA697">
        <v>45244</v>
      </c>
      <c r="AB697" t="str">
        <v>Ishita</v>
      </c>
      <c r="AC697" t="str">
        <v>Mumbai</v>
      </c>
      <c r="AD697" t="str">
        <v>Maharashtra</v>
      </c>
      <c r="AE697" t="str">
        <v>West</v>
      </c>
      <c r="AF697" t="str">
        <v>Clothing</v>
      </c>
      <c r="AG697" t="str">
        <v>Jacket</v>
      </c>
      <c r="AH697">
        <v>13</v>
      </c>
      <c r="AI697">
        <v>151.65</v>
      </c>
      <c r="AJ697">
        <v>1971.45</v>
      </c>
    </row>
    <row r="698" spans="1:36">
      <c r="A698" s="25">
        <v>45042</v>
      </c>
      <c r="B698" t="s">
        <v>1692</v>
      </c>
      <c r="C698" t="s">
        <v>1672</v>
      </c>
      <c r="D698" t="s">
        <v>1673</v>
      </c>
      <c r="E698" t="s">
        <v>1674</v>
      </c>
      <c r="F698" t="s">
        <v>89</v>
      </c>
      <c r="G698" t="s">
        <v>1713</v>
      </c>
      <c r="H698">
        <v>20</v>
      </c>
      <c r="I698">
        <v>2163.9499999999998</v>
      </c>
      <c r="J698">
        <v>43279</v>
      </c>
      <c r="AA698">
        <v>45077</v>
      </c>
      <c r="AB698" t="str">
        <v>Meera</v>
      </c>
      <c r="AC698" t="str">
        <v>Mumbai</v>
      </c>
      <c r="AD698" t="str">
        <v>Maharashtra</v>
      </c>
      <c r="AE698" t="str">
        <v>West</v>
      </c>
      <c r="AF698" t="str">
        <v>Clothing</v>
      </c>
      <c r="AG698" t="str">
        <v>Dress</v>
      </c>
      <c r="AH698">
        <v>7</v>
      </c>
      <c r="AI698">
        <v>105.05</v>
      </c>
      <c r="AJ698">
        <v>735.35</v>
      </c>
    </row>
    <row r="699" spans="1:36">
      <c r="A699" s="25">
        <v>45129</v>
      </c>
      <c r="B699" t="s">
        <v>1681</v>
      </c>
      <c r="C699" t="s">
        <v>1672</v>
      </c>
      <c r="D699" t="s">
        <v>1673</v>
      </c>
      <c r="E699" t="s">
        <v>1674</v>
      </c>
      <c r="F699" t="s">
        <v>89</v>
      </c>
      <c r="G699" t="s">
        <v>1713</v>
      </c>
      <c r="H699">
        <v>10</v>
      </c>
      <c r="I699">
        <v>4282.18</v>
      </c>
      <c r="J699">
        <v>42821.8</v>
      </c>
      <c r="AA699">
        <v>45030</v>
      </c>
      <c r="AB699" t="str">
        <v>Aryan</v>
      </c>
      <c r="AC699" t="str">
        <v>Mumbai</v>
      </c>
      <c r="AD699" t="str">
        <v>Maharashtra</v>
      </c>
      <c r="AE699" t="str">
        <v>West</v>
      </c>
      <c r="AF699" t="str">
        <v>Electronics</v>
      </c>
      <c r="AG699" t="str">
        <v>Tablet</v>
      </c>
      <c r="AH699">
        <v>15</v>
      </c>
      <c r="AI699">
        <v>2796.48</v>
      </c>
      <c r="AJ699">
        <v>41947.199999999997</v>
      </c>
    </row>
    <row r="700" spans="1:36">
      <c r="A700" s="25">
        <v>44967</v>
      </c>
      <c r="B700" t="s">
        <v>1686</v>
      </c>
      <c r="C700" t="s">
        <v>1672</v>
      </c>
      <c r="D700" t="s">
        <v>1673</v>
      </c>
      <c r="E700" t="s">
        <v>1674</v>
      </c>
      <c r="F700" t="s">
        <v>89</v>
      </c>
      <c r="G700" t="s">
        <v>1105</v>
      </c>
      <c r="H700">
        <v>19</v>
      </c>
      <c r="I700">
        <v>2174.7600000000002</v>
      </c>
      <c r="J700">
        <v>41320.44</v>
      </c>
      <c r="AA700">
        <v>45148</v>
      </c>
      <c r="AB700" t="str">
        <v>Aditi</v>
      </c>
      <c r="AC700" t="str">
        <v>Mumbai</v>
      </c>
      <c r="AD700" t="str">
        <v>Maharashtra</v>
      </c>
      <c r="AE700" t="str">
        <v>West</v>
      </c>
      <c r="AF700" t="str">
        <v>Electronics</v>
      </c>
      <c r="AG700" t="str">
        <v>Headphones</v>
      </c>
      <c r="AH700">
        <v>10</v>
      </c>
      <c r="AI700">
        <v>1693.46</v>
      </c>
      <c r="AJ700">
        <v>16934.599999999999</v>
      </c>
    </row>
    <row r="701" spans="1:36">
      <c r="A701" s="25">
        <v>45175</v>
      </c>
      <c r="B701" t="s">
        <v>1676</v>
      </c>
      <c r="C701" t="s">
        <v>1672</v>
      </c>
      <c r="D701" t="s">
        <v>1673</v>
      </c>
      <c r="E701" t="s">
        <v>1674</v>
      </c>
      <c r="F701" t="s">
        <v>89</v>
      </c>
      <c r="G701" t="s">
        <v>1106</v>
      </c>
      <c r="H701">
        <v>6</v>
      </c>
      <c r="I701">
        <v>2920.43</v>
      </c>
      <c r="J701">
        <v>17522.580000000002</v>
      </c>
      <c r="AA701">
        <v>45050</v>
      </c>
      <c r="AB701" t="str">
        <v>Aarav</v>
      </c>
      <c r="AC701" t="str">
        <v>Mumbai</v>
      </c>
      <c r="AD701" t="str">
        <v>Maharashtra</v>
      </c>
      <c r="AE701" t="str">
        <v>West</v>
      </c>
      <c r="AF701" t="str">
        <v>Electronics</v>
      </c>
      <c r="AG701" t="str">
        <v>Laptop</v>
      </c>
      <c r="AH701">
        <v>6</v>
      </c>
      <c r="AI701">
        <v>2282.5500000000002</v>
      </c>
      <c r="AJ701">
        <v>13695.3</v>
      </c>
    </row>
    <row r="702" spans="1:36">
      <c r="A702" s="25">
        <v>44963</v>
      </c>
      <c r="B702" t="s">
        <v>1671</v>
      </c>
      <c r="C702" t="s">
        <v>1672</v>
      </c>
      <c r="D702" t="s">
        <v>1673</v>
      </c>
      <c r="E702" t="s">
        <v>1674</v>
      </c>
      <c r="F702" t="s">
        <v>89</v>
      </c>
      <c r="G702" t="s">
        <v>1106</v>
      </c>
      <c r="H702">
        <v>12</v>
      </c>
      <c r="I702">
        <v>1410.03</v>
      </c>
      <c r="J702">
        <v>16920.36</v>
      </c>
      <c r="AA702">
        <v>45264</v>
      </c>
      <c r="AB702" t="str">
        <v>Ishita</v>
      </c>
      <c r="AC702" t="str">
        <v>Mumbai</v>
      </c>
      <c r="AD702" t="str">
        <v>Maharashtra</v>
      </c>
      <c r="AE702" t="str">
        <v>West</v>
      </c>
      <c r="AF702" t="str">
        <v>Electronics</v>
      </c>
      <c r="AG702" t="str">
        <v>Laptop</v>
      </c>
      <c r="AH702">
        <v>17</v>
      </c>
      <c r="AI702">
        <v>683.31</v>
      </c>
      <c r="AJ702">
        <v>11616.27</v>
      </c>
    </row>
    <row r="703" spans="1:36">
      <c r="A703" s="25">
        <v>45195</v>
      </c>
      <c r="B703" t="s">
        <v>1686</v>
      </c>
      <c r="C703" t="s">
        <v>1672</v>
      </c>
      <c r="D703" t="s">
        <v>1673</v>
      </c>
      <c r="E703" t="s">
        <v>1674</v>
      </c>
      <c r="F703" t="s">
        <v>89</v>
      </c>
      <c r="G703" t="s">
        <v>1106</v>
      </c>
      <c r="H703">
        <v>4</v>
      </c>
      <c r="I703">
        <v>3684.5</v>
      </c>
      <c r="J703">
        <v>14738</v>
      </c>
      <c r="AA703">
        <v>45058</v>
      </c>
      <c r="AB703" t="str">
        <v>Ishita</v>
      </c>
      <c r="AC703" t="str">
        <v>Mumbai</v>
      </c>
      <c r="AD703" t="str">
        <v>Maharashtra</v>
      </c>
      <c r="AE703" t="str">
        <v>West</v>
      </c>
      <c r="AF703" t="str">
        <v>Electronics</v>
      </c>
      <c r="AG703" t="str">
        <v>Laptop</v>
      </c>
      <c r="AH703">
        <v>9</v>
      </c>
      <c r="AI703">
        <v>109.56</v>
      </c>
      <c r="AJ703">
        <v>986.04</v>
      </c>
    </row>
    <row r="704" spans="1:36">
      <c r="A704" s="25">
        <v>44991</v>
      </c>
      <c r="B704" t="s">
        <v>1705</v>
      </c>
      <c r="C704" t="s">
        <v>1672</v>
      </c>
      <c r="D704" t="s">
        <v>1673</v>
      </c>
      <c r="E704" t="s">
        <v>1674</v>
      </c>
      <c r="F704" t="s">
        <v>89</v>
      </c>
      <c r="G704" t="s">
        <v>1714</v>
      </c>
      <c r="H704">
        <v>7</v>
      </c>
      <c r="I704">
        <v>2083.7800000000002</v>
      </c>
      <c r="J704">
        <v>14586.46</v>
      </c>
      <c r="AA704">
        <v>44977</v>
      </c>
      <c r="AB704" t="str">
        <v>Aditi</v>
      </c>
      <c r="AC704" t="str">
        <v>Mumbai</v>
      </c>
      <c r="AD704" t="str">
        <v>Maharashtra</v>
      </c>
      <c r="AE704" t="str">
        <v>West</v>
      </c>
      <c r="AF704" t="str">
        <v>Furniture</v>
      </c>
      <c r="AG704" t="str">
        <v>Sofa</v>
      </c>
      <c r="AH704">
        <v>15</v>
      </c>
      <c r="AI704">
        <v>4642.6899999999996</v>
      </c>
      <c r="AJ704">
        <v>69640.350000000006</v>
      </c>
    </row>
    <row r="705" spans="1:36">
      <c r="A705" s="25">
        <v>45241</v>
      </c>
      <c r="B705" t="s">
        <v>1686</v>
      </c>
      <c r="C705" t="s">
        <v>1672</v>
      </c>
      <c r="D705" t="s">
        <v>1673</v>
      </c>
      <c r="E705" t="s">
        <v>1674</v>
      </c>
      <c r="F705" t="s">
        <v>89</v>
      </c>
      <c r="G705" t="s">
        <v>1714</v>
      </c>
      <c r="H705">
        <v>16</v>
      </c>
      <c r="I705">
        <v>628.15</v>
      </c>
      <c r="J705">
        <v>10050.4</v>
      </c>
      <c r="AA705">
        <v>45090</v>
      </c>
      <c r="AB705" t="str">
        <v>Meera</v>
      </c>
      <c r="AC705" t="str">
        <v>Mumbai</v>
      </c>
      <c r="AD705" t="str">
        <v>Maharashtra</v>
      </c>
      <c r="AE705" t="str">
        <v>West</v>
      </c>
      <c r="AF705" t="str">
        <v>Furniture</v>
      </c>
      <c r="AG705" t="str">
        <v>Bed</v>
      </c>
      <c r="AH705">
        <v>17</v>
      </c>
      <c r="AI705">
        <v>2910.12</v>
      </c>
      <c r="AJ705">
        <v>49472.04</v>
      </c>
    </row>
    <row r="706" spans="1:36">
      <c r="A706" s="25">
        <v>45085</v>
      </c>
      <c r="B706" t="s">
        <v>1676</v>
      </c>
      <c r="C706" t="s">
        <v>1672</v>
      </c>
      <c r="D706" t="s">
        <v>1673</v>
      </c>
      <c r="E706" t="s">
        <v>1674</v>
      </c>
      <c r="F706" t="s">
        <v>89</v>
      </c>
      <c r="G706" t="s">
        <v>1105</v>
      </c>
      <c r="H706">
        <v>11</v>
      </c>
      <c r="I706">
        <v>864.29</v>
      </c>
      <c r="J706">
        <v>9507.19</v>
      </c>
      <c r="AA706">
        <v>45086</v>
      </c>
      <c r="AB706" t="str">
        <v>Meera</v>
      </c>
      <c r="AC706" t="str">
        <v>Mumbai</v>
      </c>
      <c r="AD706" t="str">
        <v>Maharashtra</v>
      </c>
      <c r="AE706" t="str">
        <v>West</v>
      </c>
      <c r="AF706" t="str">
        <v>Furniture</v>
      </c>
      <c r="AG706" t="str">
        <v>Chair</v>
      </c>
      <c r="AH706">
        <v>11</v>
      </c>
      <c r="AI706">
        <v>4242.8999999999996</v>
      </c>
      <c r="AJ706">
        <v>46671.9</v>
      </c>
    </row>
    <row r="707" spans="1:36">
      <c r="A707" s="25">
        <v>45060</v>
      </c>
      <c r="B707" t="s">
        <v>1689</v>
      </c>
      <c r="C707" t="s">
        <v>1672</v>
      </c>
      <c r="D707" t="s">
        <v>1673</v>
      </c>
      <c r="E707" t="s">
        <v>1674</v>
      </c>
      <c r="F707" t="s">
        <v>89</v>
      </c>
      <c r="G707" t="s">
        <v>1105</v>
      </c>
      <c r="H707">
        <v>2</v>
      </c>
      <c r="I707">
        <v>4542.6099999999997</v>
      </c>
      <c r="J707">
        <v>9085.2199999999993</v>
      </c>
      <c r="AA707">
        <v>45171</v>
      </c>
      <c r="AB707" t="str">
        <v>Ishita</v>
      </c>
      <c r="AC707" t="str">
        <v>Mumbai</v>
      </c>
      <c r="AD707" t="str">
        <v>Maharashtra</v>
      </c>
      <c r="AE707" t="str">
        <v>West</v>
      </c>
      <c r="AF707" t="str">
        <v>Furniture</v>
      </c>
      <c r="AG707" t="str">
        <v>Sofa</v>
      </c>
      <c r="AH707">
        <v>10</v>
      </c>
      <c r="AI707">
        <v>2750.69</v>
      </c>
      <c r="AJ707">
        <v>27506.9</v>
      </c>
    </row>
    <row r="708" spans="1:36">
      <c r="A708" s="25">
        <v>45069</v>
      </c>
      <c r="B708" t="s">
        <v>1692</v>
      </c>
      <c r="C708" t="s">
        <v>1672</v>
      </c>
      <c r="D708" t="s">
        <v>1673</v>
      </c>
      <c r="E708" t="s">
        <v>1674</v>
      </c>
      <c r="F708" t="s">
        <v>89</v>
      </c>
      <c r="G708" t="s">
        <v>1714</v>
      </c>
      <c r="H708">
        <v>7</v>
      </c>
      <c r="I708">
        <v>1249.3599999999999</v>
      </c>
      <c r="J708">
        <v>8745.52</v>
      </c>
      <c r="AA708">
        <v>45198</v>
      </c>
      <c r="AB708" t="str">
        <v>Aditi</v>
      </c>
      <c r="AC708" t="str">
        <v>Mumbai</v>
      </c>
      <c r="AD708" t="str">
        <v>Maharashtra</v>
      </c>
      <c r="AE708" t="str">
        <v>West</v>
      </c>
      <c r="AF708" t="str">
        <v>Furniture</v>
      </c>
      <c r="AG708" t="str">
        <v>Sofa</v>
      </c>
      <c r="AH708">
        <v>20</v>
      </c>
      <c r="AI708">
        <v>1365.33</v>
      </c>
      <c r="AJ708">
        <v>27306.6</v>
      </c>
    </row>
    <row r="709" spans="1:36">
      <c r="A709" s="25">
        <v>45253</v>
      </c>
      <c r="B709" t="s">
        <v>1689</v>
      </c>
      <c r="C709" t="s">
        <v>1672</v>
      </c>
      <c r="D709" t="s">
        <v>1673</v>
      </c>
      <c r="E709" t="s">
        <v>1674</v>
      </c>
      <c r="F709" t="s">
        <v>89</v>
      </c>
      <c r="G709" t="s">
        <v>1105</v>
      </c>
      <c r="H709">
        <v>3</v>
      </c>
      <c r="I709">
        <v>2055.4499999999998</v>
      </c>
      <c r="J709">
        <v>6166.35</v>
      </c>
      <c r="AA709">
        <v>45228</v>
      </c>
      <c r="AB709" t="str">
        <v>Aryan</v>
      </c>
      <c r="AC709" t="str">
        <v>Mumbai</v>
      </c>
      <c r="AD709" t="str">
        <v>Maharashtra</v>
      </c>
      <c r="AE709" t="str">
        <v>West</v>
      </c>
      <c r="AF709" t="str">
        <v>Furniture</v>
      </c>
      <c r="AG709" t="str">
        <v>Bed</v>
      </c>
      <c r="AH709">
        <v>6</v>
      </c>
      <c r="AI709">
        <v>3524.48</v>
      </c>
      <c r="AJ709">
        <v>21146.880000000001</v>
      </c>
    </row>
    <row r="710" spans="1:36">
      <c r="A710" s="25">
        <v>45160</v>
      </c>
      <c r="B710" t="s">
        <v>1692</v>
      </c>
      <c r="C710" t="s">
        <v>1672</v>
      </c>
      <c r="D710" t="s">
        <v>1673</v>
      </c>
      <c r="E710" t="s">
        <v>1674</v>
      </c>
      <c r="F710" t="s">
        <v>89</v>
      </c>
      <c r="G710" t="s">
        <v>1713</v>
      </c>
      <c r="H710">
        <v>9</v>
      </c>
      <c r="I710">
        <v>631.99</v>
      </c>
      <c r="J710">
        <v>5687.91</v>
      </c>
      <c r="AA710">
        <v>44931</v>
      </c>
      <c r="AB710" t="str">
        <v>Kabir</v>
      </c>
      <c r="AC710" t="str">
        <v>Mumbai</v>
      </c>
      <c r="AD710" t="str">
        <v>Maharashtra</v>
      </c>
      <c r="AE710" t="str">
        <v>West</v>
      </c>
      <c r="AF710" t="str">
        <v>Furniture</v>
      </c>
      <c r="AG710" t="str">
        <v>Sofa</v>
      </c>
      <c r="AH710">
        <v>4</v>
      </c>
      <c r="AI710">
        <v>4293.74</v>
      </c>
      <c r="AJ710">
        <v>17174.96</v>
      </c>
    </row>
    <row r="711" spans="1:36">
      <c r="A711" s="25">
        <v>44997</v>
      </c>
      <c r="B711" t="s">
        <v>1694</v>
      </c>
      <c r="C711" t="s">
        <v>1672</v>
      </c>
      <c r="D711" t="s">
        <v>1673</v>
      </c>
      <c r="E711" t="s">
        <v>1674</v>
      </c>
      <c r="F711" t="s">
        <v>89</v>
      </c>
      <c r="G711" t="s">
        <v>1105</v>
      </c>
      <c r="H711">
        <v>1</v>
      </c>
      <c r="I711">
        <v>1598.87</v>
      </c>
      <c r="J711">
        <v>1598.87</v>
      </c>
      <c r="AA711">
        <v>45207</v>
      </c>
      <c r="AB711" t="str">
        <v>Kabir</v>
      </c>
      <c r="AC711" t="str">
        <v>Mumbai</v>
      </c>
      <c r="AD711" t="str">
        <v>Maharashtra</v>
      </c>
      <c r="AE711" t="str">
        <v>West</v>
      </c>
      <c r="AF711" t="str">
        <v>Furniture</v>
      </c>
      <c r="AG711" t="str">
        <v>Sofa</v>
      </c>
      <c r="AH711">
        <v>3</v>
      </c>
      <c r="AI711">
        <v>2950.28</v>
      </c>
      <c r="AJ711">
        <v>8850.84</v>
      </c>
    </row>
    <row r="712" spans="1:36">
      <c r="A712" s="25">
        <v>44956</v>
      </c>
      <c r="B712" t="s">
        <v>1700</v>
      </c>
      <c r="C712" t="s">
        <v>1672</v>
      </c>
      <c r="D712" t="s">
        <v>1673</v>
      </c>
      <c r="E712" t="s">
        <v>1674</v>
      </c>
      <c r="F712" t="s">
        <v>101</v>
      </c>
      <c r="G712" t="s">
        <v>1719</v>
      </c>
      <c r="H712">
        <v>20</v>
      </c>
      <c r="I712">
        <v>3734.44</v>
      </c>
      <c r="J712">
        <v>74688.800000000003</v>
      </c>
      <c r="AA712">
        <v>45047</v>
      </c>
      <c r="AB712" t="str">
        <v>Aryan</v>
      </c>
      <c r="AC712" t="str">
        <v>Mumbai</v>
      </c>
      <c r="AD712" t="str">
        <v>Maharashtra</v>
      </c>
      <c r="AE712" t="str">
        <v>West</v>
      </c>
      <c r="AF712" t="str">
        <v>Furniture</v>
      </c>
      <c r="AG712" t="str">
        <v>Table</v>
      </c>
      <c r="AH712">
        <v>7</v>
      </c>
      <c r="AI712">
        <v>862.76</v>
      </c>
      <c r="AJ712">
        <v>6039.32</v>
      </c>
    </row>
    <row r="713" spans="1:36">
      <c r="A713" s="25">
        <v>45243</v>
      </c>
      <c r="B713" t="s">
        <v>1676</v>
      </c>
      <c r="C713" t="s">
        <v>1672</v>
      </c>
      <c r="D713" t="s">
        <v>1673</v>
      </c>
      <c r="E713" t="s">
        <v>1674</v>
      </c>
      <c r="F713" t="s">
        <v>101</v>
      </c>
      <c r="G713" t="s">
        <v>1675</v>
      </c>
      <c r="H713">
        <v>17</v>
      </c>
      <c r="I713">
        <v>3827.64</v>
      </c>
      <c r="J713">
        <v>65069.88</v>
      </c>
      <c r="AA713">
        <v>45241</v>
      </c>
      <c r="AB713" t="str">
        <v>Ananya</v>
      </c>
      <c r="AC713" t="str">
        <v>Mumbai</v>
      </c>
      <c r="AD713" t="str">
        <v>Maharashtra</v>
      </c>
      <c r="AE713" t="str">
        <v>West</v>
      </c>
      <c r="AF713" t="str">
        <v>Groceries</v>
      </c>
      <c r="AG713" t="str">
        <v>Rice</v>
      </c>
      <c r="AH713">
        <v>20</v>
      </c>
      <c r="AI713">
        <v>4970.33</v>
      </c>
      <c r="AJ713">
        <v>99406.6</v>
      </c>
    </row>
    <row r="714" spans="1:36">
      <c r="A714" s="25">
        <v>45265</v>
      </c>
      <c r="B714" t="s">
        <v>1686</v>
      </c>
      <c r="C714" t="s">
        <v>1672</v>
      </c>
      <c r="D714" t="s">
        <v>1673</v>
      </c>
      <c r="E714" t="s">
        <v>1674</v>
      </c>
      <c r="F714" t="s">
        <v>101</v>
      </c>
      <c r="G714" t="s">
        <v>1675</v>
      </c>
      <c r="H714">
        <v>18</v>
      </c>
      <c r="I714">
        <v>3511.28</v>
      </c>
      <c r="J714">
        <v>63203.040000000001</v>
      </c>
      <c r="AA714">
        <v>45166</v>
      </c>
      <c r="AB714" t="str">
        <v>Kabir</v>
      </c>
      <c r="AC714" t="str">
        <v>Mumbai</v>
      </c>
      <c r="AD714" t="str">
        <v>Maharashtra</v>
      </c>
      <c r="AE714" t="str">
        <v>West</v>
      </c>
      <c r="AF714" t="str">
        <v>Groceries</v>
      </c>
      <c r="AG714" t="str">
        <v>Rice</v>
      </c>
      <c r="AH714">
        <v>10</v>
      </c>
      <c r="AI714">
        <v>3707.43</v>
      </c>
      <c r="AJ714">
        <v>37074.300000000003</v>
      </c>
    </row>
    <row r="715" spans="1:36">
      <c r="A715" s="25">
        <v>44938</v>
      </c>
      <c r="B715" t="s">
        <v>1700</v>
      </c>
      <c r="C715" t="s">
        <v>1672</v>
      </c>
      <c r="D715" t="s">
        <v>1673</v>
      </c>
      <c r="E715" t="s">
        <v>1674</v>
      </c>
      <c r="F715" t="s">
        <v>101</v>
      </c>
      <c r="G715" t="s">
        <v>1675</v>
      </c>
      <c r="H715">
        <v>13</v>
      </c>
      <c r="I715">
        <v>4630.9799999999996</v>
      </c>
      <c r="J715">
        <v>60202.74</v>
      </c>
      <c r="AA715">
        <v>45285</v>
      </c>
      <c r="AB715" t="str">
        <v>Meera</v>
      </c>
      <c r="AC715" t="str">
        <v>Mumbai</v>
      </c>
      <c r="AD715" t="str">
        <v>Maharashtra</v>
      </c>
      <c r="AE715" t="str">
        <v>West</v>
      </c>
      <c r="AF715" t="str">
        <v>Groceries</v>
      </c>
      <c r="AG715" t="str">
        <v>Rice</v>
      </c>
      <c r="AH715">
        <v>5</v>
      </c>
      <c r="AI715">
        <v>4872.8900000000003</v>
      </c>
      <c r="AJ715">
        <v>24364.45</v>
      </c>
    </row>
    <row r="716" spans="1:36">
      <c r="A716" s="25">
        <v>45157</v>
      </c>
      <c r="B716" t="s">
        <v>1671</v>
      </c>
      <c r="C716" t="s">
        <v>1672</v>
      </c>
      <c r="D716" t="s">
        <v>1673</v>
      </c>
      <c r="E716" t="s">
        <v>1674</v>
      </c>
      <c r="F716" t="s">
        <v>101</v>
      </c>
      <c r="G716" t="s">
        <v>1715</v>
      </c>
      <c r="H716">
        <v>16</v>
      </c>
      <c r="I716">
        <v>3369.55</v>
      </c>
      <c r="J716">
        <v>53912.800000000003</v>
      </c>
      <c r="AA716">
        <v>45282</v>
      </c>
      <c r="AB716" t="str">
        <v>Vihaan</v>
      </c>
      <c r="AC716" t="str">
        <v>Mumbai</v>
      </c>
      <c r="AD716" t="str">
        <v>Maharashtra</v>
      </c>
      <c r="AE716" t="str">
        <v>West</v>
      </c>
      <c r="AF716" t="str">
        <v>Groceries</v>
      </c>
      <c r="AG716" t="str">
        <v>Sugar</v>
      </c>
      <c r="AH716">
        <v>10</v>
      </c>
      <c r="AI716">
        <v>2112.91</v>
      </c>
      <c r="AJ716">
        <v>21129.1</v>
      </c>
    </row>
    <row r="717" spans="1:36">
      <c r="A717" s="25">
        <v>44940</v>
      </c>
      <c r="B717" t="s">
        <v>1694</v>
      </c>
      <c r="C717" t="s">
        <v>1672</v>
      </c>
      <c r="D717" t="s">
        <v>1673</v>
      </c>
      <c r="E717" t="s">
        <v>1674</v>
      </c>
      <c r="F717" t="s">
        <v>101</v>
      </c>
      <c r="G717" t="s">
        <v>1715</v>
      </c>
      <c r="H717">
        <v>15</v>
      </c>
      <c r="I717">
        <v>3579.98</v>
      </c>
      <c r="J717">
        <v>53699.7</v>
      </c>
      <c r="AA717">
        <v>45145</v>
      </c>
      <c r="AB717" t="str">
        <v>Aditi</v>
      </c>
      <c r="AC717" t="str">
        <v>Mumbai</v>
      </c>
      <c r="AD717" t="str">
        <v>Maharashtra</v>
      </c>
      <c r="AE717" t="str">
        <v>West</v>
      </c>
      <c r="AF717" t="str">
        <v>Groceries</v>
      </c>
      <c r="AG717" t="str">
        <v>Lentils</v>
      </c>
      <c r="AH717">
        <v>17</v>
      </c>
      <c r="AI717">
        <v>1240.77</v>
      </c>
      <c r="AJ717">
        <v>21093.09</v>
      </c>
    </row>
    <row r="718" spans="1:36">
      <c r="A718" s="25">
        <v>44939</v>
      </c>
      <c r="B718" t="s">
        <v>1705</v>
      </c>
      <c r="C718" t="s">
        <v>1672</v>
      </c>
      <c r="D718" t="s">
        <v>1673</v>
      </c>
      <c r="E718" t="s">
        <v>1674</v>
      </c>
      <c r="F718" t="s">
        <v>101</v>
      </c>
      <c r="G718" t="s">
        <v>1709</v>
      </c>
      <c r="H718">
        <v>12</v>
      </c>
      <c r="I718">
        <v>4414.2700000000004</v>
      </c>
      <c r="J718">
        <v>52971.24</v>
      </c>
      <c r="AA718">
        <v>45150</v>
      </c>
      <c r="AB718" t="str">
        <v>Meera</v>
      </c>
      <c r="AC718" t="str">
        <v>Mumbai</v>
      </c>
      <c r="AD718" t="str">
        <v>Maharashtra</v>
      </c>
      <c r="AE718" t="str">
        <v>West</v>
      </c>
      <c r="AF718" t="str">
        <v>Groceries</v>
      </c>
      <c r="AG718" t="str">
        <v>Lentils</v>
      </c>
      <c r="AH718">
        <v>11</v>
      </c>
      <c r="AI718">
        <v>1749.31</v>
      </c>
      <c r="AJ718">
        <v>19242.41</v>
      </c>
    </row>
    <row r="719" spans="1:36">
      <c r="A719" s="25">
        <v>45047</v>
      </c>
      <c r="B719" t="s">
        <v>1698</v>
      </c>
      <c r="C719" t="s">
        <v>1672</v>
      </c>
      <c r="D719" t="s">
        <v>1673</v>
      </c>
      <c r="E719" t="s">
        <v>1674</v>
      </c>
      <c r="F719" t="s">
        <v>101</v>
      </c>
      <c r="G719" t="s">
        <v>1709</v>
      </c>
      <c r="H719">
        <v>18</v>
      </c>
      <c r="I719">
        <v>2589.64</v>
      </c>
      <c r="J719">
        <v>46613.52</v>
      </c>
      <c r="AA719">
        <v>45002</v>
      </c>
      <c r="AB719" t="str">
        <v>Nishant</v>
      </c>
      <c r="AC719" t="str">
        <v>Mumbai</v>
      </c>
      <c r="AD719" t="str">
        <v>Maharashtra</v>
      </c>
      <c r="AE719" t="str">
        <v>West</v>
      </c>
      <c r="AF719" t="str">
        <v>Groceries</v>
      </c>
      <c r="AG719" t="str">
        <v>Oil</v>
      </c>
      <c r="AH719">
        <v>5</v>
      </c>
      <c r="AI719">
        <v>3775.72</v>
      </c>
      <c r="AJ719">
        <v>18878.599999999999</v>
      </c>
    </row>
    <row r="720" spans="1:36">
      <c r="A720" s="25">
        <v>45061</v>
      </c>
      <c r="B720" t="s">
        <v>1698</v>
      </c>
      <c r="C720" t="s">
        <v>1672</v>
      </c>
      <c r="D720" t="s">
        <v>1673</v>
      </c>
      <c r="E720" t="s">
        <v>1674</v>
      </c>
      <c r="F720" t="s">
        <v>101</v>
      </c>
      <c r="G720" t="s">
        <v>1719</v>
      </c>
      <c r="H720">
        <v>14</v>
      </c>
      <c r="I720">
        <v>3044.71</v>
      </c>
      <c r="J720">
        <v>42625.94</v>
      </c>
      <c r="AA720">
        <v>45291</v>
      </c>
      <c r="AB720" t="str">
        <v>Riya</v>
      </c>
      <c r="AC720" t="str">
        <v>Mumbai</v>
      </c>
      <c r="AD720" t="str">
        <v>Maharashtra</v>
      </c>
      <c r="AE720" t="str">
        <v>West</v>
      </c>
      <c r="AF720" t="str">
        <v>Groceries</v>
      </c>
      <c r="AG720" t="str">
        <v>Lentils</v>
      </c>
      <c r="AH720">
        <v>6</v>
      </c>
      <c r="AI720">
        <v>3119.62</v>
      </c>
      <c r="AJ720">
        <v>18717.72</v>
      </c>
    </row>
    <row r="721" spans="1:36">
      <c r="A721" s="25">
        <v>45068</v>
      </c>
      <c r="B721" t="s">
        <v>1689</v>
      </c>
      <c r="C721" t="s">
        <v>1672</v>
      </c>
      <c r="D721" t="s">
        <v>1673</v>
      </c>
      <c r="E721" t="s">
        <v>1674</v>
      </c>
      <c r="F721" t="s">
        <v>101</v>
      </c>
      <c r="G721" t="s">
        <v>1719</v>
      </c>
      <c r="H721">
        <v>15</v>
      </c>
      <c r="I721">
        <v>2698.6</v>
      </c>
      <c r="J721">
        <v>40479</v>
      </c>
      <c r="AA721">
        <v>45211</v>
      </c>
      <c r="AB721" t="str">
        <v>Riya</v>
      </c>
      <c r="AC721" t="str">
        <v>Mumbai</v>
      </c>
      <c r="AD721" t="str">
        <v>Maharashtra</v>
      </c>
      <c r="AE721" t="str">
        <v>West</v>
      </c>
      <c r="AF721" t="str">
        <v>Groceries</v>
      </c>
      <c r="AG721" t="str">
        <v>Rice</v>
      </c>
      <c r="AH721">
        <v>5</v>
      </c>
      <c r="AI721">
        <v>2819.92</v>
      </c>
      <c r="AJ721">
        <v>14099.6</v>
      </c>
    </row>
    <row r="722" spans="1:36">
      <c r="A722" s="25">
        <v>44944</v>
      </c>
      <c r="B722" t="s">
        <v>1681</v>
      </c>
      <c r="C722" t="s">
        <v>1672</v>
      </c>
      <c r="D722" t="s">
        <v>1673</v>
      </c>
      <c r="E722" t="s">
        <v>1674</v>
      </c>
      <c r="F722" t="s">
        <v>101</v>
      </c>
      <c r="G722" t="s">
        <v>1675</v>
      </c>
      <c r="H722">
        <v>7</v>
      </c>
      <c r="I722">
        <v>4418.17</v>
      </c>
      <c r="J722">
        <v>30927.19</v>
      </c>
      <c r="AA722">
        <v>45147</v>
      </c>
      <c r="AB722" t="str">
        <v>Aryan</v>
      </c>
      <c r="AC722" t="str">
        <v>Mumbai</v>
      </c>
      <c r="AD722" t="str">
        <v>Maharashtra</v>
      </c>
      <c r="AE722" t="str">
        <v>West</v>
      </c>
      <c r="AF722" t="str">
        <v>Groceries</v>
      </c>
      <c r="AG722" t="str">
        <v>Lentils</v>
      </c>
      <c r="AH722">
        <v>4</v>
      </c>
      <c r="AI722">
        <v>3246.52</v>
      </c>
      <c r="AJ722">
        <v>12986.08</v>
      </c>
    </row>
    <row r="723" spans="1:36">
      <c r="A723" s="25">
        <v>45197</v>
      </c>
      <c r="B723" t="s">
        <v>1705</v>
      </c>
      <c r="C723" t="s">
        <v>1672</v>
      </c>
      <c r="D723" t="s">
        <v>1673</v>
      </c>
      <c r="E723" t="s">
        <v>1674</v>
      </c>
      <c r="F723" t="s">
        <v>101</v>
      </c>
      <c r="G723" t="s">
        <v>1709</v>
      </c>
      <c r="H723">
        <v>9</v>
      </c>
      <c r="I723">
        <v>3195.18</v>
      </c>
      <c r="J723">
        <v>28756.62</v>
      </c>
      <c r="AA723">
        <v>44996</v>
      </c>
      <c r="AB723" t="str">
        <v>Aditi</v>
      </c>
      <c r="AC723" t="str">
        <v>Mumbai</v>
      </c>
      <c r="AD723" t="str">
        <v>Maharashtra</v>
      </c>
      <c r="AE723" t="str">
        <v>West</v>
      </c>
      <c r="AF723" t="str">
        <v>Groceries</v>
      </c>
      <c r="AG723" t="str">
        <v>Sugar</v>
      </c>
      <c r="AH723">
        <v>7</v>
      </c>
      <c r="AI723">
        <v>1640.58</v>
      </c>
      <c r="AJ723">
        <v>11484.06</v>
      </c>
    </row>
    <row r="724" spans="1:36">
      <c r="A724" s="25">
        <v>45102</v>
      </c>
      <c r="B724" t="s">
        <v>1671</v>
      </c>
      <c r="C724" t="s">
        <v>1672</v>
      </c>
      <c r="D724" t="s">
        <v>1673</v>
      </c>
      <c r="E724" t="s">
        <v>1674</v>
      </c>
      <c r="F724" t="s">
        <v>101</v>
      </c>
      <c r="G724" t="s">
        <v>1675</v>
      </c>
      <c r="H724">
        <v>6</v>
      </c>
      <c r="I724">
        <v>4016.25</v>
      </c>
      <c r="J724">
        <v>24097.5</v>
      </c>
      <c r="AA724">
        <v>45160</v>
      </c>
      <c r="AB724" t="str">
        <v>Aarav</v>
      </c>
      <c r="AC724" t="str">
        <v>Mumbai</v>
      </c>
      <c r="AD724" t="str">
        <v>Maharashtra</v>
      </c>
      <c r="AE724" t="str">
        <v>West</v>
      </c>
      <c r="AF724" t="str">
        <v>Groceries</v>
      </c>
      <c r="AG724" t="str">
        <v>Sugar</v>
      </c>
      <c r="AH724">
        <v>9</v>
      </c>
      <c r="AI724">
        <v>564.08000000000004</v>
      </c>
      <c r="AJ724">
        <v>5076.72</v>
      </c>
    </row>
    <row r="725" spans="1:36">
      <c r="A725" s="25">
        <v>45031</v>
      </c>
      <c r="B725" t="s">
        <v>1705</v>
      </c>
      <c r="C725" t="s">
        <v>1672</v>
      </c>
      <c r="D725" t="s">
        <v>1673</v>
      </c>
      <c r="E725" t="s">
        <v>1674</v>
      </c>
      <c r="F725" t="s">
        <v>101</v>
      </c>
      <c r="G725" t="s">
        <v>1709</v>
      </c>
      <c r="H725">
        <v>15</v>
      </c>
      <c r="I725">
        <v>1513.67</v>
      </c>
      <c r="J725">
        <v>22705.05</v>
      </c>
      <c r="AA725">
        <v>45227</v>
      </c>
      <c r="AB725" t="str">
        <v>Nishant</v>
      </c>
      <c r="AC725" t="str">
        <v>Mumbai</v>
      </c>
      <c r="AD725" t="str">
        <v>Maharashtra</v>
      </c>
      <c r="AE725" t="str">
        <v>West</v>
      </c>
      <c r="AF725" t="str">
        <v>Groceries</v>
      </c>
      <c r="AG725" t="str">
        <v>Lentils</v>
      </c>
      <c r="AH725">
        <v>8</v>
      </c>
      <c r="AI725">
        <v>465.32</v>
      </c>
      <c r="AJ725">
        <v>3722.56</v>
      </c>
    </row>
    <row r="726" spans="1:36">
      <c r="A726" s="25">
        <v>45248</v>
      </c>
      <c r="B726" t="s">
        <v>1681</v>
      </c>
      <c r="C726" t="s">
        <v>1672</v>
      </c>
      <c r="D726" t="s">
        <v>1673</v>
      </c>
      <c r="E726" t="s">
        <v>1674</v>
      </c>
      <c r="F726" t="s">
        <v>101</v>
      </c>
      <c r="G726" t="s">
        <v>1719</v>
      </c>
      <c r="H726">
        <v>16</v>
      </c>
      <c r="I726">
        <v>1411.33</v>
      </c>
      <c r="J726">
        <v>22581.279999999999</v>
      </c>
      <c r="AA726">
        <v>45014</v>
      </c>
      <c r="AB726" t="str">
        <v>Riya</v>
      </c>
      <c r="AC726" t="str">
        <v>Mumbai</v>
      </c>
      <c r="AD726" t="str">
        <v>Maharashtra</v>
      </c>
      <c r="AE726" t="str">
        <v>West</v>
      </c>
      <c r="AF726" t="str">
        <v>Groceries</v>
      </c>
      <c r="AG726" t="str">
        <v>Sugar</v>
      </c>
      <c r="AH726">
        <v>6</v>
      </c>
      <c r="AI726">
        <v>549.79999999999995</v>
      </c>
      <c r="AJ726">
        <v>3298.8</v>
      </c>
    </row>
    <row r="727" spans="1:36">
      <c r="A727" s="25">
        <v>45228</v>
      </c>
      <c r="B727" t="s">
        <v>1705</v>
      </c>
      <c r="C727" t="s">
        <v>1672</v>
      </c>
      <c r="D727" t="s">
        <v>1673</v>
      </c>
      <c r="E727" t="s">
        <v>1674</v>
      </c>
      <c r="F727" t="s">
        <v>101</v>
      </c>
      <c r="G727" t="s">
        <v>1715</v>
      </c>
      <c r="H727">
        <v>5</v>
      </c>
      <c r="I727">
        <v>4504.17</v>
      </c>
      <c r="J727">
        <v>22520.85</v>
      </c>
      <c r="AA727">
        <v>44997</v>
      </c>
      <c r="AB727" t="str">
        <v>Riya</v>
      </c>
      <c r="AC727" t="str">
        <v>Mumbai</v>
      </c>
      <c r="AD727" t="str">
        <v>Maharashtra</v>
      </c>
      <c r="AE727" t="str">
        <v>West</v>
      </c>
      <c r="AF727" t="str">
        <v>Groceries</v>
      </c>
      <c r="AG727" t="str">
        <v>Oil</v>
      </c>
      <c r="AH727">
        <v>2</v>
      </c>
      <c r="AI727">
        <v>1269.81</v>
      </c>
      <c r="AJ727">
        <v>2539.62</v>
      </c>
    </row>
    <row r="728" spans="1:36">
      <c r="A728" s="25">
        <v>45213</v>
      </c>
      <c r="B728" t="s">
        <v>1689</v>
      </c>
      <c r="C728" t="s">
        <v>1672</v>
      </c>
      <c r="D728" t="s">
        <v>1673</v>
      </c>
      <c r="E728" t="s">
        <v>1674</v>
      </c>
      <c r="F728" t="s">
        <v>101</v>
      </c>
      <c r="G728" t="s">
        <v>1709</v>
      </c>
      <c r="H728">
        <v>20</v>
      </c>
      <c r="I728">
        <v>1108.83</v>
      </c>
      <c r="J728">
        <v>22176.6</v>
      </c>
      <c r="AA728">
        <v>45104</v>
      </c>
      <c r="AB728" t="str">
        <v>Vihaan</v>
      </c>
      <c r="AC728" t="str">
        <v>Mumbai</v>
      </c>
      <c r="AD728" t="str">
        <v>Maharashtra</v>
      </c>
      <c r="AE728" t="str">
        <v>West</v>
      </c>
      <c r="AF728" t="str">
        <v>Groceries</v>
      </c>
      <c r="AG728" t="str">
        <v>Oil</v>
      </c>
      <c r="AH728">
        <v>1</v>
      </c>
      <c r="AI728">
        <v>1544.87</v>
      </c>
      <c r="AJ728">
        <v>1544.87</v>
      </c>
    </row>
    <row r="729" spans="1:36">
      <c r="A729" s="25">
        <v>45084</v>
      </c>
      <c r="B729" t="s">
        <v>1700</v>
      </c>
      <c r="C729" t="s">
        <v>1672</v>
      </c>
      <c r="D729" t="s">
        <v>1673</v>
      </c>
      <c r="E729" t="s">
        <v>1674</v>
      </c>
      <c r="F729" t="s">
        <v>101</v>
      </c>
      <c r="G729" t="s">
        <v>1709</v>
      </c>
      <c r="H729">
        <v>4</v>
      </c>
      <c r="I729">
        <v>3564.22</v>
      </c>
      <c r="J729">
        <v>14256.88</v>
      </c>
      <c r="AA729">
        <v>45011</v>
      </c>
      <c r="AB729" t="str">
        <v>Vihaan</v>
      </c>
      <c r="AC729" t="str">
        <v>Mumbai</v>
      </c>
      <c r="AD729" t="str">
        <v>Maharashtra</v>
      </c>
      <c r="AE729" t="str">
        <v>West</v>
      </c>
      <c r="AF729" t="str">
        <v>Stationery</v>
      </c>
      <c r="AG729" t="str">
        <v>Ruler</v>
      </c>
      <c r="AH729">
        <v>19</v>
      </c>
      <c r="AI729">
        <v>4786.8900000000003</v>
      </c>
      <c r="AJ729">
        <v>90950.91</v>
      </c>
    </row>
    <row r="730" spans="1:36">
      <c r="A730" s="25">
        <v>45190</v>
      </c>
      <c r="B730" t="s">
        <v>1671</v>
      </c>
      <c r="C730" t="s">
        <v>1672</v>
      </c>
      <c r="D730" t="s">
        <v>1673</v>
      </c>
      <c r="E730" t="s">
        <v>1674</v>
      </c>
      <c r="F730" t="s">
        <v>101</v>
      </c>
      <c r="G730" t="s">
        <v>1709</v>
      </c>
      <c r="H730">
        <v>7</v>
      </c>
      <c r="I730">
        <v>1940.86</v>
      </c>
      <c r="J730">
        <v>13586.02</v>
      </c>
      <c r="AA730">
        <v>45046</v>
      </c>
      <c r="AB730" t="str">
        <v>Nishant</v>
      </c>
      <c r="AC730" t="str">
        <v>Mumbai</v>
      </c>
      <c r="AD730" t="str">
        <v>Maharashtra</v>
      </c>
      <c r="AE730" t="str">
        <v>West</v>
      </c>
      <c r="AF730" t="str">
        <v>Stationery</v>
      </c>
      <c r="AG730" t="str">
        <v>Pen</v>
      </c>
      <c r="AH730">
        <v>17</v>
      </c>
      <c r="AI730">
        <v>4083.07</v>
      </c>
      <c r="AJ730">
        <v>69412.19</v>
      </c>
    </row>
    <row r="731" spans="1:36">
      <c r="A731" s="25">
        <v>44952</v>
      </c>
      <c r="B731" t="s">
        <v>1689</v>
      </c>
      <c r="C731" t="s">
        <v>1672</v>
      </c>
      <c r="D731" t="s">
        <v>1673</v>
      </c>
      <c r="E731" t="s">
        <v>1674</v>
      </c>
      <c r="F731" t="s">
        <v>101</v>
      </c>
      <c r="G731" t="s">
        <v>1709</v>
      </c>
      <c r="H731">
        <v>6</v>
      </c>
      <c r="I731">
        <v>1709.52</v>
      </c>
      <c r="J731">
        <v>10257.120000000001</v>
      </c>
      <c r="AA731">
        <v>45169</v>
      </c>
      <c r="AB731" t="str">
        <v>Aditi</v>
      </c>
      <c r="AC731" t="str">
        <v>Mumbai</v>
      </c>
      <c r="AD731" t="str">
        <v>Maharashtra</v>
      </c>
      <c r="AE731" t="str">
        <v>West</v>
      </c>
      <c r="AF731" t="str">
        <v>Stationery</v>
      </c>
      <c r="AG731" t="str">
        <v>Ruler</v>
      </c>
      <c r="AH731">
        <v>19</v>
      </c>
      <c r="AI731">
        <v>3316.87</v>
      </c>
      <c r="AJ731">
        <v>63020.53</v>
      </c>
    </row>
    <row r="732" spans="1:36">
      <c r="A732" s="25">
        <v>44983</v>
      </c>
      <c r="B732" t="s">
        <v>1705</v>
      </c>
      <c r="C732" t="s">
        <v>1672</v>
      </c>
      <c r="D732" t="s">
        <v>1673</v>
      </c>
      <c r="E732" t="s">
        <v>1674</v>
      </c>
      <c r="F732" t="s">
        <v>101</v>
      </c>
      <c r="G732" t="s">
        <v>1709</v>
      </c>
      <c r="H732">
        <v>6</v>
      </c>
      <c r="I732">
        <v>112.76</v>
      </c>
      <c r="J732">
        <v>676.56</v>
      </c>
      <c r="AA732">
        <v>45261</v>
      </c>
      <c r="AB732" t="str">
        <v>Aarav</v>
      </c>
      <c r="AC732" t="str">
        <v>Mumbai</v>
      </c>
      <c r="AD732" t="str">
        <v>Maharashtra</v>
      </c>
      <c r="AE732" t="str">
        <v>West</v>
      </c>
      <c r="AF732" t="str">
        <v>Stationery</v>
      </c>
      <c r="AG732" t="str">
        <v>Notebook</v>
      </c>
      <c r="AH732">
        <v>13</v>
      </c>
      <c r="AI732">
        <v>4263.79</v>
      </c>
      <c r="AJ732">
        <v>55429.27</v>
      </c>
    </row>
    <row r="733" spans="1:36">
      <c r="A733" s="25">
        <v>45072</v>
      </c>
      <c r="B733" t="s">
        <v>1681</v>
      </c>
      <c r="C733" t="s">
        <v>1672</v>
      </c>
      <c r="D733" t="s">
        <v>1673</v>
      </c>
      <c r="E733" t="s">
        <v>1674</v>
      </c>
      <c r="F733" t="s">
        <v>1687</v>
      </c>
      <c r="G733" t="s">
        <v>1688</v>
      </c>
      <c r="H733">
        <v>20</v>
      </c>
      <c r="I733">
        <v>2441.83</v>
      </c>
      <c r="J733">
        <v>48836.6</v>
      </c>
      <c r="AA733">
        <v>45264</v>
      </c>
      <c r="AB733" t="str">
        <v>Vihaan</v>
      </c>
      <c r="AC733" t="str">
        <v>Mumbai</v>
      </c>
      <c r="AD733" t="str">
        <v>Maharashtra</v>
      </c>
      <c r="AE733" t="str">
        <v>West</v>
      </c>
      <c r="AF733" t="str">
        <v>Stationery</v>
      </c>
      <c r="AG733" t="str">
        <v>Ruler</v>
      </c>
      <c r="AH733">
        <v>14</v>
      </c>
      <c r="AI733">
        <v>3167.49</v>
      </c>
      <c r="AJ733">
        <v>44344.86</v>
      </c>
    </row>
    <row r="734" spans="1:36">
      <c r="A734" s="25">
        <v>45234</v>
      </c>
      <c r="B734" t="s">
        <v>1686</v>
      </c>
      <c r="C734" t="s">
        <v>1672</v>
      </c>
      <c r="D734" t="s">
        <v>1673</v>
      </c>
      <c r="E734" t="s">
        <v>1674</v>
      </c>
      <c r="F734" t="s">
        <v>1687</v>
      </c>
      <c r="G734" t="s">
        <v>1688</v>
      </c>
      <c r="H734">
        <v>16</v>
      </c>
      <c r="I734">
        <v>2458.6</v>
      </c>
      <c r="J734">
        <v>39337.599999999999</v>
      </c>
      <c r="AA734">
        <v>45005</v>
      </c>
      <c r="AB734" t="str">
        <v>Aarav</v>
      </c>
      <c r="AC734" t="str">
        <v>Mumbai</v>
      </c>
      <c r="AD734" t="str">
        <v>Maharashtra</v>
      </c>
      <c r="AE734" t="str">
        <v>West</v>
      </c>
      <c r="AF734" t="str">
        <v>Stationery</v>
      </c>
      <c r="AG734" t="str">
        <v>Pen</v>
      </c>
      <c r="AH734">
        <v>9</v>
      </c>
      <c r="AI734">
        <v>4198.92</v>
      </c>
      <c r="AJ734">
        <v>37790.28</v>
      </c>
    </row>
    <row r="735" spans="1:36">
      <c r="A735" s="25">
        <v>45056</v>
      </c>
      <c r="B735" t="s">
        <v>1700</v>
      </c>
      <c r="C735" t="s">
        <v>1672</v>
      </c>
      <c r="D735" t="s">
        <v>1673</v>
      </c>
      <c r="E735" t="s">
        <v>1674</v>
      </c>
      <c r="F735" t="s">
        <v>1687</v>
      </c>
      <c r="G735" t="s">
        <v>1688</v>
      </c>
      <c r="H735">
        <v>8</v>
      </c>
      <c r="I735">
        <v>4455.43</v>
      </c>
      <c r="J735">
        <v>35643.440000000002</v>
      </c>
      <c r="AA735">
        <v>45219</v>
      </c>
      <c r="AB735" t="str">
        <v>Riya</v>
      </c>
      <c r="AC735" t="str">
        <v>Mumbai</v>
      </c>
      <c r="AD735" t="str">
        <v>Maharashtra</v>
      </c>
      <c r="AE735" t="str">
        <v>West</v>
      </c>
      <c r="AF735" t="str">
        <v>Stationery</v>
      </c>
      <c r="AG735" t="str">
        <v>Ruler</v>
      </c>
      <c r="AH735">
        <v>13</v>
      </c>
      <c r="AI735">
        <v>2511.64</v>
      </c>
      <c r="AJ735">
        <v>32651.32</v>
      </c>
    </row>
    <row r="736" spans="1:36">
      <c r="A736" s="25">
        <v>45065</v>
      </c>
      <c r="B736" t="s">
        <v>1689</v>
      </c>
      <c r="C736" t="s">
        <v>1672</v>
      </c>
      <c r="D736" t="s">
        <v>1673</v>
      </c>
      <c r="E736" t="s">
        <v>1674</v>
      </c>
      <c r="F736" t="s">
        <v>1687</v>
      </c>
      <c r="G736" t="s">
        <v>1688</v>
      </c>
      <c r="H736">
        <v>13</v>
      </c>
      <c r="I736">
        <v>2040.1</v>
      </c>
      <c r="J736">
        <v>26521.3</v>
      </c>
      <c r="AA736">
        <v>45248</v>
      </c>
      <c r="AB736" t="str">
        <v>Aditi</v>
      </c>
      <c r="AC736" t="str">
        <v>Mumbai</v>
      </c>
      <c r="AD736" t="str">
        <v>Maharashtra</v>
      </c>
      <c r="AE736" t="str">
        <v>West</v>
      </c>
      <c r="AF736" t="str">
        <v>Stationery</v>
      </c>
      <c r="AG736" t="str">
        <v>Eraser</v>
      </c>
      <c r="AH736">
        <v>7</v>
      </c>
      <c r="AI736">
        <v>4514.21</v>
      </c>
      <c r="AJ736">
        <v>31599.47</v>
      </c>
    </row>
    <row r="737" spans="1:36">
      <c r="A737" s="25">
        <v>44953</v>
      </c>
      <c r="B737" t="s">
        <v>1686</v>
      </c>
      <c r="C737" t="s">
        <v>1672</v>
      </c>
      <c r="D737" t="s">
        <v>1673</v>
      </c>
      <c r="E737" t="s">
        <v>1674</v>
      </c>
      <c r="F737" t="s">
        <v>1687</v>
      </c>
      <c r="G737" t="s">
        <v>1688</v>
      </c>
      <c r="H737">
        <v>10</v>
      </c>
      <c r="I737">
        <v>2628.56</v>
      </c>
      <c r="J737">
        <v>26285.599999999999</v>
      </c>
      <c r="AA737">
        <v>44938</v>
      </c>
      <c r="AB737" t="str">
        <v>Ishita</v>
      </c>
      <c r="AC737" t="str">
        <v>Mumbai</v>
      </c>
      <c r="AD737" t="str">
        <v>Maharashtra</v>
      </c>
      <c r="AE737" t="str">
        <v>West</v>
      </c>
      <c r="AF737" t="str">
        <v>Stationery</v>
      </c>
      <c r="AG737" t="str">
        <v>Eraser</v>
      </c>
      <c r="AH737">
        <v>6</v>
      </c>
      <c r="AI737">
        <v>4231.7700000000004</v>
      </c>
      <c r="AJ737">
        <v>25390.62</v>
      </c>
    </row>
    <row r="738" spans="1:36">
      <c r="A738" s="25">
        <v>45235</v>
      </c>
      <c r="B738" t="s">
        <v>1676</v>
      </c>
      <c r="C738" t="s">
        <v>1672</v>
      </c>
      <c r="D738" t="s">
        <v>1673</v>
      </c>
      <c r="E738" t="s">
        <v>1674</v>
      </c>
      <c r="F738" t="s">
        <v>1687</v>
      </c>
      <c r="G738" t="s">
        <v>1708</v>
      </c>
      <c r="H738">
        <v>9</v>
      </c>
      <c r="I738">
        <v>2118.17</v>
      </c>
      <c r="J738">
        <v>19063.53</v>
      </c>
      <c r="AA738">
        <v>45088</v>
      </c>
      <c r="AB738" t="str">
        <v>Aryan</v>
      </c>
      <c r="AC738" t="str">
        <v>Mumbai</v>
      </c>
      <c r="AD738" t="str">
        <v>Maharashtra</v>
      </c>
      <c r="AE738" t="str">
        <v>West</v>
      </c>
      <c r="AF738" t="str">
        <v>Stationery</v>
      </c>
      <c r="AG738" t="str">
        <v>Pen</v>
      </c>
      <c r="AH738">
        <v>7</v>
      </c>
      <c r="AI738">
        <v>2483.54</v>
      </c>
      <c r="AJ738">
        <v>17384.78</v>
      </c>
    </row>
    <row r="739" spans="1:36">
      <c r="A739" s="25">
        <v>45179</v>
      </c>
      <c r="B739" t="s">
        <v>1698</v>
      </c>
      <c r="C739" t="s">
        <v>1672</v>
      </c>
      <c r="D739" t="s">
        <v>1673</v>
      </c>
      <c r="E739" t="s">
        <v>1674</v>
      </c>
      <c r="F739" t="s">
        <v>1687</v>
      </c>
      <c r="G739" t="s">
        <v>1710</v>
      </c>
      <c r="H739">
        <v>14</v>
      </c>
      <c r="I739">
        <v>1245.9000000000001</v>
      </c>
      <c r="J739">
        <v>17442.599999999999</v>
      </c>
      <c r="AA739">
        <v>45054</v>
      </c>
      <c r="AB739" t="str">
        <v>Ananya</v>
      </c>
      <c r="AC739" t="str">
        <v>Mumbai</v>
      </c>
      <c r="AD739" t="str">
        <v>Maharashtra</v>
      </c>
      <c r="AE739" t="str">
        <v>West</v>
      </c>
      <c r="AF739" t="str">
        <v>Stationery</v>
      </c>
      <c r="AG739" t="str">
        <v>Ruler</v>
      </c>
      <c r="AH739">
        <v>10</v>
      </c>
      <c r="AI739">
        <v>1512.64</v>
      </c>
      <c r="AJ739">
        <v>15126.4</v>
      </c>
    </row>
    <row r="740" spans="1:36">
      <c r="A740" s="25">
        <v>45275</v>
      </c>
      <c r="B740" t="s">
        <v>1692</v>
      </c>
      <c r="C740" t="s">
        <v>1672</v>
      </c>
      <c r="D740" t="s">
        <v>1673</v>
      </c>
      <c r="E740" t="s">
        <v>1674</v>
      </c>
      <c r="F740" t="s">
        <v>1687</v>
      </c>
      <c r="G740" t="s">
        <v>1688</v>
      </c>
      <c r="H740">
        <v>6</v>
      </c>
      <c r="I740">
        <v>2850.31</v>
      </c>
      <c r="J740">
        <v>17101.86</v>
      </c>
      <c r="AA740">
        <v>45113</v>
      </c>
      <c r="AB740" t="str">
        <v>Vihaan</v>
      </c>
      <c r="AC740" t="str">
        <v>Mumbai</v>
      </c>
      <c r="AD740" t="str">
        <v>Maharashtra</v>
      </c>
      <c r="AE740" t="str">
        <v>West</v>
      </c>
      <c r="AF740" t="str">
        <v>Stationery</v>
      </c>
      <c r="AG740" t="str">
        <v>Pen</v>
      </c>
      <c r="AH740">
        <v>4</v>
      </c>
      <c r="AI740">
        <v>2836.34</v>
      </c>
      <c r="AJ740">
        <v>11345.36</v>
      </c>
    </row>
    <row r="741" spans="1:36">
      <c r="A741" s="25">
        <v>44980</v>
      </c>
      <c r="B741" t="s">
        <v>1694</v>
      </c>
      <c r="C741" t="s">
        <v>1672</v>
      </c>
      <c r="D741" t="s">
        <v>1673</v>
      </c>
      <c r="E741" t="s">
        <v>1674</v>
      </c>
      <c r="F741" t="s">
        <v>1687</v>
      </c>
      <c r="G741" t="s">
        <v>1704</v>
      </c>
      <c r="H741">
        <v>4</v>
      </c>
      <c r="I741">
        <v>3714.59</v>
      </c>
      <c r="J741">
        <v>14858.36</v>
      </c>
      <c r="AA741">
        <v>45259</v>
      </c>
      <c r="AB741" t="str">
        <v>Ishita</v>
      </c>
      <c r="AC741" t="str">
        <v>Mumbai</v>
      </c>
      <c r="AD741" t="str">
        <v>Maharashtra</v>
      </c>
      <c r="AE741" t="str">
        <v>West</v>
      </c>
      <c r="AF741" t="str">
        <v>Stationery</v>
      </c>
      <c r="AG741" t="str">
        <v>Eraser</v>
      </c>
      <c r="AH741">
        <v>17</v>
      </c>
      <c r="AI741">
        <v>608.79</v>
      </c>
      <c r="AJ741">
        <v>10349.43</v>
      </c>
    </row>
    <row r="742" spans="1:36">
      <c r="A742" s="25">
        <v>45218</v>
      </c>
      <c r="B742" t="s">
        <v>1705</v>
      </c>
      <c r="C742" t="s">
        <v>1672</v>
      </c>
      <c r="D742" t="s">
        <v>1673</v>
      </c>
      <c r="E742" t="s">
        <v>1674</v>
      </c>
      <c r="F742" t="s">
        <v>1687</v>
      </c>
      <c r="G742" t="s">
        <v>1708</v>
      </c>
      <c r="H742">
        <v>6</v>
      </c>
      <c r="I742">
        <v>2332.11</v>
      </c>
      <c r="J742">
        <v>13992.66</v>
      </c>
      <c r="AA742">
        <v>45236</v>
      </c>
      <c r="AB742" t="str">
        <v>Aryan</v>
      </c>
      <c r="AC742" t="str">
        <v>Mumbai</v>
      </c>
      <c r="AD742" t="str">
        <v>Maharashtra</v>
      </c>
      <c r="AE742" t="str">
        <v>West</v>
      </c>
      <c r="AF742" t="str">
        <v>Stationery</v>
      </c>
      <c r="AG742" t="str">
        <v>Notebook</v>
      </c>
      <c r="AH742">
        <v>1</v>
      </c>
      <c r="AI742">
        <v>4370.57</v>
      </c>
      <c r="AJ742">
        <v>4370.57</v>
      </c>
    </row>
    <row r="743" spans="1:36">
      <c r="A743" s="25">
        <v>45246</v>
      </c>
      <c r="B743" t="s">
        <v>1689</v>
      </c>
      <c r="C743" t="s">
        <v>1672</v>
      </c>
      <c r="D743" t="s">
        <v>1673</v>
      </c>
      <c r="E743" t="s">
        <v>1674</v>
      </c>
      <c r="F743" t="s">
        <v>1687</v>
      </c>
      <c r="G743" t="s">
        <v>1708</v>
      </c>
      <c r="H743">
        <v>8</v>
      </c>
      <c r="I743">
        <v>360.87</v>
      </c>
      <c r="J743">
        <v>2886.96</v>
      </c>
      <c r="AA743">
        <v>44989</v>
      </c>
      <c r="AB743" t="str">
        <v>Ishita</v>
      </c>
      <c r="AC743" t="str">
        <v>Mumbai</v>
      </c>
      <c r="AD743" t="str">
        <v>Maharashtra</v>
      </c>
      <c r="AE743" t="str">
        <v>West</v>
      </c>
      <c r="AF743" t="str">
        <v>Stationery</v>
      </c>
      <c r="AG743" t="str">
        <v>Eraser</v>
      </c>
      <c r="AH743">
        <v>1</v>
      </c>
      <c r="AI743">
        <v>4192.3900000000003</v>
      </c>
      <c r="AJ743">
        <v>4192.3900000000003</v>
      </c>
    </row>
    <row r="744" spans="1:36">
      <c r="A744" s="25">
        <v>45028</v>
      </c>
      <c r="B744" t="s">
        <v>1692</v>
      </c>
      <c r="C744" t="s">
        <v>1672</v>
      </c>
      <c r="D744" t="s">
        <v>1673</v>
      </c>
      <c r="E744" t="s">
        <v>1674</v>
      </c>
      <c r="F744" t="s">
        <v>1687</v>
      </c>
      <c r="G744" t="s">
        <v>1688</v>
      </c>
      <c r="H744">
        <v>4</v>
      </c>
      <c r="I744">
        <v>442.23</v>
      </c>
      <c r="J744">
        <v>1768.92</v>
      </c>
      <c r="AA744">
        <v>45014</v>
      </c>
      <c r="AB744" t="str">
        <v>Ishita</v>
      </c>
      <c r="AC744" t="str">
        <v>Mumbai</v>
      </c>
      <c r="AD744" t="str">
        <v>Maharashtra</v>
      </c>
      <c r="AE744" t="str">
        <v>West</v>
      </c>
      <c r="AF744" t="str">
        <v>Stationery</v>
      </c>
      <c r="AG744" t="str">
        <v>Pen</v>
      </c>
      <c r="AH744">
        <v>4</v>
      </c>
      <c r="AI744">
        <v>942.96</v>
      </c>
      <c r="AJ744">
        <v>3771.84</v>
      </c>
    </row>
    <row r="745" spans="1:36">
      <c r="A745" s="25">
        <v>45110</v>
      </c>
      <c r="B745" t="s">
        <v>1705</v>
      </c>
      <c r="C745" t="s">
        <v>1672</v>
      </c>
      <c r="D745" t="s">
        <v>1673</v>
      </c>
      <c r="E745" t="s">
        <v>1674</v>
      </c>
      <c r="F745" t="s">
        <v>114</v>
      </c>
      <c r="G745" t="s">
        <v>1712</v>
      </c>
      <c r="H745">
        <v>18</v>
      </c>
      <c r="I745">
        <v>4850.91</v>
      </c>
      <c r="J745">
        <v>87316.38</v>
      </c>
      <c r="AA745">
        <v>45094</v>
      </c>
      <c r="AB745" t="str">
        <v>Ananya</v>
      </c>
      <c r="AC745" t="str">
        <v>Nagpur</v>
      </c>
      <c r="AD745" t="str">
        <v>Maharashtra</v>
      </c>
      <c r="AE745" t="str">
        <v>West</v>
      </c>
      <c r="AF745" t="str">
        <v>Clothing</v>
      </c>
      <c r="AG745" t="str">
        <v>Pants</v>
      </c>
      <c r="AH745">
        <v>18</v>
      </c>
      <c r="AI745">
        <v>4718.22</v>
      </c>
      <c r="AJ745">
        <v>84927.96</v>
      </c>
    </row>
    <row r="746" spans="1:36">
      <c r="A746" s="25">
        <v>45176</v>
      </c>
      <c r="B746" t="s">
        <v>1692</v>
      </c>
      <c r="C746" t="s">
        <v>1672</v>
      </c>
      <c r="D746" t="s">
        <v>1673</v>
      </c>
      <c r="E746" t="s">
        <v>1674</v>
      </c>
      <c r="F746" t="s">
        <v>114</v>
      </c>
      <c r="G746" t="s">
        <v>1680</v>
      </c>
      <c r="H746">
        <v>18</v>
      </c>
      <c r="I746">
        <v>3575.04</v>
      </c>
      <c r="J746">
        <v>64350.720000000001</v>
      </c>
      <c r="AA746">
        <v>45129</v>
      </c>
      <c r="AB746" t="str">
        <v>Meera</v>
      </c>
      <c r="AC746" t="str">
        <v>Nagpur</v>
      </c>
      <c r="AD746" t="str">
        <v>Maharashtra</v>
      </c>
      <c r="AE746" t="str">
        <v>West</v>
      </c>
      <c r="AF746" t="str">
        <v>Clothing</v>
      </c>
      <c r="AG746" t="str">
        <v>Shirt</v>
      </c>
      <c r="AH746">
        <v>13</v>
      </c>
      <c r="AI746">
        <v>4686.21</v>
      </c>
      <c r="AJ746">
        <v>60920.73</v>
      </c>
    </row>
    <row r="747" spans="1:36">
      <c r="A747" s="25">
        <v>45150</v>
      </c>
      <c r="B747" t="s">
        <v>1694</v>
      </c>
      <c r="C747" t="s">
        <v>1672</v>
      </c>
      <c r="D747" t="s">
        <v>1673</v>
      </c>
      <c r="E747" t="s">
        <v>1674</v>
      </c>
      <c r="F747" t="s">
        <v>114</v>
      </c>
      <c r="G747" t="s">
        <v>1718</v>
      </c>
      <c r="H747">
        <v>20</v>
      </c>
      <c r="I747">
        <v>3203.76</v>
      </c>
      <c r="J747">
        <v>64075.199999999997</v>
      </c>
      <c r="AA747">
        <v>45046</v>
      </c>
      <c r="AB747" t="str">
        <v>Ishita</v>
      </c>
      <c r="AC747" t="str">
        <v>Nagpur</v>
      </c>
      <c r="AD747" t="str">
        <v>Maharashtra</v>
      </c>
      <c r="AE747" t="str">
        <v>West</v>
      </c>
      <c r="AF747" t="str">
        <v>Clothing</v>
      </c>
      <c r="AG747" t="str">
        <v>Shirt</v>
      </c>
      <c r="AH747">
        <v>18</v>
      </c>
      <c r="AI747">
        <v>3271.29</v>
      </c>
      <c r="AJ747">
        <v>58883.22</v>
      </c>
    </row>
    <row r="748" spans="1:36">
      <c r="A748" s="25">
        <v>45161</v>
      </c>
      <c r="B748" t="s">
        <v>1705</v>
      </c>
      <c r="C748" t="s">
        <v>1672</v>
      </c>
      <c r="D748" t="s">
        <v>1673</v>
      </c>
      <c r="E748" t="s">
        <v>1674</v>
      </c>
      <c r="F748" t="s">
        <v>114</v>
      </c>
      <c r="G748" t="s">
        <v>1680</v>
      </c>
      <c r="H748">
        <v>17</v>
      </c>
      <c r="I748">
        <v>3677.4</v>
      </c>
      <c r="J748">
        <v>62515.8</v>
      </c>
      <c r="AA748">
        <v>45261</v>
      </c>
      <c r="AB748" t="str">
        <v>Riya</v>
      </c>
      <c r="AC748" t="str">
        <v>Nagpur</v>
      </c>
      <c r="AD748" t="str">
        <v>Maharashtra</v>
      </c>
      <c r="AE748" t="str">
        <v>West</v>
      </c>
      <c r="AF748" t="str">
        <v>Clothing</v>
      </c>
      <c r="AG748" t="str">
        <v>Dress</v>
      </c>
      <c r="AH748">
        <v>12</v>
      </c>
      <c r="AI748">
        <v>4514.3900000000003</v>
      </c>
      <c r="AJ748">
        <v>54172.68</v>
      </c>
    </row>
    <row r="749" spans="1:36">
      <c r="A749" s="25">
        <v>45206</v>
      </c>
      <c r="B749" t="s">
        <v>1676</v>
      </c>
      <c r="C749" t="s">
        <v>1672</v>
      </c>
      <c r="D749" t="s">
        <v>1673</v>
      </c>
      <c r="E749" t="s">
        <v>1674</v>
      </c>
      <c r="F749" t="s">
        <v>114</v>
      </c>
      <c r="G749" t="s">
        <v>1680</v>
      </c>
      <c r="H749">
        <v>14</v>
      </c>
      <c r="I749">
        <v>3414.59</v>
      </c>
      <c r="J749">
        <v>47804.26</v>
      </c>
      <c r="AA749">
        <v>44974</v>
      </c>
      <c r="AB749" t="str">
        <v>Ishita</v>
      </c>
      <c r="AC749" t="str">
        <v>Nagpur</v>
      </c>
      <c r="AD749" t="str">
        <v>Maharashtra</v>
      </c>
      <c r="AE749" t="str">
        <v>West</v>
      </c>
      <c r="AF749" t="str">
        <v>Clothing</v>
      </c>
      <c r="AG749" t="str">
        <v>Dress</v>
      </c>
      <c r="AH749">
        <v>10</v>
      </c>
      <c r="AI749">
        <v>4247.74</v>
      </c>
      <c r="AJ749">
        <v>42477.4</v>
      </c>
    </row>
    <row r="750" spans="1:36">
      <c r="A750" s="25">
        <v>45037</v>
      </c>
      <c r="B750" t="s">
        <v>1681</v>
      </c>
      <c r="C750" t="s">
        <v>1672</v>
      </c>
      <c r="D750" t="s">
        <v>1673</v>
      </c>
      <c r="E750" t="s">
        <v>1674</v>
      </c>
      <c r="F750" t="s">
        <v>114</v>
      </c>
      <c r="G750" t="s">
        <v>1718</v>
      </c>
      <c r="H750">
        <v>8</v>
      </c>
      <c r="I750">
        <v>4091.1</v>
      </c>
      <c r="J750">
        <v>32728.799999999999</v>
      </c>
      <c r="AA750">
        <v>44948</v>
      </c>
      <c r="AB750" t="str">
        <v>Ishita</v>
      </c>
      <c r="AC750" t="str">
        <v>Nagpur</v>
      </c>
      <c r="AD750" t="str">
        <v>Maharashtra</v>
      </c>
      <c r="AE750" t="str">
        <v>West</v>
      </c>
      <c r="AF750" t="str">
        <v>Clothing</v>
      </c>
      <c r="AG750" t="str">
        <v>Dress</v>
      </c>
      <c r="AH750">
        <v>14</v>
      </c>
      <c r="AI750">
        <v>2713.47</v>
      </c>
      <c r="AJ750">
        <v>37988.58</v>
      </c>
    </row>
    <row r="751" spans="1:36">
      <c r="A751" s="25">
        <v>45262</v>
      </c>
      <c r="B751" t="s">
        <v>1671</v>
      </c>
      <c r="C751" t="s">
        <v>1672</v>
      </c>
      <c r="D751" t="s">
        <v>1673</v>
      </c>
      <c r="E751" t="s">
        <v>1674</v>
      </c>
      <c r="F751" t="s">
        <v>114</v>
      </c>
      <c r="G751" t="s">
        <v>1680</v>
      </c>
      <c r="H751">
        <v>11</v>
      </c>
      <c r="I751">
        <v>2635.95</v>
      </c>
      <c r="J751">
        <v>28995.45</v>
      </c>
      <c r="AA751">
        <v>45267</v>
      </c>
      <c r="AB751" t="str">
        <v>Vihaan</v>
      </c>
      <c r="AC751" t="str">
        <v>Nagpur</v>
      </c>
      <c r="AD751" t="str">
        <v>Maharashtra</v>
      </c>
      <c r="AE751" t="str">
        <v>West</v>
      </c>
      <c r="AF751" t="str">
        <v>Clothing</v>
      </c>
      <c r="AG751" t="str">
        <v>Pants</v>
      </c>
      <c r="AH751">
        <v>12</v>
      </c>
      <c r="AI751">
        <v>2170.02</v>
      </c>
      <c r="AJ751">
        <v>26040.240000000002</v>
      </c>
    </row>
    <row r="752" spans="1:36">
      <c r="A752" s="25">
        <v>45260</v>
      </c>
      <c r="B752" t="s">
        <v>1698</v>
      </c>
      <c r="C752" t="s">
        <v>1672</v>
      </c>
      <c r="D752" t="s">
        <v>1673</v>
      </c>
      <c r="E752" t="s">
        <v>1674</v>
      </c>
      <c r="F752" t="s">
        <v>114</v>
      </c>
      <c r="G752" t="s">
        <v>1691</v>
      </c>
      <c r="H752">
        <v>5</v>
      </c>
      <c r="I752">
        <v>3725.36</v>
      </c>
      <c r="J752">
        <v>18626.8</v>
      </c>
      <c r="AA752">
        <v>44986</v>
      </c>
      <c r="AB752" t="str">
        <v>Kabir</v>
      </c>
      <c r="AC752" t="str">
        <v>Nagpur</v>
      </c>
      <c r="AD752" t="str">
        <v>Maharashtra</v>
      </c>
      <c r="AE752" t="str">
        <v>West</v>
      </c>
      <c r="AF752" t="str">
        <v>Clothing</v>
      </c>
      <c r="AG752" t="str">
        <v>Dress</v>
      </c>
      <c r="AH752">
        <v>8</v>
      </c>
      <c r="AI752">
        <v>3075.58</v>
      </c>
      <c r="AJ752">
        <v>24604.639999999999</v>
      </c>
    </row>
    <row r="753" spans="1:36">
      <c r="A753" s="25">
        <v>45038</v>
      </c>
      <c r="B753" t="s">
        <v>1705</v>
      </c>
      <c r="C753" t="s">
        <v>1672</v>
      </c>
      <c r="D753" t="s">
        <v>1673</v>
      </c>
      <c r="E753" t="s">
        <v>1674</v>
      </c>
      <c r="F753" t="s">
        <v>114</v>
      </c>
      <c r="G753" t="s">
        <v>1718</v>
      </c>
      <c r="H753">
        <v>16</v>
      </c>
      <c r="I753">
        <v>1090.18</v>
      </c>
      <c r="J753">
        <v>17442.88</v>
      </c>
      <c r="AA753">
        <v>45123</v>
      </c>
      <c r="AB753" t="str">
        <v>Aditi</v>
      </c>
      <c r="AC753" t="str">
        <v>Nagpur</v>
      </c>
      <c r="AD753" t="str">
        <v>Maharashtra</v>
      </c>
      <c r="AE753" t="str">
        <v>West</v>
      </c>
      <c r="AF753" t="str">
        <v>Clothing</v>
      </c>
      <c r="AG753" t="str">
        <v>Dress</v>
      </c>
      <c r="AH753">
        <v>6</v>
      </c>
      <c r="AI753">
        <v>3566.53</v>
      </c>
      <c r="AJ753">
        <v>21399.18</v>
      </c>
    </row>
    <row r="754" spans="1:36">
      <c r="A754" s="25">
        <v>45095</v>
      </c>
      <c r="B754" t="s">
        <v>1671</v>
      </c>
      <c r="C754" t="s">
        <v>1672</v>
      </c>
      <c r="D754" t="s">
        <v>1673</v>
      </c>
      <c r="E754" t="s">
        <v>1674</v>
      </c>
      <c r="F754" t="s">
        <v>114</v>
      </c>
      <c r="G754" t="s">
        <v>1691</v>
      </c>
      <c r="H754">
        <v>17</v>
      </c>
      <c r="I754">
        <v>679.78</v>
      </c>
      <c r="J754">
        <v>11556.26</v>
      </c>
      <c r="AA754">
        <v>45106</v>
      </c>
      <c r="AB754" t="str">
        <v>Aarav</v>
      </c>
      <c r="AC754" t="str">
        <v>Nagpur</v>
      </c>
      <c r="AD754" t="str">
        <v>Maharashtra</v>
      </c>
      <c r="AE754" t="str">
        <v>West</v>
      </c>
      <c r="AF754" t="str">
        <v>Clothing</v>
      </c>
      <c r="AG754" t="str">
        <v>Pants</v>
      </c>
      <c r="AH754">
        <v>5</v>
      </c>
      <c r="AI754">
        <v>4175.13</v>
      </c>
      <c r="AJ754">
        <v>20875.650000000001</v>
      </c>
    </row>
    <row r="755" spans="1:36">
      <c r="A755" s="25">
        <v>45168</v>
      </c>
      <c r="B755" t="s">
        <v>1705</v>
      </c>
      <c r="C755" t="s">
        <v>1672</v>
      </c>
      <c r="D755" t="s">
        <v>1673</v>
      </c>
      <c r="E755" t="s">
        <v>1674</v>
      </c>
      <c r="F755" t="s">
        <v>114</v>
      </c>
      <c r="G755" t="s">
        <v>1712</v>
      </c>
      <c r="H755">
        <v>2</v>
      </c>
      <c r="I755">
        <v>1785.76</v>
      </c>
      <c r="J755">
        <v>3571.52</v>
      </c>
      <c r="AA755">
        <v>45118</v>
      </c>
      <c r="AB755" t="str">
        <v>Meera</v>
      </c>
      <c r="AC755" t="str">
        <v>Nagpur</v>
      </c>
      <c r="AD755" t="str">
        <v>Maharashtra</v>
      </c>
      <c r="AE755" t="str">
        <v>West</v>
      </c>
      <c r="AF755" t="str">
        <v>Clothing</v>
      </c>
      <c r="AG755" t="str">
        <v>Pants</v>
      </c>
      <c r="AH755">
        <v>18</v>
      </c>
      <c r="AI755">
        <v>1120.0999999999999</v>
      </c>
      <c r="AJ755">
        <v>20161.8</v>
      </c>
    </row>
    <row r="756" spans="1:36">
      <c r="A756" s="25">
        <v>45153</v>
      </c>
      <c r="B756" t="s">
        <v>1676</v>
      </c>
      <c r="C756" t="s">
        <v>1716</v>
      </c>
      <c r="D756" t="s">
        <v>1702</v>
      </c>
      <c r="E756" t="s">
        <v>1703</v>
      </c>
      <c r="F756" t="s">
        <v>97</v>
      </c>
      <c r="G756" t="s">
        <v>1699</v>
      </c>
      <c r="H756">
        <v>19</v>
      </c>
      <c r="I756">
        <v>3822.54</v>
      </c>
      <c r="J756">
        <v>72628.259999999995</v>
      </c>
      <c r="AA756">
        <v>45003</v>
      </c>
      <c r="AB756" t="str">
        <v>Ananya</v>
      </c>
      <c r="AC756" t="str">
        <v>Nagpur</v>
      </c>
      <c r="AD756" t="str">
        <v>Maharashtra</v>
      </c>
      <c r="AE756" t="str">
        <v>West</v>
      </c>
      <c r="AF756" t="str">
        <v>Clothing</v>
      </c>
      <c r="AG756" t="str">
        <v>Pants</v>
      </c>
      <c r="AH756">
        <v>4</v>
      </c>
      <c r="AI756">
        <v>2985.48</v>
      </c>
      <c r="AJ756">
        <v>11941.92</v>
      </c>
    </row>
    <row r="757" spans="1:36">
      <c r="A757" s="25">
        <v>44929</v>
      </c>
      <c r="B757" t="s">
        <v>1692</v>
      </c>
      <c r="C757" t="s">
        <v>1716</v>
      </c>
      <c r="D757" t="s">
        <v>1702</v>
      </c>
      <c r="E757" t="s">
        <v>1703</v>
      </c>
      <c r="F757" t="s">
        <v>97</v>
      </c>
      <c r="G757" t="s">
        <v>1699</v>
      </c>
      <c r="H757">
        <v>20</v>
      </c>
      <c r="I757">
        <v>3463.6</v>
      </c>
      <c r="J757">
        <v>69272</v>
      </c>
      <c r="AA757">
        <v>45036</v>
      </c>
      <c r="AB757" t="str">
        <v>Aryan</v>
      </c>
      <c r="AC757" t="str">
        <v>Nagpur</v>
      </c>
      <c r="AD757" t="str">
        <v>Maharashtra</v>
      </c>
      <c r="AE757" t="str">
        <v>West</v>
      </c>
      <c r="AF757" t="str">
        <v>Clothing</v>
      </c>
      <c r="AG757" t="str">
        <v>Pants</v>
      </c>
      <c r="AH757">
        <v>10</v>
      </c>
      <c r="AI757">
        <v>1018.19</v>
      </c>
      <c r="AJ757">
        <v>10181.9</v>
      </c>
    </row>
    <row r="758" spans="1:36">
      <c r="A758" s="25">
        <v>44996</v>
      </c>
      <c r="B758" t="s">
        <v>1676</v>
      </c>
      <c r="C758" t="s">
        <v>1716</v>
      </c>
      <c r="D758" t="s">
        <v>1702</v>
      </c>
      <c r="E758" t="s">
        <v>1703</v>
      </c>
      <c r="F758" t="s">
        <v>97</v>
      </c>
      <c r="G758" t="s">
        <v>1711</v>
      </c>
      <c r="H758">
        <v>15</v>
      </c>
      <c r="I758">
        <v>3946.23</v>
      </c>
      <c r="J758">
        <v>59193.45</v>
      </c>
      <c r="AA758">
        <v>45220</v>
      </c>
      <c r="AB758" t="str">
        <v>Nishant</v>
      </c>
      <c r="AC758" t="str">
        <v>Nagpur</v>
      </c>
      <c r="AD758" t="str">
        <v>Maharashtra</v>
      </c>
      <c r="AE758" t="str">
        <v>West</v>
      </c>
      <c r="AF758" t="str">
        <v>Clothing</v>
      </c>
      <c r="AG758" t="str">
        <v>Pants</v>
      </c>
      <c r="AH758">
        <v>2</v>
      </c>
      <c r="AI758">
        <v>4726.0600000000004</v>
      </c>
      <c r="AJ758">
        <v>9452.1200000000008</v>
      </c>
    </row>
    <row r="759" spans="1:36">
      <c r="A759" s="25">
        <v>45051</v>
      </c>
      <c r="B759" t="s">
        <v>1698</v>
      </c>
      <c r="C759" t="s">
        <v>1716</v>
      </c>
      <c r="D759" t="s">
        <v>1702</v>
      </c>
      <c r="E759" t="s">
        <v>1703</v>
      </c>
      <c r="F759" t="s">
        <v>97</v>
      </c>
      <c r="G759" t="s">
        <v>1711</v>
      </c>
      <c r="H759">
        <v>11</v>
      </c>
      <c r="I759">
        <v>4740.79</v>
      </c>
      <c r="J759">
        <v>52148.69</v>
      </c>
      <c r="AA759">
        <v>45073</v>
      </c>
      <c r="AB759" t="str">
        <v>Ananya</v>
      </c>
      <c r="AC759" t="str">
        <v>Nagpur</v>
      </c>
      <c r="AD759" t="str">
        <v>Maharashtra</v>
      </c>
      <c r="AE759" t="str">
        <v>West</v>
      </c>
      <c r="AF759" t="str">
        <v>Clothing</v>
      </c>
      <c r="AG759" t="str">
        <v>Pants</v>
      </c>
      <c r="AH759">
        <v>7</v>
      </c>
      <c r="AI759">
        <v>1257.3399999999999</v>
      </c>
      <c r="AJ759">
        <v>8801.3799999999992</v>
      </c>
    </row>
    <row r="760" spans="1:36">
      <c r="A760" s="25">
        <v>45007</v>
      </c>
      <c r="B760" t="s">
        <v>1681</v>
      </c>
      <c r="C760" t="s">
        <v>1716</v>
      </c>
      <c r="D760" t="s">
        <v>1702</v>
      </c>
      <c r="E760" t="s">
        <v>1703</v>
      </c>
      <c r="F760" t="s">
        <v>97</v>
      </c>
      <c r="G760" t="s">
        <v>1697</v>
      </c>
      <c r="H760">
        <v>8</v>
      </c>
      <c r="I760">
        <v>4663.82</v>
      </c>
      <c r="J760">
        <v>37310.559999999998</v>
      </c>
      <c r="AA760">
        <v>45222</v>
      </c>
      <c r="AB760" t="str">
        <v>Aarav</v>
      </c>
      <c r="AC760" t="str">
        <v>Nagpur</v>
      </c>
      <c r="AD760" t="str">
        <v>Maharashtra</v>
      </c>
      <c r="AE760" t="str">
        <v>West</v>
      </c>
      <c r="AF760" t="str">
        <v>Clothing</v>
      </c>
      <c r="AG760" t="str">
        <v>Pants</v>
      </c>
      <c r="AH760">
        <v>1</v>
      </c>
      <c r="AI760">
        <v>3758.07</v>
      </c>
      <c r="AJ760">
        <v>3758.07</v>
      </c>
    </row>
    <row r="761" spans="1:36">
      <c r="A761" s="25">
        <v>45046</v>
      </c>
      <c r="B761" t="s">
        <v>1705</v>
      </c>
      <c r="C761" t="s">
        <v>1716</v>
      </c>
      <c r="D761" t="s">
        <v>1702</v>
      </c>
      <c r="E761" t="s">
        <v>1703</v>
      </c>
      <c r="F761" t="s">
        <v>97</v>
      </c>
      <c r="G761" t="s">
        <v>1711</v>
      </c>
      <c r="H761">
        <v>10</v>
      </c>
      <c r="I761">
        <v>2682.33</v>
      </c>
      <c r="J761">
        <v>26823.3</v>
      </c>
      <c r="AA761">
        <v>45015</v>
      </c>
      <c r="AB761" t="str">
        <v>Meera</v>
      </c>
      <c r="AC761" t="str">
        <v>Nagpur</v>
      </c>
      <c r="AD761" t="str">
        <v>Maharashtra</v>
      </c>
      <c r="AE761" t="str">
        <v>West</v>
      </c>
      <c r="AF761" t="str">
        <v>Electronics</v>
      </c>
      <c r="AG761" t="str">
        <v>Laptop</v>
      </c>
      <c r="AH761">
        <v>13</v>
      </c>
      <c r="AI761">
        <v>4843.21</v>
      </c>
      <c r="AJ761">
        <v>62961.73</v>
      </c>
    </row>
    <row r="762" spans="1:36">
      <c r="A762" s="25">
        <v>44964</v>
      </c>
      <c r="B762" t="s">
        <v>1689</v>
      </c>
      <c r="C762" t="s">
        <v>1716</v>
      </c>
      <c r="D762" t="s">
        <v>1702</v>
      </c>
      <c r="E762" t="s">
        <v>1703</v>
      </c>
      <c r="F762" t="s">
        <v>97</v>
      </c>
      <c r="G762" t="s">
        <v>1711</v>
      </c>
      <c r="H762">
        <v>12</v>
      </c>
      <c r="I762">
        <v>1819.46</v>
      </c>
      <c r="J762">
        <v>21833.52</v>
      </c>
      <c r="AA762">
        <v>45168</v>
      </c>
      <c r="AB762" t="str">
        <v>Aditi</v>
      </c>
      <c r="AC762" t="str">
        <v>Nagpur</v>
      </c>
      <c r="AD762" t="str">
        <v>Maharashtra</v>
      </c>
      <c r="AE762" t="str">
        <v>West</v>
      </c>
      <c r="AF762" t="str">
        <v>Electronics</v>
      </c>
      <c r="AG762" t="str">
        <v>Headphones</v>
      </c>
      <c r="AH762">
        <v>12</v>
      </c>
      <c r="AI762">
        <v>4405.1899999999996</v>
      </c>
      <c r="AJ762">
        <v>52862.28</v>
      </c>
    </row>
    <row r="763" spans="1:36">
      <c r="A763" s="25">
        <v>45286</v>
      </c>
      <c r="B763" t="s">
        <v>1692</v>
      </c>
      <c r="C763" t="s">
        <v>1716</v>
      </c>
      <c r="D763" t="s">
        <v>1702</v>
      </c>
      <c r="E763" t="s">
        <v>1703</v>
      </c>
      <c r="F763" t="s">
        <v>97</v>
      </c>
      <c r="G763" t="s">
        <v>1697</v>
      </c>
      <c r="H763">
        <v>16</v>
      </c>
      <c r="I763">
        <v>1236.8</v>
      </c>
      <c r="J763">
        <v>19788.8</v>
      </c>
      <c r="AA763">
        <v>45223</v>
      </c>
      <c r="AB763" t="str">
        <v>Kabir</v>
      </c>
      <c r="AC763" t="str">
        <v>Nagpur</v>
      </c>
      <c r="AD763" t="str">
        <v>Maharashtra</v>
      </c>
      <c r="AE763" t="str">
        <v>West</v>
      </c>
      <c r="AF763" t="str">
        <v>Electronics</v>
      </c>
      <c r="AG763" t="str">
        <v>Smartphone</v>
      </c>
      <c r="AH763">
        <v>15</v>
      </c>
      <c r="AI763">
        <v>3225.2</v>
      </c>
      <c r="AJ763">
        <v>48378</v>
      </c>
    </row>
    <row r="764" spans="1:36">
      <c r="A764" s="25">
        <v>45008</v>
      </c>
      <c r="B764" t="s">
        <v>1676</v>
      </c>
      <c r="C764" t="s">
        <v>1716</v>
      </c>
      <c r="D764" t="s">
        <v>1702</v>
      </c>
      <c r="E764" t="s">
        <v>1703</v>
      </c>
      <c r="F764" t="s">
        <v>97</v>
      </c>
      <c r="G764" t="s">
        <v>1697</v>
      </c>
      <c r="H764">
        <v>12</v>
      </c>
      <c r="I764">
        <v>957.01</v>
      </c>
      <c r="J764">
        <v>11484.12</v>
      </c>
      <c r="AA764">
        <v>45042</v>
      </c>
      <c r="AB764" t="str">
        <v>Aarav</v>
      </c>
      <c r="AC764" t="str">
        <v>Nagpur</v>
      </c>
      <c r="AD764" t="str">
        <v>Maharashtra</v>
      </c>
      <c r="AE764" t="str">
        <v>West</v>
      </c>
      <c r="AF764" t="str">
        <v>Electronics</v>
      </c>
      <c r="AG764" t="str">
        <v>Smartphone</v>
      </c>
      <c r="AH764">
        <v>20</v>
      </c>
      <c r="AI764">
        <v>2163.9499999999998</v>
      </c>
      <c r="AJ764">
        <v>43279</v>
      </c>
    </row>
    <row r="765" spans="1:36">
      <c r="A765" s="25">
        <v>45234</v>
      </c>
      <c r="B765" t="s">
        <v>1694</v>
      </c>
      <c r="C765" t="s">
        <v>1716</v>
      </c>
      <c r="D765" t="s">
        <v>1702</v>
      </c>
      <c r="E765" t="s">
        <v>1703</v>
      </c>
      <c r="F765" t="s">
        <v>97</v>
      </c>
      <c r="G765" t="s">
        <v>1685</v>
      </c>
      <c r="H765">
        <v>2</v>
      </c>
      <c r="I765">
        <v>4818.49</v>
      </c>
      <c r="J765">
        <v>9636.98</v>
      </c>
      <c r="AA765">
        <v>45129</v>
      </c>
      <c r="AB765" t="str">
        <v>Nishant</v>
      </c>
      <c r="AC765" t="str">
        <v>Nagpur</v>
      </c>
      <c r="AD765" t="str">
        <v>Maharashtra</v>
      </c>
      <c r="AE765" t="str">
        <v>West</v>
      </c>
      <c r="AF765" t="str">
        <v>Electronics</v>
      </c>
      <c r="AG765" t="str">
        <v>Smartphone</v>
      </c>
      <c r="AH765">
        <v>10</v>
      </c>
      <c r="AI765">
        <v>4282.18</v>
      </c>
      <c r="AJ765">
        <v>42821.8</v>
      </c>
    </row>
    <row r="766" spans="1:36">
      <c r="A766" s="25">
        <v>45100</v>
      </c>
      <c r="B766" t="s">
        <v>1681</v>
      </c>
      <c r="C766" t="s">
        <v>1716</v>
      </c>
      <c r="D766" t="s">
        <v>1702</v>
      </c>
      <c r="E766" t="s">
        <v>1703</v>
      </c>
      <c r="F766" t="s">
        <v>97</v>
      </c>
      <c r="G766" t="s">
        <v>1699</v>
      </c>
      <c r="H766">
        <v>1</v>
      </c>
      <c r="I766">
        <v>2709.05</v>
      </c>
      <c r="J766">
        <v>2709.05</v>
      </c>
      <c r="AA766">
        <v>44967</v>
      </c>
      <c r="AB766" t="str">
        <v>Aditi</v>
      </c>
      <c r="AC766" t="str">
        <v>Nagpur</v>
      </c>
      <c r="AD766" t="str">
        <v>Maharashtra</v>
      </c>
      <c r="AE766" t="str">
        <v>West</v>
      </c>
      <c r="AF766" t="str">
        <v>Electronics</v>
      </c>
      <c r="AG766" t="str">
        <v>Headphones</v>
      </c>
      <c r="AH766">
        <v>19</v>
      </c>
      <c r="AI766">
        <v>2174.7600000000002</v>
      </c>
      <c r="AJ766">
        <v>41320.44</v>
      </c>
    </row>
    <row r="767" spans="1:36">
      <c r="A767" s="25">
        <v>45239</v>
      </c>
      <c r="B767" t="s">
        <v>1671</v>
      </c>
      <c r="C767" t="s">
        <v>1716</v>
      </c>
      <c r="D767" t="s">
        <v>1702</v>
      </c>
      <c r="E767" t="s">
        <v>1703</v>
      </c>
      <c r="F767" t="s">
        <v>97</v>
      </c>
      <c r="G767" t="s">
        <v>1697</v>
      </c>
      <c r="H767">
        <v>12</v>
      </c>
      <c r="I767">
        <v>149.16</v>
      </c>
      <c r="J767">
        <v>1789.92</v>
      </c>
      <c r="AA767">
        <v>45175</v>
      </c>
      <c r="AB767" t="str">
        <v>Vihaan</v>
      </c>
      <c r="AC767" t="str">
        <v>Nagpur</v>
      </c>
      <c r="AD767" t="str">
        <v>Maharashtra</v>
      </c>
      <c r="AE767" t="str">
        <v>West</v>
      </c>
      <c r="AF767" t="str">
        <v>Electronics</v>
      </c>
      <c r="AG767" t="str">
        <v>Laptop</v>
      </c>
      <c r="AH767">
        <v>6</v>
      </c>
      <c r="AI767">
        <v>2920.43</v>
      </c>
      <c r="AJ767">
        <v>17522.580000000002</v>
      </c>
    </row>
    <row r="768" spans="1:36">
      <c r="A768" s="25">
        <v>44942</v>
      </c>
      <c r="B768" t="s">
        <v>1700</v>
      </c>
      <c r="C768" t="s">
        <v>1716</v>
      </c>
      <c r="D768" t="s">
        <v>1702</v>
      </c>
      <c r="E768" t="s">
        <v>1703</v>
      </c>
      <c r="F768" t="s">
        <v>89</v>
      </c>
      <c r="G768" t="s">
        <v>1105</v>
      </c>
      <c r="H768">
        <v>20</v>
      </c>
      <c r="I768">
        <v>3925.65</v>
      </c>
      <c r="J768">
        <v>78513</v>
      </c>
      <c r="AA768">
        <v>44963</v>
      </c>
      <c r="AB768" t="str">
        <v>Meera</v>
      </c>
      <c r="AC768" t="str">
        <v>Nagpur</v>
      </c>
      <c r="AD768" t="str">
        <v>Maharashtra</v>
      </c>
      <c r="AE768" t="str">
        <v>West</v>
      </c>
      <c r="AF768" t="str">
        <v>Electronics</v>
      </c>
      <c r="AG768" t="str">
        <v>Laptop</v>
      </c>
      <c r="AH768">
        <v>12</v>
      </c>
      <c r="AI768">
        <v>1410.03</v>
      </c>
      <c r="AJ768">
        <v>16920.36</v>
      </c>
    </row>
    <row r="769" spans="1:36">
      <c r="A769" s="25">
        <v>45244</v>
      </c>
      <c r="B769" t="s">
        <v>1700</v>
      </c>
      <c r="C769" t="s">
        <v>1716</v>
      </c>
      <c r="D769" t="s">
        <v>1702</v>
      </c>
      <c r="E769" t="s">
        <v>1703</v>
      </c>
      <c r="F769" t="s">
        <v>89</v>
      </c>
      <c r="G769" t="s">
        <v>1713</v>
      </c>
      <c r="H769">
        <v>14</v>
      </c>
      <c r="I769">
        <v>4406.29</v>
      </c>
      <c r="J769">
        <v>61688.06</v>
      </c>
      <c r="AA769">
        <v>45195</v>
      </c>
      <c r="AB769" t="str">
        <v>Aditi</v>
      </c>
      <c r="AC769" t="str">
        <v>Nagpur</v>
      </c>
      <c r="AD769" t="str">
        <v>Maharashtra</v>
      </c>
      <c r="AE769" t="str">
        <v>West</v>
      </c>
      <c r="AF769" t="str">
        <v>Electronics</v>
      </c>
      <c r="AG769" t="str">
        <v>Laptop</v>
      </c>
      <c r="AH769">
        <v>4</v>
      </c>
      <c r="AI769">
        <v>3684.5</v>
      </c>
      <c r="AJ769">
        <v>14738</v>
      </c>
    </row>
    <row r="770" spans="1:36">
      <c r="A770" s="25">
        <v>44960</v>
      </c>
      <c r="B770" t="s">
        <v>1698</v>
      </c>
      <c r="C770" t="s">
        <v>1716</v>
      </c>
      <c r="D770" t="s">
        <v>1702</v>
      </c>
      <c r="E770" t="s">
        <v>1703</v>
      </c>
      <c r="F770" t="s">
        <v>89</v>
      </c>
      <c r="G770" t="s">
        <v>1713</v>
      </c>
      <c r="H770">
        <v>12</v>
      </c>
      <c r="I770">
        <v>3696.43</v>
      </c>
      <c r="J770">
        <v>44357.16</v>
      </c>
      <c r="AA770">
        <v>44991</v>
      </c>
      <c r="AB770" t="str">
        <v>Kabir</v>
      </c>
      <c r="AC770" t="str">
        <v>Nagpur</v>
      </c>
      <c r="AD770" t="str">
        <v>Maharashtra</v>
      </c>
      <c r="AE770" t="str">
        <v>West</v>
      </c>
      <c r="AF770" t="str">
        <v>Electronics</v>
      </c>
      <c r="AG770" t="str">
        <v>Tablet</v>
      </c>
      <c r="AH770">
        <v>7</v>
      </c>
      <c r="AI770">
        <v>2083.7800000000002</v>
      </c>
      <c r="AJ770">
        <v>14586.46</v>
      </c>
    </row>
    <row r="771" spans="1:36">
      <c r="A771" s="25">
        <v>45263</v>
      </c>
      <c r="B771" t="s">
        <v>1705</v>
      </c>
      <c r="C771" t="s">
        <v>1716</v>
      </c>
      <c r="D771" t="s">
        <v>1702</v>
      </c>
      <c r="E771" t="s">
        <v>1703</v>
      </c>
      <c r="F771" t="s">
        <v>89</v>
      </c>
      <c r="G771" t="s">
        <v>1714</v>
      </c>
      <c r="H771">
        <v>19</v>
      </c>
      <c r="I771">
        <v>1359.7</v>
      </c>
      <c r="J771">
        <v>25834.3</v>
      </c>
      <c r="AA771">
        <v>45241</v>
      </c>
      <c r="AB771" t="str">
        <v>Aditi</v>
      </c>
      <c r="AC771" t="str">
        <v>Nagpur</v>
      </c>
      <c r="AD771" t="str">
        <v>Maharashtra</v>
      </c>
      <c r="AE771" t="str">
        <v>West</v>
      </c>
      <c r="AF771" t="str">
        <v>Electronics</v>
      </c>
      <c r="AG771" t="str">
        <v>Tablet</v>
      </c>
      <c r="AH771">
        <v>16</v>
      </c>
      <c r="AI771">
        <v>628.15</v>
      </c>
      <c r="AJ771">
        <v>10050.4</v>
      </c>
    </row>
    <row r="772" spans="1:36">
      <c r="A772" s="25">
        <v>45138</v>
      </c>
      <c r="B772" t="s">
        <v>1689</v>
      </c>
      <c r="C772" t="s">
        <v>1716</v>
      </c>
      <c r="D772" t="s">
        <v>1702</v>
      </c>
      <c r="E772" t="s">
        <v>1703</v>
      </c>
      <c r="F772" t="s">
        <v>89</v>
      </c>
      <c r="G772" t="s">
        <v>1713</v>
      </c>
      <c r="H772">
        <v>6</v>
      </c>
      <c r="I772">
        <v>4197.59</v>
      </c>
      <c r="J772">
        <v>25185.54</v>
      </c>
      <c r="AA772">
        <v>45085</v>
      </c>
      <c r="AB772" t="str">
        <v>Vihaan</v>
      </c>
      <c r="AC772" t="str">
        <v>Nagpur</v>
      </c>
      <c r="AD772" t="str">
        <v>Maharashtra</v>
      </c>
      <c r="AE772" t="str">
        <v>West</v>
      </c>
      <c r="AF772" t="str">
        <v>Electronics</v>
      </c>
      <c r="AG772" t="str">
        <v>Headphones</v>
      </c>
      <c r="AH772">
        <v>11</v>
      </c>
      <c r="AI772">
        <v>864.29</v>
      </c>
      <c r="AJ772">
        <v>9507.19</v>
      </c>
    </row>
    <row r="773" spans="1:36">
      <c r="A773" s="25">
        <v>45159</v>
      </c>
      <c r="B773" t="s">
        <v>1698</v>
      </c>
      <c r="C773" t="s">
        <v>1716</v>
      </c>
      <c r="D773" t="s">
        <v>1702</v>
      </c>
      <c r="E773" t="s">
        <v>1703</v>
      </c>
      <c r="F773" t="s">
        <v>89</v>
      </c>
      <c r="G773" t="s">
        <v>1713</v>
      </c>
      <c r="H773">
        <v>7</v>
      </c>
      <c r="I773">
        <v>3481</v>
      </c>
      <c r="J773">
        <v>24367</v>
      </c>
      <c r="AA773">
        <v>45060</v>
      </c>
      <c r="AB773" t="str">
        <v>Ishita</v>
      </c>
      <c r="AC773" t="str">
        <v>Nagpur</v>
      </c>
      <c r="AD773" t="str">
        <v>Maharashtra</v>
      </c>
      <c r="AE773" t="str">
        <v>West</v>
      </c>
      <c r="AF773" t="str">
        <v>Electronics</v>
      </c>
      <c r="AG773" t="str">
        <v>Headphones</v>
      </c>
      <c r="AH773">
        <v>2</v>
      </c>
      <c r="AI773">
        <v>4542.6099999999997</v>
      </c>
      <c r="AJ773">
        <v>9085.2199999999993</v>
      </c>
    </row>
    <row r="774" spans="1:36">
      <c r="A774" s="25">
        <v>45151</v>
      </c>
      <c r="B774" t="s">
        <v>1689</v>
      </c>
      <c r="C774" t="s">
        <v>1716</v>
      </c>
      <c r="D774" t="s">
        <v>1702</v>
      </c>
      <c r="E774" t="s">
        <v>1703</v>
      </c>
      <c r="F774" t="s">
        <v>89</v>
      </c>
      <c r="G774" t="s">
        <v>1105</v>
      </c>
      <c r="H774">
        <v>11</v>
      </c>
      <c r="I774">
        <v>2133.36</v>
      </c>
      <c r="J774">
        <v>23466.959999999999</v>
      </c>
      <c r="AA774">
        <v>45069</v>
      </c>
      <c r="AB774" t="str">
        <v>Aarav</v>
      </c>
      <c r="AC774" t="str">
        <v>Nagpur</v>
      </c>
      <c r="AD774" t="str">
        <v>Maharashtra</v>
      </c>
      <c r="AE774" t="str">
        <v>West</v>
      </c>
      <c r="AF774" t="str">
        <v>Electronics</v>
      </c>
      <c r="AG774" t="str">
        <v>Tablet</v>
      </c>
      <c r="AH774">
        <v>7</v>
      </c>
      <c r="AI774">
        <v>1249.3599999999999</v>
      </c>
      <c r="AJ774">
        <v>8745.52</v>
      </c>
    </row>
    <row r="775" spans="1:36">
      <c r="A775" s="25">
        <v>44965</v>
      </c>
      <c r="B775" t="s">
        <v>1686</v>
      </c>
      <c r="C775" t="s">
        <v>1716</v>
      </c>
      <c r="D775" t="s">
        <v>1702</v>
      </c>
      <c r="E775" t="s">
        <v>1703</v>
      </c>
      <c r="F775" t="s">
        <v>89</v>
      </c>
      <c r="G775" t="s">
        <v>1106</v>
      </c>
      <c r="H775">
        <v>17</v>
      </c>
      <c r="I775">
        <v>1248.03</v>
      </c>
      <c r="J775">
        <v>21216.51</v>
      </c>
      <c r="AA775">
        <v>45253</v>
      </c>
      <c r="AB775" t="str">
        <v>Ishita</v>
      </c>
      <c r="AC775" t="str">
        <v>Nagpur</v>
      </c>
      <c r="AD775" t="str">
        <v>Maharashtra</v>
      </c>
      <c r="AE775" t="str">
        <v>West</v>
      </c>
      <c r="AF775" t="str">
        <v>Electronics</v>
      </c>
      <c r="AG775" t="str">
        <v>Headphones</v>
      </c>
      <c r="AH775">
        <v>3</v>
      </c>
      <c r="AI775">
        <v>2055.4499999999998</v>
      </c>
      <c r="AJ775">
        <v>6166.35</v>
      </c>
    </row>
    <row r="776" spans="1:36">
      <c r="A776" s="25">
        <v>45261</v>
      </c>
      <c r="B776" t="s">
        <v>1692</v>
      </c>
      <c r="C776" t="s">
        <v>1716</v>
      </c>
      <c r="D776" t="s">
        <v>1702</v>
      </c>
      <c r="E776" t="s">
        <v>1703</v>
      </c>
      <c r="F776" t="s">
        <v>89</v>
      </c>
      <c r="G776" t="s">
        <v>1105</v>
      </c>
      <c r="H776">
        <v>5</v>
      </c>
      <c r="I776">
        <v>3289.83</v>
      </c>
      <c r="J776">
        <v>16449.150000000001</v>
      </c>
      <c r="AA776">
        <v>45160</v>
      </c>
      <c r="AB776" t="str">
        <v>Aarav</v>
      </c>
      <c r="AC776" t="str">
        <v>Nagpur</v>
      </c>
      <c r="AD776" t="str">
        <v>Maharashtra</v>
      </c>
      <c r="AE776" t="str">
        <v>West</v>
      </c>
      <c r="AF776" t="str">
        <v>Electronics</v>
      </c>
      <c r="AG776" t="str">
        <v>Smartphone</v>
      </c>
      <c r="AH776">
        <v>9</v>
      </c>
      <c r="AI776">
        <v>631.99</v>
      </c>
      <c r="AJ776">
        <v>5687.91</v>
      </c>
    </row>
    <row r="777" spans="1:36">
      <c r="A777" s="25">
        <v>45149</v>
      </c>
      <c r="B777" t="s">
        <v>1694</v>
      </c>
      <c r="C777" t="s">
        <v>1716</v>
      </c>
      <c r="D777" t="s">
        <v>1702</v>
      </c>
      <c r="E777" t="s">
        <v>1703</v>
      </c>
      <c r="F777" t="s">
        <v>89</v>
      </c>
      <c r="G777" t="s">
        <v>1713</v>
      </c>
      <c r="H777">
        <v>7</v>
      </c>
      <c r="I777">
        <v>2187.71</v>
      </c>
      <c r="J777">
        <v>15313.97</v>
      </c>
      <c r="AA777">
        <v>44997</v>
      </c>
      <c r="AB777" t="str">
        <v>Riya</v>
      </c>
      <c r="AC777" t="str">
        <v>Nagpur</v>
      </c>
      <c r="AD777" t="str">
        <v>Maharashtra</v>
      </c>
      <c r="AE777" t="str">
        <v>West</v>
      </c>
      <c r="AF777" t="str">
        <v>Electronics</v>
      </c>
      <c r="AG777" t="str">
        <v>Headphones</v>
      </c>
      <c r="AH777">
        <v>1</v>
      </c>
      <c r="AI777">
        <v>1598.87</v>
      </c>
      <c r="AJ777">
        <v>1598.87</v>
      </c>
    </row>
    <row r="778" spans="1:36">
      <c r="A778" s="25">
        <v>44963</v>
      </c>
      <c r="B778" t="s">
        <v>1698</v>
      </c>
      <c r="C778" t="s">
        <v>1716</v>
      </c>
      <c r="D778" t="s">
        <v>1702</v>
      </c>
      <c r="E778" t="s">
        <v>1703</v>
      </c>
      <c r="F778" t="s">
        <v>89</v>
      </c>
      <c r="G778" t="s">
        <v>1714</v>
      </c>
      <c r="H778">
        <v>7</v>
      </c>
      <c r="I778">
        <v>1420.32</v>
      </c>
      <c r="J778">
        <v>9942.24</v>
      </c>
      <c r="AA778">
        <v>44956</v>
      </c>
      <c r="AB778" t="str">
        <v>Ananya</v>
      </c>
      <c r="AC778" t="str">
        <v>Nagpur</v>
      </c>
      <c r="AD778" t="str">
        <v>Maharashtra</v>
      </c>
      <c r="AE778" t="str">
        <v>West</v>
      </c>
      <c r="AF778" t="str">
        <v>Furniture</v>
      </c>
      <c r="AG778" t="str">
        <v>Chair</v>
      </c>
      <c r="AH778">
        <v>20</v>
      </c>
      <c r="AI778">
        <v>3734.44</v>
      </c>
      <c r="AJ778">
        <v>74688.800000000003</v>
      </c>
    </row>
    <row r="779" spans="1:36">
      <c r="A779" s="25">
        <v>45204</v>
      </c>
      <c r="B779" t="s">
        <v>1700</v>
      </c>
      <c r="C779" t="s">
        <v>1716</v>
      </c>
      <c r="D779" t="s">
        <v>1702</v>
      </c>
      <c r="E779" t="s">
        <v>1703</v>
      </c>
      <c r="F779" t="s">
        <v>89</v>
      </c>
      <c r="G779" t="s">
        <v>1713</v>
      </c>
      <c r="H779">
        <v>2</v>
      </c>
      <c r="I779">
        <v>4112.53</v>
      </c>
      <c r="J779">
        <v>8225.06</v>
      </c>
      <c r="AA779">
        <v>45243</v>
      </c>
      <c r="AB779" t="str">
        <v>Vihaan</v>
      </c>
      <c r="AC779" t="str">
        <v>Nagpur</v>
      </c>
      <c r="AD779" t="str">
        <v>Maharashtra</v>
      </c>
      <c r="AE779" t="str">
        <v>West</v>
      </c>
      <c r="AF779" t="str">
        <v>Furniture</v>
      </c>
      <c r="AG779" t="str">
        <v>Table</v>
      </c>
      <c r="AH779">
        <v>17</v>
      </c>
      <c r="AI779">
        <v>3827.64</v>
      </c>
      <c r="AJ779">
        <v>65069.88</v>
      </c>
    </row>
    <row r="780" spans="1:36">
      <c r="A780" s="25">
        <v>44939</v>
      </c>
      <c r="B780" t="s">
        <v>1686</v>
      </c>
      <c r="C780" t="s">
        <v>1716</v>
      </c>
      <c r="D780" t="s">
        <v>1702</v>
      </c>
      <c r="E780" t="s">
        <v>1703</v>
      </c>
      <c r="F780" t="s">
        <v>101</v>
      </c>
      <c r="G780" t="s">
        <v>1715</v>
      </c>
      <c r="H780">
        <v>15</v>
      </c>
      <c r="I780">
        <v>4188.84</v>
      </c>
      <c r="J780">
        <v>62832.6</v>
      </c>
      <c r="AA780">
        <v>45265</v>
      </c>
      <c r="AB780" t="str">
        <v>Aditi</v>
      </c>
      <c r="AC780" t="str">
        <v>Nagpur</v>
      </c>
      <c r="AD780" t="str">
        <v>Maharashtra</v>
      </c>
      <c r="AE780" t="str">
        <v>West</v>
      </c>
      <c r="AF780" t="str">
        <v>Furniture</v>
      </c>
      <c r="AG780" t="str">
        <v>Table</v>
      </c>
      <c r="AH780">
        <v>18</v>
      </c>
      <c r="AI780">
        <v>3511.28</v>
      </c>
      <c r="AJ780">
        <v>63203.040000000001</v>
      </c>
    </row>
    <row r="781" spans="1:36">
      <c r="A781" s="25">
        <v>44958</v>
      </c>
      <c r="B781" t="s">
        <v>1681</v>
      </c>
      <c r="C781" t="s">
        <v>1716</v>
      </c>
      <c r="D781" t="s">
        <v>1702</v>
      </c>
      <c r="E781" t="s">
        <v>1703</v>
      </c>
      <c r="F781" t="s">
        <v>101</v>
      </c>
      <c r="G781" t="s">
        <v>1709</v>
      </c>
      <c r="H781">
        <v>16</v>
      </c>
      <c r="I781">
        <v>3320.8</v>
      </c>
      <c r="J781">
        <v>53132.800000000003</v>
      </c>
      <c r="AA781">
        <v>44938</v>
      </c>
      <c r="AB781" t="str">
        <v>Ananya</v>
      </c>
      <c r="AC781" t="str">
        <v>Nagpur</v>
      </c>
      <c r="AD781" t="str">
        <v>Maharashtra</v>
      </c>
      <c r="AE781" t="str">
        <v>West</v>
      </c>
      <c r="AF781" t="str">
        <v>Furniture</v>
      </c>
      <c r="AG781" t="str">
        <v>Table</v>
      </c>
      <c r="AH781">
        <v>13</v>
      </c>
      <c r="AI781">
        <v>4630.9799999999996</v>
      </c>
      <c r="AJ781">
        <v>60202.74</v>
      </c>
    </row>
    <row r="782" spans="1:36">
      <c r="A782" s="25">
        <v>45269</v>
      </c>
      <c r="B782" t="s">
        <v>1676</v>
      </c>
      <c r="C782" t="s">
        <v>1716</v>
      </c>
      <c r="D782" t="s">
        <v>1702</v>
      </c>
      <c r="E782" t="s">
        <v>1703</v>
      </c>
      <c r="F782" t="s">
        <v>101</v>
      </c>
      <c r="G782" t="s">
        <v>1715</v>
      </c>
      <c r="H782">
        <v>17</v>
      </c>
      <c r="I782">
        <v>2655.98</v>
      </c>
      <c r="J782">
        <v>45151.66</v>
      </c>
      <c r="AA782">
        <v>45157</v>
      </c>
      <c r="AB782" t="str">
        <v>Meera</v>
      </c>
      <c r="AC782" t="str">
        <v>Nagpur</v>
      </c>
      <c r="AD782" t="str">
        <v>Maharashtra</v>
      </c>
      <c r="AE782" t="str">
        <v>West</v>
      </c>
      <c r="AF782" t="str">
        <v>Furniture</v>
      </c>
      <c r="AG782" t="str">
        <v>Sofa</v>
      </c>
      <c r="AH782">
        <v>16</v>
      </c>
      <c r="AI782">
        <v>3369.55</v>
      </c>
      <c r="AJ782">
        <v>53912.800000000003</v>
      </c>
    </row>
    <row r="783" spans="1:36">
      <c r="A783" s="25">
        <v>44988</v>
      </c>
      <c r="B783" t="s">
        <v>1671</v>
      </c>
      <c r="C783" t="s">
        <v>1716</v>
      </c>
      <c r="D783" t="s">
        <v>1702</v>
      </c>
      <c r="E783" t="s">
        <v>1703</v>
      </c>
      <c r="F783" t="s">
        <v>101</v>
      </c>
      <c r="G783" t="s">
        <v>1719</v>
      </c>
      <c r="H783">
        <v>12</v>
      </c>
      <c r="I783">
        <v>3229.61</v>
      </c>
      <c r="J783">
        <v>38755.32</v>
      </c>
      <c r="AA783">
        <v>44940</v>
      </c>
      <c r="AB783" t="str">
        <v>Riya</v>
      </c>
      <c r="AC783" t="str">
        <v>Nagpur</v>
      </c>
      <c r="AD783" t="str">
        <v>Maharashtra</v>
      </c>
      <c r="AE783" t="str">
        <v>West</v>
      </c>
      <c r="AF783" t="str">
        <v>Furniture</v>
      </c>
      <c r="AG783" t="str">
        <v>Sofa</v>
      </c>
      <c r="AH783">
        <v>15</v>
      </c>
      <c r="AI783">
        <v>3579.98</v>
      </c>
      <c r="AJ783">
        <v>53699.7</v>
      </c>
    </row>
    <row r="784" spans="1:36">
      <c r="A784" s="25">
        <v>45198</v>
      </c>
      <c r="B784" t="s">
        <v>1686</v>
      </c>
      <c r="C784" t="s">
        <v>1716</v>
      </c>
      <c r="D784" t="s">
        <v>1702</v>
      </c>
      <c r="E784" t="s">
        <v>1703</v>
      </c>
      <c r="F784" t="s">
        <v>101</v>
      </c>
      <c r="G784" t="s">
        <v>1709</v>
      </c>
      <c r="H784">
        <v>17</v>
      </c>
      <c r="I784">
        <v>2042</v>
      </c>
      <c r="J784">
        <v>34714</v>
      </c>
      <c r="AA784">
        <v>44939</v>
      </c>
      <c r="AB784" t="str">
        <v>Kabir</v>
      </c>
      <c r="AC784" t="str">
        <v>Nagpur</v>
      </c>
      <c r="AD784" t="str">
        <v>Maharashtra</v>
      </c>
      <c r="AE784" t="str">
        <v>West</v>
      </c>
      <c r="AF784" t="str">
        <v>Furniture</v>
      </c>
      <c r="AG784" t="str">
        <v>Bed</v>
      </c>
      <c r="AH784">
        <v>12</v>
      </c>
      <c r="AI784">
        <v>4414.2700000000004</v>
      </c>
      <c r="AJ784">
        <v>52971.24</v>
      </c>
    </row>
    <row r="785" spans="1:36">
      <c r="A785" s="25">
        <v>45240</v>
      </c>
      <c r="B785" t="s">
        <v>1681</v>
      </c>
      <c r="C785" t="s">
        <v>1716</v>
      </c>
      <c r="D785" t="s">
        <v>1702</v>
      </c>
      <c r="E785" t="s">
        <v>1703</v>
      </c>
      <c r="F785" t="s">
        <v>101</v>
      </c>
      <c r="G785" t="s">
        <v>1715</v>
      </c>
      <c r="H785">
        <v>14</v>
      </c>
      <c r="I785">
        <v>2385.9899999999998</v>
      </c>
      <c r="J785">
        <v>33403.86</v>
      </c>
      <c r="AA785">
        <v>45047</v>
      </c>
      <c r="AB785" t="str">
        <v>Aryan</v>
      </c>
      <c r="AC785" t="str">
        <v>Nagpur</v>
      </c>
      <c r="AD785" t="str">
        <v>Maharashtra</v>
      </c>
      <c r="AE785" t="str">
        <v>West</v>
      </c>
      <c r="AF785" t="str">
        <v>Furniture</v>
      </c>
      <c r="AG785" t="str">
        <v>Bed</v>
      </c>
      <c r="AH785">
        <v>18</v>
      </c>
      <c r="AI785">
        <v>2589.64</v>
      </c>
      <c r="AJ785">
        <v>46613.52</v>
      </c>
    </row>
    <row r="786" spans="1:36">
      <c r="A786" s="25">
        <v>45181</v>
      </c>
      <c r="B786" t="s">
        <v>1692</v>
      </c>
      <c r="C786" t="s">
        <v>1716</v>
      </c>
      <c r="D786" t="s">
        <v>1702</v>
      </c>
      <c r="E786" t="s">
        <v>1703</v>
      </c>
      <c r="F786" t="s">
        <v>101</v>
      </c>
      <c r="G786" t="s">
        <v>1709</v>
      </c>
      <c r="H786">
        <v>16</v>
      </c>
      <c r="I786">
        <v>1795.37</v>
      </c>
      <c r="J786">
        <v>28725.919999999998</v>
      </c>
      <c r="AA786">
        <v>45061</v>
      </c>
      <c r="AB786" t="str">
        <v>Aryan</v>
      </c>
      <c r="AC786" t="str">
        <v>Nagpur</v>
      </c>
      <c r="AD786" t="str">
        <v>Maharashtra</v>
      </c>
      <c r="AE786" t="str">
        <v>West</v>
      </c>
      <c r="AF786" t="str">
        <v>Furniture</v>
      </c>
      <c r="AG786" t="str">
        <v>Chair</v>
      </c>
      <c r="AH786">
        <v>14</v>
      </c>
      <c r="AI786">
        <v>3044.71</v>
      </c>
      <c r="AJ786">
        <v>42625.94</v>
      </c>
    </row>
    <row r="787" spans="1:36">
      <c r="A787" s="25">
        <v>45192</v>
      </c>
      <c r="B787" t="s">
        <v>1700</v>
      </c>
      <c r="C787" t="s">
        <v>1716</v>
      </c>
      <c r="D787" t="s">
        <v>1702</v>
      </c>
      <c r="E787" t="s">
        <v>1703</v>
      </c>
      <c r="F787" t="s">
        <v>101</v>
      </c>
      <c r="G787" t="s">
        <v>1719</v>
      </c>
      <c r="H787">
        <v>6</v>
      </c>
      <c r="I787">
        <v>4109.0200000000004</v>
      </c>
      <c r="J787">
        <v>24654.12</v>
      </c>
      <c r="AA787">
        <v>45068</v>
      </c>
      <c r="AB787" t="str">
        <v>Ishita</v>
      </c>
      <c r="AC787" t="str">
        <v>Nagpur</v>
      </c>
      <c r="AD787" t="str">
        <v>Maharashtra</v>
      </c>
      <c r="AE787" t="str">
        <v>West</v>
      </c>
      <c r="AF787" t="str">
        <v>Furniture</v>
      </c>
      <c r="AG787" t="str">
        <v>Chair</v>
      </c>
      <c r="AH787">
        <v>15</v>
      </c>
      <c r="AI787">
        <v>2698.6</v>
      </c>
      <c r="AJ787">
        <v>40479</v>
      </c>
    </row>
    <row r="788" spans="1:36">
      <c r="A788" s="25">
        <v>44991</v>
      </c>
      <c r="B788" t="s">
        <v>1694</v>
      </c>
      <c r="C788" t="s">
        <v>1716</v>
      </c>
      <c r="D788" t="s">
        <v>1702</v>
      </c>
      <c r="E788" t="s">
        <v>1703</v>
      </c>
      <c r="F788" t="s">
        <v>101</v>
      </c>
      <c r="G788" t="s">
        <v>1719</v>
      </c>
      <c r="H788">
        <v>5</v>
      </c>
      <c r="I788">
        <v>2849.56</v>
      </c>
      <c r="J788">
        <v>14247.8</v>
      </c>
      <c r="AA788">
        <v>44944</v>
      </c>
      <c r="AB788" t="str">
        <v>Nishant</v>
      </c>
      <c r="AC788" t="str">
        <v>Nagpur</v>
      </c>
      <c r="AD788" t="str">
        <v>Maharashtra</v>
      </c>
      <c r="AE788" t="str">
        <v>West</v>
      </c>
      <c r="AF788" t="str">
        <v>Furniture</v>
      </c>
      <c r="AG788" t="str">
        <v>Table</v>
      </c>
      <c r="AH788">
        <v>7</v>
      </c>
      <c r="AI788">
        <v>4418.17</v>
      </c>
      <c r="AJ788">
        <v>30927.19</v>
      </c>
    </row>
    <row r="789" spans="1:36">
      <c r="A789" s="25">
        <v>44972</v>
      </c>
      <c r="B789" t="s">
        <v>1705</v>
      </c>
      <c r="C789" t="s">
        <v>1716</v>
      </c>
      <c r="D789" t="s">
        <v>1702</v>
      </c>
      <c r="E789" t="s">
        <v>1703</v>
      </c>
      <c r="F789" t="s">
        <v>101</v>
      </c>
      <c r="G789" t="s">
        <v>1675</v>
      </c>
      <c r="H789">
        <v>3</v>
      </c>
      <c r="I789">
        <v>3814.12</v>
      </c>
      <c r="J789">
        <v>11442.36</v>
      </c>
      <c r="AA789">
        <v>45197</v>
      </c>
      <c r="AB789" t="str">
        <v>Kabir</v>
      </c>
      <c r="AC789" t="str">
        <v>Nagpur</v>
      </c>
      <c r="AD789" t="str">
        <v>Maharashtra</v>
      </c>
      <c r="AE789" t="str">
        <v>West</v>
      </c>
      <c r="AF789" t="str">
        <v>Furniture</v>
      </c>
      <c r="AG789" t="str">
        <v>Bed</v>
      </c>
      <c r="AH789">
        <v>9</v>
      </c>
      <c r="AI789">
        <v>3195.18</v>
      </c>
      <c r="AJ789">
        <v>28756.62</v>
      </c>
    </row>
    <row r="790" spans="1:36">
      <c r="A790" s="25">
        <v>45235</v>
      </c>
      <c r="B790" t="s">
        <v>1700</v>
      </c>
      <c r="C790" t="s">
        <v>1716</v>
      </c>
      <c r="D790" t="s">
        <v>1702</v>
      </c>
      <c r="E790" t="s">
        <v>1703</v>
      </c>
      <c r="F790" t="s">
        <v>101</v>
      </c>
      <c r="G790" t="s">
        <v>1709</v>
      </c>
      <c r="H790">
        <v>6</v>
      </c>
      <c r="I790">
        <v>1822.86</v>
      </c>
      <c r="J790">
        <v>10937.16</v>
      </c>
      <c r="AA790">
        <v>45102</v>
      </c>
      <c r="AB790" t="str">
        <v>Meera</v>
      </c>
      <c r="AC790" t="str">
        <v>Nagpur</v>
      </c>
      <c r="AD790" t="str">
        <v>Maharashtra</v>
      </c>
      <c r="AE790" t="str">
        <v>West</v>
      </c>
      <c r="AF790" t="str">
        <v>Furniture</v>
      </c>
      <c r="AG790" t="str">
        <v>Table</v>
      </c>
      <c r="AH790">
        <v>6</v>
      </c>
      <c r="AI790">
        <v>4016.25</v>
      </c>
      <c r="AJ790">
        <v>24097.5</v>
      </c>
    </row>
    <row r="791" spans="1:36">
      <c r="A791" s="25">
        <v>45250</v>
      </c>
      <c r="B791" t="s">
        <v>1676</v>
      </c>
      <c r="C791" t="s">
        <v>1716</v>
      </c>
      <c r="D791" t="s">
        <v>1702</v>
      </c>
      <c r="E791" t="s">
        <v>1703</v>
      </c>
      <c r="F791" t="s">
        <v>101</v>
      </c>
      <c r="G791" t="s">
        <v>1719</v>
      </c>
      <c r="H791">
        <v>3</v>
      </c>
      <c r="I791">
        <v>3044.02</v>
      </c>
      <c r="J791">
        <v>9132.06</v>
      </c>
      <c r="AA791">
        <v>45031</v>
      </c>
      <c r="AB791" t="str">
        <v>Kabir</v>
      </c>
      <c r="AC791" t="str">
        <v>Nagpur</v>
      </c>
      <c r="AD791" t="str">
        <v>Maharashtra</v>
      </c>
      <c r="AE791" t="str">
        <v>West</v>
      </c>
      <c r="AF791" t="str">
        <v>Furniture</v>
      </c>
      <c r="AG791" t="str">
        <v>Bed</v>
      </c>
      <c r="AH791">
        <v>15</v>
      </c>
      <c r="AI791">
        <v>1513.67</v>
      </c>
      <c r="AJ791">
        <v>22705.05</v>
      </c>
    </row>
    <row r="792" spans="1:36">
      <c r="A792" s="25">
        <v>45204</v>
      </c>
      <c r="B792" t="s">
        <v>1689</v>
      </c>
      <c r="C792" t="s">
        <v>1716</v>
      </c>
      <c r="D792" t="s">
        <v>1702</v>
      </c>
      <c r="E792" t="s">
        <v>1703</v>
      </c>
      <c r="F792" t="s">
        <v>101</v>
      </c>
      <c r="G792" t="s">
        <v>1709</v>
      </c>
      <c r="H792">
        <v>5</v>
      </c>
      <c r="I792">
        <v>1568.68</v>
      </c>
      <c r="J792">
        <v>7843.4</v>
      </c>
      <c r="AA792">
        <v>45248</v>
      </c>
      <c r="AB792" t="str">
        <v>Nishant</v>
      </c>
      <c r="AC792" t="str">
        <v>Nagpur</v>
      </c>
      <c r="AD792" t="str">
        <v>Maharashtra</v>
      </c>
      <c r="AE792" t="str">
        <v>West</v>
      </c>
      <c r="AF792" t="str">
        <v>Furniture</v>
      </c>
      <c r="AG792" t="str">
        <v>Chair</v>
      </c>
      <c r="AH792">
        <v>16</v>
      </c>
      <c r="AI792">
        <v>1411.33</v>
      </c>
      <c r="AJ792">
        <v>22581.279999999999</v>
      </c>
    </row>
    <row r="793" spans="1:36">
      <c r="A793" s="25">
        <v>45078</v>
      </c>
      <c r="B793" t="s">
        <v>1671</v>
      </c>
      <c r="C793" t="s">
        <v>1716</v>
      </c>
      <c r="D793" t="s">
        <v>1702</v>
      </c>
      <c r="E793" t="s">
        <v>1703</v>
      </c>
      <c r="F793" t="s">
        <v>101</v>
      </c>
      <c r="G793" t="s">
        <v>1675</v>
      </c>
      <c r="H793">
        <v>13</v>
      </c>
      <c r="I793">
        <v>523.83000000000004</v>
      </c>
      <c r="J793">
        <v>6809.79</v>
      </c>
      <c r="AA793">
        <v>45228</v>
      </c>
      <c r="AB793" t="str">
        <v>Kabir</v>
      </c>
      <c r="AC793" t="str">
        <v>Nagpur</v>
      </c>
      <c r="AD793" t="str">
        <v>Maharashtra</v>
      </c>
      <c r="AE793" t="str">
        <v>West</v>
      </c>
      <c r="AF793" t="str">
        <v>Furniture</v>
      </c>
      <c r="AG793" t="str">
        <v>Sofa</v>
      </c>
      <c r="AH793">
        <v>5</v>
      </c>
      <c r="AI793">
        <v>4504.17</v>
      </c>
      <c r="AJ793">
        <v>22520.85</v>
      </c>
    </row>
    <row r="794" spans="1:36">
      <c r="A794" s="25">
        <v>45100</v>
      </c>
      <c r="B794" t="s">
        <v>1676</v>
      </c>
      <c r="C794" t="s">
        <v>1716</v>
      </c>
      <c r="D794" t="s">
        <v>1702</v>
      </c>
      <c r="E794" t="s">
        <v>1703</v>
      </c>
      <c r="F794" t="s">
        <v>101</v>
      </c>
      <c r="G794" t="s">
        <v>1715</v>
      </c>
      <c r="H794">
        <v>2</v>
      </c>
      <c r="I794">
        <v>3325.99</v>
      </c>
      <c r="J794">
        <v>6651.98</v>
      </c>
      <c r="AA794">
        <v>45213</v>
      </c>
      <c r="AB794" t="str">
        <v>Ishita</v>
      </c>
      <c r="AC794" t="str">
        <v>Nagpur</v>
      </c>
      <c r="AD794" t="str">
        <v>Maharashtra</v>
      </c>
      <c r="AE794" t="str">
        <v>West</v>
      </c>
      <c r="AF794" t="str">
        <v>Furniture</v>
      </c>
      <c r="AG794" t="str">
        <v>Bed</v>
      </c>
      <c r="AH794">
        <v>20</v>
      </c>
      <c r="AI794">
        <v>1108.83</v>
      </c>
      <c r="AJ794">
        <v>22176.6</v>
      </c>
    </row>
    <row r="795" spans="1:36">
      <c r="A795" s="25">
        <v>44934</v>
      </c>
      <c r="B795" t="s">
        <v>1676</v>
      </c>
      <c r="C795" t="s">
        <v>1716</v>
      </c>
      <c r="D795" t="s">
        <v>1702</v>
      </c>
      <c r="E795" t="s">
        <v>1703</v>
      </c>
      <c r="F795" t="s">
        <v>101</v>
      </c>
      <c r="G795" t="s">
        <v>1719</v>
      </c>
      <c r="H795">
        <v>3</v>
      </c>
      <c r="I795">
        <v>916.33</v>
      </c>
      <c r="J795">
        <v>2748.99</v>
      </c>
      <c r="AA795">
        <v>45084</v>
      </c>
      <c r="AB795" t="str">
        <v>Ananya</v>
      </c>
      <c r="AC795" t="str">
        <v>Nagpur</v>
      </c>
      <c r="AD795" t="str">
        <v>Maharashtra</v>
      </c>
      <c r="AE795" t="str">
        <v>West</v>
      </c>
      <c r="AF795" t="str">
        <v>Furniture</v>
      </c>
      <c r="AG795" t="str">
        <v>Bed</v>
      </c>
      <c r="AH795">
        <v>4</v>
      </c>
      <c r="AI795">
        <v>3564.22</v>
      </c>
      <c r="AJ795">
        <v>14256.88</v>
      </c>
    </row>
    <row r="796" spans="1:36">
      <c r="A796" s="25">
        <v>45072</v>
      </c>
      <c r="B796" t="s">
        <v>1689</v>
      </c>
      <c r="C796" t="s">
        <v>1716</v>
      </c>
      <c r="D796" t="s">
        <v>1702</v>
      </c>
      <c r="E796" t="s">
        <v>1703</v>
      </c>
      <c r="F796" t="s">
        <v>101</v>
      </c>
      <c r="G796" t="s">
        <v>1709</v>
      </c>
      <c r="H796">
        <v>10</v>
      </c>
      <c r="I796">
        <v>239.55</v>
      </c>
      <c r="J796">
        <v>2395.5</v>
      </c>
      <c r="AA796">
        <v>45190</v>
      </c>
      <c r="AB796" t="str">
        <v>Meera</v>
      </c>
      <c r="AC796" t="str">
        <v>Nagpur</v>
      </c>
      <c r="AD796" t="str">
        <v>Maharashtra</v>
      </c>
      <c r="AE796" t="str">
        <v>West</v>
      </c>
      <c r="AF796" t="str">
        <v>Furniture</v>
      </c>
      <c r="AG796" t="str">
        <v>Bed</v>
      </c>
      <c r="AH796">
        <v>7</v>
      </c>
      <c r="AI796">
        <v>1940.86</v>
      </c>
      <c r="AJ796">
        <v>13586.02</v>
      </c>
    </row>
    <row r="797" spans="1:36">
      <c r="A797" s="25">
        <v>45229</v>
      </c>
      <c r="B797" t="s">
        <v>1692</v>
      </c>
      <c r="C797" t="s">
        <v>1716</v>
      </c>
      <c r="D797" t="s">
        <v>1702</v>
      </c>
      <c r="E797" t="s">
        <v>1703</v>
      </c>
      <c r="F797" t="s">
        <v>1687</v>
      </c>
      <c r="G797" t="s">
        <v>1708</v>
      </c>
      <c r="H797">
        <v>19</v>
      </c>
      <c r="I797">
        <v>3968.42</v>
      </c>
      <c r="J797">
        <v>75399.98</v>
      </c>
      <c r="AA797">
        <v>44952</v>
      </c>
      <c r="AB797" t="str">
        <v>Ishita</v>
      </c>
      <c r="AC797" t="str">
        <v>Nagpur</v>
      </c>
      <c r="AD797" t="str">
        <v>Maharashtra</v>
      </c>
      <c r="AE797" t="str">
        <v>West</v>
      </c>
      <c r="AF797" t="str">
        <v>Furniture</v>
      </c>
      <c r="AG797" t="str">
        <v>Bed</v>
      </c>
      <c r="AH797">
        <v>6</v>
      </c>
      <c r="AI797">
        <v>1709.52</v>
      </c>
      <c r="AJ797">
        <v>10257.120000000001</v>
      </c>
    </row>
    <row r="798" spans="1:36">
      <c r="A798" s="25">
        <v>45201</v>
      </c>
      <c r="B798" t="s">
        <v>1698</v>
      </c>
      <c r="C798" t="s">
        <v>1716</v>
      </c>
      <c r="D798" t="s">
        <v>1702</v>
      </c>
      <c r="E798" t="s">
        <v>1703</v>
      </c>
      <c r="F798" t="s">
        <v>1687</v>
      </c>
      <c r="G798" t="s">
        <v>1710</v>
      </c>
      <c r="H798">
        <v>14</v>
      </c>
      <c r="I798">
        <v>4235.22</v>
      </c>
      <c r="J798">
        <v>59293.08</v>
      </c>
      <c r="AA798">
        <v>44983</v>
      </c>
      <c r="AB798" t="str">
        <v>Kabir</v>
      </c>
      <c r="AC798" t="str">
        <v>Nagpur</v>
      </c>
      <c r="AD798" t="str">
        <v>Maharashtra</v>
      </c>
      <c r="AE798" t="str">
        <v>West</v>
      </c>
      <c r="AF798" t="str">
        <v>Furniture</v>
      </c>
      <c r="AG798" t="str">
        <v>Bed</v>
      </c>
      <c r="AH798">
        <v>6</v>
      </c>
      <c r="AI798">
        <v>112.76</v>
      </c>
      <c r="AJ798">
        <v>676.56</v>
      </c>
    </row>
    <row r="799" spans="1:36">
      <c r="A799" s="25">
        <v>45104</v>
      </c>
      <c r="B799" t="s">
        <v>1681</v>
      </c>
      <c r="C799" t="s">
        <v>1716</v>
      </c>
      <c r="D799" t="s">
        <v>1702</v>
      </c>
      <c r="E799" t="s">
        <v>1703</v>
      </c>
      <c r="F799" t="s">
        <v>1687</v>
      </c>
      <c r="G799" t="s">
        <v>1704</v>
      </c>
      <c r="H799">
        <v>11</v>
      </c>
      <c r="I799">
        <v>4896.83</v>
      </c>
      <c r="J799">
        <v>53865.13</v>
      </c>
      <c r="AA799">
        <v>45072</v>
      </c>
      <c r="AB799" t="str">
        <v>Nishant</v>
      </c>
      <c r="AC799" t="str">
        <v>Nagpur</v>
      </c>
      <c r="AD799" t="str">
        <v>Maharashtra</v>
      </c>
      <c r="AE799" t="str">
        <v>West</v>
      </c>
      <c r="AF799" t="str">
        <v>Groceries</v>
      </c>
      <c r="AG799" t="str">
        <v>Lentils</v>
      </c>
      <c r="AH799">
        <v>20</v>
      </c>
      <c r="AI799">
        <v>2441.83</v>
      </c>
      <c r="AJ799">
        <v>48836.6</v>
      </c>
    </row>
    <row r="800" spans="1:36">
      <c r="A800" s="25">
        <v>45258</v>
      </c>
      <c r="B800" t="s">
        <v>1671</v>
      </c>
      <c r="C800" t="s">
        <v>1716</v>
      </c>
      <c r="D800" t="s">
        <v>1702</v>
      </c>
      <c r="E800" t="s">
        <v>1703</v>
      </c>
      <c r="F800" t="s">
        <v>1687</v>
      </c>
      <c r="G800" t="s">
        <v>1708</v>
      </c>
      <c r="H800">
        <v>13</v>
      </c>
      <c r="I800">
        <v>3417.94</v>
      </c>
      <c r="J800">
        <v>44433.22</v>
      </c>
      <c r="AA800">
        <v>45234</v>
      </c>
      <c r="AB800" t="str">
        <v>Aditi</v>
      </c>
      <c r="AC800" t="str">
        <v>Nagpur</v>
      </c>
      <c r="AD800" t="str">
        <v>Maharashtra</v>
      </c>
      <c r="AE800" t="str">
        <v>West</v>
      </c>
      <c r="AF800" t="str">
        <v>Groceries</v>
      </c>
      <c r="AG800" t="str">
        <v>Lentils</v>
      </c>
      <c r="AH800">
        <v>16</v>
      </c>
      <c r="AI800">
        <v>2458.6</v>
      </c>
      <c r="AJ800">
        <v>39337.599999999999</v>
      </c>
    </row>
    <row r="801" spans="1:36">
      <c r="A801" s="25">
        <v>45184</v>
      </c>
      <c r="B801" t="s">
        <v>1692</v>
      </c>
      <c r="C801" t="s">
        <v>1716</v>
      </c>
      <c r="D801" t="s">
        <v>1702</v>
      </c>
      <c r="E801" t="s">
        <v>1703</v>
      </c>
      <c r="F801" t="s">
        <v>1687</v>
      </c>
      <c r="G801" t="s">
        <v>1688</v>
      </c>
      <c r="H801">
        <v>16</v>
      </c>
      <c r="I801">
        <v>2687.77</v>
      </c>
      <c r="J801">
        <v>43004.32</v>
      </c>
      <c r="AA801">
        <v>45056</v>
      </c>
      <c r="AB801" t="str">
        <v>Ananya</v>
      </c>
      <c r="AC801" t="str">
        <v>Nagpur</v>
      </c>
      <c r="AD801" t="str">
        <v>Maharashtra</v>
      </c>
      <c r="AE801" t="str">
        <v>West</v>
      </c>
      <c r="AF801" t="str">
        <v>Groceries</v>
      </c>
      <c r="AG801" t="str">
        <v>Lentils</v>
      </c>
      <c r="AH801">
        <v>8</v>
      </c>
      <c r="AI801">
        <v>4455.43</v>
      </c>
      <c r="AJ801">
        <v>35643.440000000002</v>
      </c>
    </row>
    <row r="802" spans="1:36">
      <c r="A802" s="25">
        <v>45040</v>
      </c>
      <c r="B802" t="s">
        <v>1700</v>
      </c>
      <c r="C802" t="s">
        <v>1716</v>
      </c>
      <c r="D802" t="s">
        <v>1702</v>
      </c>
      <c r="E802" t="s">
        <v>1703</v>
      </c>
      <c r="F802" t="s">
        <v>1687</v>
      </c>
      <c r="G802" t="s">
        <v>1688</v>
      </c>
      <c r="H802">
        <v>9</v>
      </c>
      <c r="I802">
        <v>4763.01</v>
      </c>
      <c r="J802">
        <v>42867.09</v>
      </c>
      <c r="AA802">
        <v>45065</v>
      </c>
      <c r="AB802" t="str">
        <v>Ishita</v>
      </c>
      <c r="AC802" t="str">
        <v>Nagpur</v>
      </c>
      <c r="AD802" t="str">
        <v>Maharashtra</v>
      </c>
      <c r="AE802" t="str">
        <v>West</v>
      </c>
      <c r="AF802" t="str">
        <v>Groceries</v>
      </c>
      <c r="AG802" t="str">
        <v>Lentils</v>
      </c>
      <c r="AH802">
        <v>13</v>
      </c>
      <c r="AI802">
        <v>2040.1</v>
      </c>
      <c r="AJ802">
        <v>26521.3</v>
      </c>
    </row>
    <row r="803" spans="1:36">
      <c r="A803" s="25">
        <v>45291</v>
      </c>
      <c r="B803" t="s">
        <v>1681</v>
      </c>
      <c r="C803" t="s">
        <v>1716</v>
      </c>
      <c r="D803" t="s">
        <v>1702</v>
      </c>
      <c r="E803" t="s">
        <v>1703</v>
      </c>
      <c r="F803" t="s">
        <v>1687</v>
      </c>
      <c r="G803" t="s">
        <v>1708</v>
      </c>
      <c r="H803">
        <v>11</v>
      </c>
      <c r="I803">
        <v>3314</v>
      </c>
      <c r="J803">
        <v>36454</v>
      </c>
      <c r="AA803">
        <v>44953</v>
      </c>
      <c r="AB803" t="str">
        <v>Aditi</v>
      </c>
      <c r="AC803" t="str">
        <v>Nagpur</v>
      </c>
      <c r="AD803" t="str">
        <v>Maharashtra</v>
      </c>
      <c r="AE803" t="str">
        <v>West</v>
      </c>
      <c r="AF803" t="str">
        <v>Groceries</v>
      </c>
      <c r="AG803" t="str">
        <v>Lentils</v>
      </c>
      <c r="AH803">
        <v>10</v>
      </c>
      <c r="AI803">
        <v>2628.56</v>
      </c>
      <c r="AJ803">
        <v>26285.599999999999</v>
      </c>
    </row>
    <row r="804" spans="1:36">
      <c r="A804" s="25">
        <v>45116</v>
      </c>
      <c r="B804" t="s">
        <v>1700</v>
      </c>
      <c r="C804" t="s">
        <v>1716</v>
      </c>
      <c r="D804" t="s">
        <v>1702</v>
      </c>
      <c r="E804" t="s">
        <v>1703</v>
      </c>
      <c r="F804" t="s">
        <v>1687</v>
      </c>
      <c r="G804" t="s">
        <v>1708</v>
      </c>
      <c r="H804">
        <v>13</v>
      </c>
      <c r="I804">
        <v>2225.88</v>
      </c>
      <c r="J804">
        <v>28936.44</v>
      </c>
      <c r="AA804">
        <v>45235</v>
      </c>
      <c r="AB804" t="str">
        <v>Vihaan</v>
      </c>
      <c r="AC804" t="str">
        <v>Nagpur</v>
      </c>
      <c r="AD804" t="str">
        <v>Maharashtra</v>
      </c>
      <c r="AE804" t="str">
        <v>West</v>
      </c>
      <c r="AF804" t="str">
        <v>Groceries</v>
      </c>
      <c r="AG804" t="str">
        <v>Sugar</v>
      </c>
      <c r="AH804">
        <v>9</v>
      </c>
      <c r="AI804">
        <v>2118.17</v>
      </c>
      <c r="AJ804">
        <v>19063.53</v>
      </c>
    </row>
    <row r="805" spans="1:36">
      <c r="A805" s="25">
        <v>44985</v>
      </c>
      <c r="B805" t="s">
        <v>1692</v>
      </c>
      <c r="C805" t="s">
        <v>1716</v>
      </c>
      <c r="D805" t="s">
        <v>1702</v>
      </c>
      <c r="E805" t="s">
        <v>1703</v>
      </c>
      <c r="F805" t="s">
        <v>1687</v>
      </c>
      <c r="G805" t="s">
        <v>1688</v>
      </c>
      <c r="H805">
        <v>13</v>
      </c>
      <c r="I805">
        <v>1246.1400000000001</v>
      </c>
      <c r="J805">
        <v>16199.82</v>
      </c>
      <c r="AA805">
        <v>45179</v>
      </c>
      <c r="AB805" t="str">
        <v>Aryan</v>
      </c>
      <c r="AC805" t="str">
        <v>Nagpur</v>
      </c>
      <c r="AD805" t="str">
        <v>Maharashtra</v>
      </c>
      <c r="AE805" t="str">
        <v>West</v>
      </c>
      <c r="AF805" t="str">
        <v>Groceries</v>
      </c>
      <c r="AG805" t="str">
        <v>Oil</v>
      </c>
      <c r="AH805">
        <v>14</v>
      </c>
      <c r="AI805">
        <v>1245.9000000000001</v>
      </c>
      <c r="AJ805">
        <v>17442.599999999999</v>
      </c>
    </row>
    <row r="806" spans="1:36">
      <c r="A806" s="25">
        <v>45015</v>
      </c>
      <c r="B806" t="s">
        <v>1694</v>
      </c>
      <c r="C806" t="s">
        <v>1716</v>
      </c>
      <c r="D806" t="s">
        <v>1702</v>
      </c>
      <c r="E806" t="s">
        <v>1703</v>
      </c>
      <c r="F806" t="s">
        <v>1687</v>
      </c>
      <c r="G806" t="s">
        <v>1708</v>
      </c>
      <c r="H806">
        <v>18</v>
      </c>
      <c r="I806">
        <v>835.8</v>
      </c>
      <c r="J806">
        <v>15044.4</v>
      </c>
      <c r="AA806">
        <v>45275</v>
      </c>
      <c r="AB806" t="str">
        <v>Aarav</v>
      </c>
      <c r="AC806" t="str">
        <v>Nagpur</v>
      </c>
      <c r="AD806" t="str">
        <v>Maharashtra</v>
      </c>
      <c r="AE806" t="str">
        <v>West</v>
      </c>
      <c r="AF806" t="str">
        <v>Groceries</v>
      </c>
      <c r="AG806" t="str">
        <v>Lentils</v>
      </c>
      <c r="AH806">
        <v>6</v>
      </c>
      <c r="AI806">
        <v>2850.31</v>
      </c>
      <c r="AJ806">
        <v>17101.86</v>
      </c>
    </row>
    <row r="807" spans="1:36">
      <c r="A807" s="25">
        <v>45123</v>
      </c>
      <c r="B807" t="s">
        <v>1676</v>
      </c>
      <c r="C807" t="s">
        <v>1716</v>
      </c>
      <c r="D807" t="s">
        <v>1702</v>
      </c>
      <c r="E807" t="s">
        <v>1703</v>
      </c>
      <c r="F807" t="s">
        <v>1687</v>
      </c>
      <c r="G807" t="s">
        <v>1704</v>
      </c>
      <c r="H807">
        <v>9</v>
      </c>
      <c r="I807">
        <v>877.89</v>
      </c>
      <c r="J807">
        <v>7901.01</v>
      </c>
      <c r="AA807">
        <v>44980</v>
      </c>
      <c r="AB807" t="str">
        <v>Riya</v>
      </c>
      <c r="AC807" t="str">
        <v>Nagpur</v>
      </c>
      <c r="AD807" t="str">
        <v>Maharashtra</v>
      </c>
      <c r="AE807" t="str">
        <v>West</v>
      </c>
      <c r="AF807" t="str">
        <v>Groceries</v>
      </c>
      <c r="AG807" t="str">
        <v>Rice</v>
      </c>
      <c r="AH807">
        <v>4</v>
      </c>
      <c r="AI807">
        <v>3714.59</v>
      </c>
      <c r="AJ807">
        <v>14858.36</v>
      </c>
    </row>
    <row r="808" spans="1:36">
      <c r="A808" s="25">
        <v>45065</v>
      </c>
      <c r="B808" t="s">
        <v>1689</v>
      </c>
      <c r="C808" t="s">
        <v>1716</v>
      </c>
      <c r="D808" t="s">
        <v>1702</v>
      </c>
      <c r="E808" t="s">
        <v>1703</v>
      </c>
      <c r="F808" t="s">
        <v>1687</v>
      </c>
      <c r="G808" t="s">
        <v>1704</v>
      </c>
      <c r="H808">
        <v>3</v>
      </c>
      <c r="I808">
        <v>1894.71</v>
      </c>
      <c r="J808">
        <v>5684.13</v>
      </c>
      <c r="AA808">
        <v>45218</v>
      </c>
      <c r="AB808" t="str">
        <v>Kabir</v>
      </c>
      <c r="AC808" t="str">
        <v>Nagpur</v>
      </c>
      <c r="AD808" t="str">
        <v>Maharashtra</v>
      </c>
      <c r="AE808" t="str">
        <v>West</v>
      </c>
      <c r="AF808" t="str">
        <v>Groceries</v>
      </c>
      <c r="AG808" t="str">
        <v>Sugar</v>
      </c>
      <c r="AH808">
        <v>6</v>
      </c>
      <c r="AI808">
        <v>2332.11</v>
      </c>
      <c r="AJ808">
        <v>13992.66</v>
      </c>
    </row>
    <row r="809" spans="1:36">
      <c r="A809" s="25">
        <v>45098</v>
      </c>
      <c r="B809" t="s">
        <v>1689</v>
      </c>
      <c r="C809" t="s">
        <v>1716</v>
      </c>
      <c r="D809" t="s">
        <v>1702</v>
      </c>
      <c r="E809" t="s">
        <v>1703</v>
      </c>
      <c r="F809" t="s">
        <v>1687</v>
      </c>
      <c r="G809" t="s">
        <v>1710</v>
      </c>
      <c r="H809">
        <v>1</v>
      </c>
      <c r="I809">
        <v>4801.38</v>
      </c>
      <c r="J809">
        <v>4801.38</v>
      </c>
      <c r="AA809">
        <v>45246</v>
      </c>
      <c r="AB809" t="str">
        <v>Ishita</v>
      </c>
      <c r="AC809" t="str">
        <v>Nagpur</v>
      </c>
      <c r="AD809" t="str">
        <v>Maharashtra</v>
      </c>
      <c r="AE809" t="str">
        <v>West</v>
      </c>
      <c r="AF809" t="str">
        <v>Groceries</v>
      </c>
      <c r="AG809" t="str">
        <v>Sugar</v>
      </c>
      <c r="AH809">
        <v>8</v>
      </c>
      <c r="AI809">
        <v>360.87</v>
      </c>
      <c r="AJ809">
        <v>2886.96</v>
      </c>
    </row>
    <row r="810" spans="1:36">
      <c r="A810" s="25">
        <v>45205</v>
      </c>
      <c r="B810" t="s">
        <v>1676</v>
      </c>
      <c r="C810" t="s">
        <v>1716</v>
      </c>
      <c r="D810" t="s">
        <v>1702</v>
      </c>
      <c r="E810" t="s">
        <v>1703</v>
      </c>
      <c r="F810" t="s">
        <v>1687</v>
      </c>
      <c r="G810" t="s">
        <v>1708</v>
      </c>
      <c r="H810">
        <v>16</v>
      </c>
      <c r="I810">
        <v>242.23</v>
      </c>
      <c r="J810">
        <v>3875.68</v>
      </c>
      <c r="AA810">
        <v>45028</v>
      </c>
      <c r="AB810" t="str">
        <v>Aarav</v>
      </c>
      <c r="AC810" t="str">
        <v>Nagpur</v>
      </c>
      <c r="AD810" t="str">
        <v>Maharashtra</v>
      </c>
      <c r="AE810" t="str">
        <v>West</v>
      </c>
      <c r="AF810" t="str">
        <v>Groceries</v>
      </c>
      <c r="AG810" t="str">
        <v>Lentils</v>
      </c>
      <c r="AH810">
        <v>4</v>
      </c>
      <c r="AI810">
        <v>442.23</v>
      </c>
      <c r="AJ810">
        <v>1768.92</v>
      </c>
    </row>
    <row r="811" spans="1:36">
      <c r="A811" s="25">
        <v>45000</v>
      </c>
      <c r="B811" t="s">
        <v>1671</v>
      </c>
      <c r="C811" t="s">
        <v>1716</v>
      </c>
      <c r="D811" t="s">
        <v>1702</v>
      </c>
      <c r="E811" t="s">
        <v>1703</v>
      </c>
      <c r="F811" t="s">
        <v>114</v>
      </c>
      <c r="G811" t="s">
        <v>1712</v>
      </c>
      <c r="H811">
        <v>19</v>
      </c>
      <c r="I811">
        <v>3800.55</v>
      </c>
      <c r="J811">
        <v>72210.45</v>
      </c>
      <c r="AA811">
        <v>45110</v>
      </c>
      <c r="AB811" t="str">
        <v>Kabir</v>
      </c>
      <c r="AC811" t="str">
        <v>Nagpur</v>
      </c>
      <c r="AD811" t="str">
        <v>Maharashtra</v>
      </c>
      <c r="AE811" t="str">
        <v>West</v>
      </c>
      <c r="AF811" t="str">
        <v>Stationery</v>
      </c>
      <c r="AG811" t="str">
        <v>Pen</v>
      </c>
      <c r="AH811">
        <v>18</v>
      </c>
      <c r="AI811">
        <v>4850.91</v>
      </c>
      <c r="AJ811">
        <v>87316.38</v>
      </c>
    </row>
    <row r="812" spans="1:36">
      <c r="A812" s="25">
        <v>45083</v>
      </c>
      <c r="B812" t="s">
        <v>1671</v>
      </c>
      <c r="C812" t="s">
        <v>1716</v>
      </c>
      <c r="D812" t="s">
        <v>1702</v>
      </c>
      <c r="E812" t="s">
        <v>1703</v>
      </c>
      <c r="F812" t="s">
        <v>114</v>
      </c>
      <c r="G812" t="s">
        <v>1691</v>
      </c>
      <c r="H812">
        <v>10</v>
      </c>
      <c r="I812">
        <v>4210.63</v>
      </c>
      <c r="J812">
        <v>42106.3</v>
      </c>
      <c r="AA812">
        <v>45176</v>
      </c>
      <c r="AB812" t="str">
        <v>Aarav</v>
      </c>
      <c r="AC812" t="str">
        <v>Nagpur</v>
      </c>
      <c r="AD812" t="str">
        <v>Maharashtra</v>
      </c>
      <c r="AE812" t="str">
        <v>West</v>
      </c>
      <c r="AF812" t="str">
        <v>Stationery</v>
      </c>
      <c r="AG812" t="str">
        <v>Ruler</v>
      </c>
      <c r="AH812">
        <v>18</v>
      </c>
      <c r="AI812">
        <v>3575.04</v>
      </c>
      <c r="AJ812">
        <v>64350.720000000001</v>
      </c>
    </row>
    <row r="813" spans="1:36">
      <c r="A813" s="25">
        <v>45256</v>
      </c>
      <c r="B813" t="s">
        <v>1700</v>
      </c>
      <c r="C813" t="s">
        <v>1716</v>
      </c>
      <c r="D813" t="s">
        <v>1702</v>
      </c>
      <c r="E813" t="s">
        <v>1703</v>
      </c>
      <c r="F813" t="s">
        <v>114</v>
      </c>
      <c r="G813" t="s">
        <v>1712</v>
      </c>
      <c r="H813">
        <v>15</v>
      </c>
      <c r="I813">
        <v>1790.58</v>
      </c>
      <c r="J813">
        <v>26858.7</v>
      </c>
      <c r="AA813">
        <v>45150</v>
      </c>
      <c r="AB813" t="str">
        <v>Riya</v>
      </c>
      <c r="AC813" t="str">
        <v>Nagpur</v>
      </c>
      <c r="AD813" t="str">
        <v>Maharashtra</v>
      </c>
      <c r="AE813" t="str">
        <v>West</v>
      </c>
      <c r="AF813" t="str">
        <v>Stationery</v>
      </c>
      <c r="AG813" t="str">
        <v>Notebook</v>
      </c>
      <c r="AH813">
        <v>20</v>
      </c>
      <c r="AI813">
        <v>3203.76</v>
      </c>
      <c r="AJ813">
        <v>64075.199999999997</v>
      </c>
    </row>
    <row r="814" spans="1:36">
      <c r="A814" s="25">
        <v>45059</v>
      </c>
      <c r="B814" t="s">
        <v>1671</v>
      </c>
      <c r="C814" t="s">
        <v>1716</v>
      </c>
      <c r="D814" t="s">
        <v>1702</v>
      </c>
      <c r="E814" t="s">
        <v>1703</v>
      </c>
      <c r="F814" t="s">
        <v>114</v>
      </c>
      <c r="G814" t="s">
        <v>1712</v>
      </c>
      <c r="H814">
        <v>20</v>
      </c>
      <c r="I814">
        <v>1176.4000000000001</v>
      </c>
      <c r="J814">
        <v>23528</v>
      </c>
      <c r="AA814">
        <v>45161</v>
      </c>
      <c r="AB814" t="str">
        <v>Kabir</v>
      </c>
      <c r="AC814" t="str">
        <v>Nagpur</v>
      </c>
      <c r="AD814" t="str">
        <v>Maharashtra</v>
      </c>
      <c r="AE814" t="str">
        <v>West</v>
      </c>
      <c r="AF814" t="str">
        <v>Stationery</v>
      </c>
      <c r="AG814" t="str">
        <v>Ruler</v>
      </c>
      <c r="AH814">
        <v>17</v>
      </c>
      <c r="AI814">
        <v>3677.4</v>
      </c>
      <c r="AJ814">
        <v>62515.8</v>
      </c>
    </row>
    <row r="815" spans="1:36">
      <c r="A815" s="25">
        <v>45045</v>
      </c>
      <c r="B815" t="s">
        <v>1676</v>
      </c>
      <c r="C815" t="s">
        <v>1716</v>
      </c>
      <c r="D815" t="s">
        <v>1702</v>
      </c>
      <c r="E815" t="s">
        <v>1703</v>
      </c>
      <c r="F815" t="s">
        <v>114</v>
      </c>
      <c r="G815" t="s">
        <v>1718</v>
      </c>
      <c r="H815">
        <v>3</v>
      </c>
      <c r="I815">
        <v>4955.22</v>
      </c>
      <c r="J815">
        <v>14865.66</v>
      </c>
      <c r="AA815">
        <v>45206</v>
      </c>
      <c r="AB815" t="str">
        <v>Vihaan</v>
      </c>
      <c r="AC815" t="str">
        <v>Nagpur</v>
      </c>
      <c r="AD815" t="str">
        <v>Maharashtra</v>
      </c>
      <c r="AE815" t="str">
        <v>West</v>
      </c>
      <c r="AF815" t="str">
        <v>Stationery</v>
      </c>
      <c r="AG815" t="str">
        <v>Ruler</v>
      </c>
      <c r="AH815">
        <v>14</v>
      </c>
      <c r="AI815">
        <v>3414.59</v>
      </c>
      <c r="AJ815">
        <v>47804.26</v>
      </c>
    </row>
    <row r="816" spans="1:36">
      <c r="A816" s="25">
        <v>45229</v>
      </c>
      <c r="B816" t="s">
        <v>1689</v>
      </c>
      <c r="C816" t="s">
        <v>1716</v>
      </c>
      <c r="D816" t="s">
        <v>1702</v>
      </c>
      <c r="E816" t="s">
        <v>1703</v>
      </c>
      <c r="F816" t="s">
        <v>114</v>
      </c>
      <c r="G816" t="s">
        <v>1680</v>
      </c>
      <c r="H816">
        <v>8</v>
      </c>
      <c r="I816">
        <v>1171.53</v>
      </c>
      <c r="J816">
        <v>9372.24</v>
      </c>
      <c r="AA816">
        <v>45037</v>
      </c>
      <c r="AB816" t="str">
        <v>Nishant</v>
      </c>
      <c r="AC816" t="str">
        <v>Nagpur</v>
      </c>
      <c r="AD816" t="str">
        <v>Maharashtra</v>
      </c>
      <c r="AE816" t="str">
        <v>West</v>
      </c>
      <c r="AF816" t="str">
        <v>Stationery</v>
      </c>
      <c r="AG816" t="str">
        <v>Notebook</v>
      </c>
      <c r="AH816">
        <v>8</v>
      </c>
      <c r="AI816">
        <v>4091.1</v>
      </c>
      <c r="AJ816">
        <v>32728.799999999999</v>
      </c>
    </row>
    <row r="817" spans="1:36">
      <c r="A817" s="25">
        <v>44956</v>
      </c>
      <c r="B817" t="s">
        <v>1705</v>
      </c>
      <c r="C817" t="s">
        <v>1716</v>
      </c>
      <c r="D817" t="s">
        <v>1702</v>
      </c>
      <c r="E817" t="s">
        <v>1703</v>
      </c>
      <c r="F817" t="s">
        <v>114</v>
      </c>
      <c r="G817" t="s">
        <v>1712</v>
      </c>
      <c r="H817">
        <v>14</v>
      </c>
      <c r="I817">
        <v>569.91</v>
      </c>
      <c r="J817">
        <v>7978.74</v>
      </c>
      <c r="AA817">
        <v>45262</v>
      </c>
      <c r="AB817" t="str">
        <v>Meera</v>
      </c>
      <c r="AC817" t="str">
        <v>Nagpur</v>
      </c>
      <c r="AD817" t="str">
        <v>Maharashtra</v>
      </c>
      <c r="AE817" t="str">
        <v>West</v>
      </c>
      <c r="AF817" t="str">
        <v>Stationery</v>
      </c>
      <c r="AG817" t="str">
        <v>Ruler</v>
      </c>
      <c r="AH817">
        <v>11</v>
      </c>
      <c r="AI817">
        <v>2635.95</v>
      </c>
      <c r="AJ817">
        <v>28995.45</v>
      </c>
    </row>
    <row r="818" spans="1:36">
      <c r="A818" s="25">
        <v>44973</v>
      </c>
      <c r="B818" t="s">
        <v>1676</v>
      </c>
      <c r="C818" t="s">
        <v>1716</v>
      </c>
      <c r="D818" t="s">
        <v>1702</v>
      </c>
      <c r="E818" t="s">
        <v>1703</v>
      </c>
      <c r="F818" t="s">
        <v>114</v>
      </c>
      <c r="G818" t="s">
        <v>1712</v>
      </c>
      <c r="H818">
        <v>1</v>
      </c>
      <c r="I818">
        <v>3246.08</v>
      </c>
      <c r="J818">
        <v>3246.08</v>
      </c>
      <c r="AA818">
        <v>45260</v>
      </c>
      <c r="AB818" t="str">
        <v>Aryan</v>
      </c>
      <c r="AC818" t="str">
        <v>Nagpur</v>
      </c>
      <c r="AD818" t="str">
        <v>Maharashtra</v>
      </c>
      <c r="AE818" t="str">
        <v>West</v>
      </c>
      <c r="AF818" t="str">
        <v>Stationery</v>
      </c>
      <c r="AG818" t="str">
        <v>Eraser</v>
      </c>
      <c r="AH818">
        <v>5</v>
      </c>
      <c r="AI818">
        <v>3725.36</v>
      </c>
      <c r="AJ818">
        <v>18626.8</v>
      </c>
    </row>
    <row r="819" spans="1:36">
      <c r="A819" s="25">
        <v>45011</v>
      </c>
      <c r="B819" t="s">
        <v>1694</v>
      </c>
      <c r="C819" t="s">
        <v>1716</v>
      </c>
      <c r="D819" t="s">
        <v>1702</v>
      </c>
      <c r="E819" t="s">
        <v>1703</v>
      </c>
      <c r="F819" t="s">
        <v>114</v>
      </c>
      <c r="G819" t="s">
        <v>1691</v>
      </c>
      <c r="H819">
        <v>4</v>
      </c>
      <c r="I819">
        <v>810.38</v>
      </c>
      <c r="J819">
        <v>3241.52</v>
      </c>
      <c r="AA819">
        <v>45038</v>
      </c>
      <c r="AB819" t="str">
        <v>Kabir</v>
      </c>
      <c r="AC819" t="str">
        <v>Nagpur</v>
      </c>
      <c r="AD819" t="str">
        <v>Maharashtra</v>
      </c>
      <c r="AE819" t="str">
        <v>West</v>
      </c>
      <c r="AF819" t="str">
        <v>Stationery</v>
      </c>
      <c r="AG819" t="str">
        <v>Notebook</v>
      </c>
      <c r="AH819">
        <v>16</v>
      </c>
      <c r="AI819">
        <v>1090.18</v>
      </c>
      <c r="AJ819">
        <v>17442.88</v>
      </c>
    </row>
    <row r="820" spans="1:36">
      <c r="A820" s="25">
        <v>44996</v>
      </c>
      <c r="B820" t="s">
        <v>1705</v>
      </c>
      <c r="C820" t="s">
        <v>1716</v>
      </c>
      <c r="D820" t="s">
        <v>1702</v>
      </c>
      <c r="E820" t="s">
        <v>1703</v>
      </c>
      <c r="F820" t="s">
        <v>114</v>
      </c>
      <c r="G820" t="s">
        <v>1718</v>
      </c>
      <c r="H820">
        <v>1</v>
      </c>
      <c r="I820">
        <v>936.56</v>
      </c>
      <c r="J820">
        <v>936.56</v>
      </c>
      <c r="AA820">
        <v>45095</v>
      </c>
      <c r="AB820" t="str">
        <v>Meera</v>
      </c>
      <c r="AC820" t="str">
        <v>Nagpur</v>
      </c>
      <c r="AD820" t="str">
        <v>Maharashtra</v>
      </c>
      <c r="AE820" t="str">
        <v>West</v>
      </c>
      <c r="AF820" t="str">
        <v>Stationery</v>
      </c>
      <c r="AG820" t="str">
        <v>Eraser</v>
      </c>
      <c r="AH820">
        <v>17</v>
      </c>
      <c r="AI820">
        <v>679.78</v>
      </c>
      <c r="AJ820">
        <v>11556.26</v>
      </c>
    </row>
    <row r="821" spans="1:36">
      <c r="A821" s="25">
        <v>45089</v>
      </c>
      <c r="B821" t="s">
        <v>1681</v>
      </c>
      <c r="C821" t="s">
        <v>1716</v>
      </c>
      <c r="D821" t="s">
        <v>1702</v>
      </c>
      <c r="E821" t="s">
        <v>1703</v>
      </c>
      <c r="F821" t="s">
        <v>114</v>
      </c>
      <c r="G821" t="s">
        <v>1680</v>
      </c>
      <c r="H821">
        <v>3</v>
      </c>
      <c r="I821">
        <v>215.21</v>
      </c>
      <c r="J821">
        <v>645.63</v>
      </c>
      <c r="AA821">
        <v>45168</v>
      </c>
      <c r="AB821" t="str">
        <v>Kabir</v>
      </c>
      <c r="AC821" t="str">
        <v>Nagpur</v>
      </c>
      <c r="AD821" t="str">
        <v>Maharashtra</v>
      </c>
      <c r="AE821" t="str">
        <v>West</v>
      </c>
      <c r="AF821" t="str">
        <v>Stationery</v>
      </c>
      <c r="AG821" t="str">
        <v>Pen</v>
      </c>
      <c r="AH821">
        <v>2</v>
      </c>
      <c r="AI821">
        <v>1785.76</v>
      </c>
      <c r="AJ821">
        <v>3571.52</v>
      </c>
    </row>
    <row r="822" spans="1:36">
      <c r="A822" s="25">
        <v>45208</v>
      </c>
      <c r="B822" t="s">
        <v>1694</v>
      </c>
      <c r="C822" t="s">
        <v>1136</v>
      </c>
      <c r="D822" t="s">
        <v>1673</v>
      </c>
      <c r="E822" t="s">
        <v>1674</v>
      </c>
      <c r="F822" t="s">
        <v>97</v>
      </c>
      <c r="G822" t="s">
        <v>1711</v>
      </c>
      <c r="H822">
        <v>19</v>
      </c>
      <c r="I822">
        <v>4186.6400000000003</v>
      </c>
      <c r="J822">
        <v>79546.16</v>
      </c>
      <c r="AA822">
        <v>45208</v>
      </c>
      <c r="AB822" t="str">
        <v>Riya</v>
      </c>
      <c r="AC822" t="str">
        <v>Pune</v>
      </c>
      <c r="AD822" t="str">
        <v>Maharashtra</v>
      </c>
      <c r="AE822" t="str">
        <v>West</v>
      </c>
      <c r="AF822" t="str">
        <v>Clothing</v>
      </c>
      <c r="AG822" t="str">
        <v>Jacket</v>
      </c>
      <c r="AH822">
        <v>19</v>
      </c>
      <c r="AI822">
        <v>4186.6400000000003</v>
      </c>
      <c r="AJ822">
        <v>79546.16</v>
      </c>
    </row>
    <row r="823" spans="1:36">
      <c r="A823" s="25">
        <v>45172</v>
      </c>
      <c r="B823" t="s">
        <v>1689</v>
      </c>
      <c r="C823" t="s">
        <v>1136</v>
      </c>
      <c r="D823" t="s">
        <v>1673</v>
      </c>
      <c r="E823" t="s">
        <v>1674</v>
      </c>
      <c r="F823" t="s">
        <v>97</v>
      </c>
      <c r="G823" t="s">
        <v>1699</v>
      </c>
      <c r="H823">
        <v>14</v>
      </c>
      <c r="I823">
        <v>3404.4</v>
      </c>
      <c r="J823">
        <v>47661.599999999999</v>
      </c>
      <c r="AA823">
        <v>45172</v>
      </c>
      <c r="AB823" t="str">
        <v>Ishita</v>
      </c>
      <c r="AC823" t="str">
        <v>Pune</v>
      </c>
      <c r="AD823" t="str">
        <v>Maharashtra</v>
      </c>
      <c r="AE823" t="str">
        <v>West</v>
      </c>
      <c r="AF823" t="str">
        <v>Clothing</v>
      </c>
      <c r="AG823" t="str">
        <v>Shirt</v>
      </c>
      <c r="AH823">
        <v>14</v>
      </c>
      <c r="AI823">
        <v>3404.4</v>
      </c>
      <c r="AJ823">
        <v>47661.599999999999</v>
      </c>
    </row>
    <row r="824" spans="1:36">
      <c r="A824" s="25">
        <v>45146</v>
      </c>
      <c r="B824" t="s">
        <v>1700</v>
      </c>
      <c r="C824" t="s">
        <v>1136</v>
      </c>
      <c r="D824" t="s">
        <v>1673</v>
      </c>
      <c r="E824" t="s">
        <v>1674</v>
      </c>
      <c r="F824" t="s">
        <v>97</v>
      </c>
      <c r="G824" t="s">
        <v>1697</v>
      </c>
      <c r="H824">
        <v>10</v>
      </c>
      <c r="I824">
        <v>4304.71</v>
      </c>
      <c r="J824">
        <v>43047.1</v>
      </c>
      <c r="AA824">
        <v>45146</v>
      </c>
      <c r="AB824" t="str">
        <v>Ananya</v>
      </c>
      <c r="AC824" t="str">
        <v>Pune</v>
      </c>
      <c r="AD824" t="str">
        <v>Maharashtra</v>
      </c>
      <c r="AE824" t="str">
        <v>West</v>
      </c>
      <c r="AF824" t="str">
        <v>Clothing</v>
      </c>
      <c r="AG824" t="str">
        <v>Pants</v>
      </c>
      <c r="AH824">
        <v>10</v>
      </c>
      <c r="AI824">
        <v>4304.71</v>
      </c>
      <c r="AJ824">
        <v>43047.1</v>
      </c>
    </row>
    <row r="825" spans="1:36">
      <c r="A825" s="25">
        <v>44935</v>
      </c>
      <c r="B825" t="s">
        <v>1671</v>
      </c>
      <c r="C825" t="s">
        <v>1136</v>
      </c>
      <c r="D825" t="s">
        <v>1673</v>
      </c>
      <c r="E825" t="s">
        <v>1674</v>
      </c>
      <c r="F825" t="s">
        <v>97</v>
      </c>
      <c r="G825" t="s">
        <v>1711</v>
      </c>
      <c r="H825">
        <v>6</v>
      </c>
      <c r="I825">
        <v>4270.03</v>
      </c>
      <c r="J825">
        <v>25620.18</v>
      </c>
      <c r="AA825">
        <v>44935</v>
      </c>
      <c r="AB825" t="str">
        <v>Meera</v>
      </c>
      <c r="AC825" t="str">
        <v>Pune</v>
      </c>
      <c r="AD825" t="str">
        <v>Maharashtra</v>
      </c>
      <c r="AE825" t="str">
        <v>West</v>
      </c>
      <c r="AF825" t="str">
        <v>Clothing</v>
      </c>
      <c r="AG825" t="str">
        <v>Jacket</v>
      </c>
      <c r="AH825">
        <v>6</v>
      </c>
      <c r="AI825">
        <v>4270.03</v>
      </c>
      <c r="AJ825">
        <v>25620.18</v>
      </c>
    </row>
    <row r="826" spans="1:36">
      <c r="A826" s="25">
        <v>45187</v>
      </c>
      <c r="B826" t="s">
        <v>1698</v>
      </c>
      <c r="C826" t="s">
        <v>1136</v>
      </c>
      <c r="D826" t="s">
        <v>1673</v>
      </c>
      <c r="E826" t="s">
        <v>1674</v>
      </c>
      <c r="F826" t="s">
        <v>97</v>
      </c>
      <c r="G826" t="s">
        <v>1697</v>
      </c>
      <c r="H826">
        <v>10</v>
      </c>
      <c r="I826">
        <v>2523.59</v>
      </c>
      <c r="J826">
        <v>25235.9</v>
      </c>
      <c r="AA826">
        <v>45187</v>
      </c>
      <c r="AB826" t="str">
        <v>Aryan</v>
      </c>
      <c r="AC826" t="str">
        <v>Pune</v>
      </c>
      <c r="AD826" t="str">
        <v>Maharashtra</v>
      </c>
      <c r="AE826" t="str">
        <v>West</v>
      </c>
      <c r="AF826" t="str">
        <v>Clothing</v>
      </c>
      <c r="AG826" t="str">
        <v>Pants</v>
      </c>
      <c r="AH826">
        <v>10</v>
      </c>
      <c r="AI826">
        <v>2523.59</v>
      </c>
      <c r="AJ826">
        <v>25235.9</v>
      </c>
    </row>
    <row r="827" spans="1:36">
      <c r="A827" s="25">
        <v>45291</v>
      </c>
      <c r="B827" t="s">
        <v>1681</v>
      </c>
      <c r="C827" t="s">
        <v>1136</v>
      </c>
      <c r="D827" t="s">
        <v>1673</v>
      </c>
      <c r="E827" t="s">
        <v>1674</v>
      </c>
      <c r="F827" t="s">
        <v>97</v>
      </c>
      <c r="G827" t="s">
        <v>1711</v>
      </c>
      <c r="H827">
        <v>6</v>
      </c>
      <c r="I827">
        <v>4105.1899999999996</v>
      </c>
      <c r="J827">
        <v>24631.14</v>
      </c>
      <c r="AA827">
        <v>45291</v>
      </c>
      <c r="AB827" t="str">
        <v>Nishant</v>
      </c>
      <c r="AC827" t="str">
        <v>Pune</v>
      </c>
      <c r="AD827" t="str">
        <v>Maharashtra</v>
      </c>
      <c r="AE827" t="str">
        <v>West</v>
      </c>
      <c r="AF827" t="str">
        <v>Clothing</v>
      </c>
      <c r="AG827" t="str">
        <v>Jacket</v>
      </c>
      <c r="AH827">
        <v>6</v>
      </c>
      <c r="AI827">
        <v>4105.1899999999996</v>
      </c>
      <c r="AJ827">
        <v>24631.14</v>
      </c>
    </row>
    <row r="828" spans="1:36">
      <c r="A828" s="25">
        <v>45186</v>
      </c>
      <c r="B828" t="s">
        <v>1692</v>
      </c>
      <c r="C828" t="s">
        <v>1136</v>
      </c>
      <c r="D828" t="s">
        <v>1673</v>
      </c>
      <c r="E828" t="s">
        <v>1674</v>
      </c>
      <c r="F828" t="s">
        <v>97</v>
      </c>
      <c r="G828" t="s">
        <v>1699</v>
      </c>
      <c r="H828">
        <v>6</v>
      </c>
      <c r="I828">
        <v>4079.26</v>
      </c>
      <c r="J828">
        <v>24475.56</v>
      </c>
      <c r="AA828">
        <v>45186</v>
      </c>
      <c r="AB828" t="str">
        <v>Aarav</v>
      </c>
      <c r="AC828" t="str">
        <v>Pune</v>
      </c>
      <c r="AD828" t="str">
        <v>Maharashtra</v>
      </c>
      <c r="AE828" t="str">
        <v>West</v>
      </c>
      <c r="AF828" t="str">
        <v>Clothing</v>
      </c>
      <c r="AG828" t="str">
        <v>Shirt</v>
      </c>
      <c r="AH828">
        <v>6</v>
      </c>
      <c r="AI828">
        <v>4079.26</v>
      </c>
      <c r="AJ828">
        <v>24475.56</v>
      </c>
    </row>
    <row r="829" spans="1:36">
      <c r="A829" s="25">
        <v>45089</v>
      </c>
      <c r="B829" t="s">
        <v>1671</v>
      </c>
      <c r="C829" t="s">
        <v>1136</v>
      </c>
      <c r="D829" t="s">
        <v>1673</v>
      </c>
      <c r="E829" t="s">
        <v>1674</v>
      </c>
      <c r="F829" t="s">
        <v>97</v>
      </c>
      <c r="G829" t="s">
        <v>1699</v>
      </c>
      <c r="H829">
        <v>13</v>
      </c>
      <c r="I829">
        <v>1836.55</v>
      </c>
      <c r="J829">
        <v>23875.15</v>
      </c>
      <c r="AA829">
        <v>45089</v>
      </c>
      <c r="AB829" t="str">
        <v>Meera</v>
      </c>
      <c r="AC829" t="str">
        <v>Pune</v>
      </c>
      <c r="AD829" t="str">
        <v>Maharashtra</v>
      </c>
      <c r="AE829" t="str">
        <v>West</v>
      </c>
      <c r="AF829" t="str">
        <v>Clothing</v>
      </c>
      <c r="AG829" t="str">
        <v>Shirt</v>
      </c>
      <c r="AH829">
        <v>13</v>
      </c>
      <c r="AI829">
        <v>1836.55</v>
      </c>
      <c r="AJ829">
        <v>23875.15</v>
      </c>
    </row>
    <row r="830" spans="1:36">
      <c r="A830" s="25">
        <v>45017</v>
      </c>
      <c r="B830" t="s">
        <v>1705</v>
      </c>
      <c r="C830" t="s">
        <v>1136</v>
      </c>
      <c r="D830" t="s">
        <v>1673</v>
      </c>
      <c r="E830" t="s">
        <v>1674</v>
      </c>
      <c r="F830" t="s">
        <v>97</v>
      </c>
      <c r="G830" t="s">
        <v>1699</v>
      </c>
      <c r="H830">
        <v>19</v>
      </c>
      <c r="I830">
        <v>1065.27</v>
      </c>
      <c r="J830">
        <v>20240.13</v>
      </c>
      <c r="AA830">
        <v>45017</v>
      </c>
      <c r="AB830" t="str">
        <v>Kabir</v>
      </c>
      <c r="AC830" t="str">
        <v>Pune</v>
      </c>
      <c r="AD830" t="str">
        <v>Maharashtra</v>
      </c>
      <c r="AE830" t="str">
        <v>West</v>
      </c>
      <c r="AF830" t="str">
        <v>Clothing</v>
      </c>
      <c r="AG830" t="str">
        <v>Shirt</v>
      </c>
      <c r="AH830">
        <v>19</v>
      </c>
      <c r="AI830">
        <v>1065.27</v>
      </c>
      <c r="AJ830">
        <v>20240.13</v>
      </c>
    </row>
    <row r="831" spans="1:36">
      <c r="A831" s="25">
        <v>45254</v>
      </c>
      <c r="B831" t="s">
        <v>1676</v>
      </c>
      <c r="C831" t="s">
        <v>1136</v>
      </c>
      <c r="D831" t="s">
        <v>1673</v>
      </c>
      <c r="E831" t="s">
        <v>1674</v>
      </c>
      <c r="F831" t="s">
        <v>97</v>
      </c>
      <c r="G831" t="s">
        <v>1711</v>
      </c>
      <c r="H831">
        <v>2</v>
      </c>
      <c r="I831">
        <v>3743.52</v>
      </c>
      <c r="J831">
        <v>7487.04</v>
      </c>
      <c r="AA831">
        <v>45254</v>
      </c>
      <c r="AB831" t="str">
        <v>Vihaan</v>
      </c>
      <c r="AC831" t="str">
        <v>Pune</v>
      </c>
      <c r="AD831" t="str">
        <v>Maharashtra</v>
      </c>
      <c r="AE831" t="str">
        <v>West</v>
      </c>
      <c r="AF831" t="str">
        <v>Clothing</v>
      </c>
      <c r="AG831" t="str">
        <v>Jacket</v>
      </c>
      <c r="AH831">
        <v>2</v>
      </c>
      <c r="AI831">
        <v>3743.52</v>
      </c>
      <c r="AJ831">
        <v>7487.04</v>
      </c>
    </row>
    <row r="832" spans="1:36">
      <c r="A832" s="25">
        <v>45189</v>
      </c>
      <c r="B832" t="s">
        <v>1689</v>
      </c>
      <c r="C832" t="s">
        <v>1136</v>
      </c>
      <c r="D832" t="s">
        <v>1673</v>
      </c>
      <c r="E832" t="s">
        <v>1674</v>
      </c>
      <c r="F832" t="s">
        <v>97</v>
      </c>
      <c r="G832" t="s">
        <v>1699</v>
      </c>
      <c r="H832">
        <v>9</v>
      </c>
      <c r="I832">
        <v>566.91999999999996</v>
      </c>
      <c r="J832">
        <v>5102.28</v>
      </c>
      <c r="AA832">
        <v>45189</v>
      </c>
      <c r="AB832" t="str">
        <v>Ishita</v>
      </c>
      <c r="AC832" t="str">
        <v>Pune</v>
      </c>
      <c r="AD832" t="str">
        <v>Maharashtra</v>
      </c>
      <c r="AE832" t="str">
        <v>West</v>
      </c>
      <c r="AF832" t="str">
        <v>Clothing</v>
      </c>
      <c r="AG832" t="str">
        <v>Shirt</v>
      </c>
      <c r="AH832">
        <v>9</v>
      </c>
      <c r="AI832">
        <v>566.91999999999996</v>
      </c>
      <c r="AJ832">
        <v>5102.28</v>
      </c>
    </row>
    <row r="833" spans="1:36">
      <c r="A833" s="25">
        <v>45234</v>
      </c>
      <c r="B833" t="s">
        <v>1676</v>
      </c>
      <c r="C833" t="s">
        <v>1136</v>
      </c>
      <c r="D833" t="s">
        <v>1673</v>
      </c>
      <c r="E833" t="s">
        <v>1674</v>
      </c>
      <c r="F833" t="s">
        <v>97</v>
      </c>
      <c r="G833" t="s">
        <v>1711</v>
      </c>
      <c r="H833">
        <v>1</v>
      </c>
      <c r="I833">
        <v>4647.3</v>
      </c>
      <c r="J833">
        <v>4647.3</v>
      </c>
      <c r="AA833">
        <v>45234</v>
      </c>
      <c r="AB833" t="str">
        <v>Vihaan</v>
      </c>
      <c r="AC833" t="str">
        <v>Pune</v>
      </c>
      <c r="AD833" t="str">
        <v>Maharashtra</v>
      </c>
      <c r="AE833" t="str">
        <v>West</v>
      </c>
      <c r="AF833" t="str">
        <v>Clothing</v>
      </c>
      <c r="AG833" t="str">
        <v>Jacket</v>
      </c>
      <c r="AH833">
        <v>1</v>
      </c>
      <c r="AI833">
        <v>4647.3</v>
      </c>
      <c r="AJ833">
        <v>4647.3</v>
      </c>
    </row>
    <row r="834" spans="1:36">
      <c r="A834" s="25">
        <v>44953</v>
      </c>
      <c r="B834" t="s">
        <v>1700</v>
      </c>
      <c r="C834" t="s">
        <v>1136</v>
      </c>
      <c r="D834" t="s">
        <v>1673</v>
      </c>
      <c r="E834" t="s">
        <v>1674</v>
      </c>
      <c r="F834" t="s">
        <v>97</v>
      </c>
      <c r="G834" t="s">
        <v>1699</v>
      </c>
      <c r="H834">
        <v>7</v>
      </c>
      <c r="I834">
        <v>579.91999999999996</v>
      </c>
      <c r="J834">
        <v>4059.44</v>
      </c>
      <c r="AA834">
        <v>44953</v>
      </c>
      <c r="AB834" t="str">
        <v>Ananya</v>
      </c>
      <c r="AC834" t="str">
        <v>Pune</v>
      </c>
      <c r="AD834" t="str">
        <v>Maharashtra</v>
      </c>
      <c r="AE834" t="str">
        <v>West</v>
      </c>
      <c r="AF834" t="str">
        <v>Clothing</v>
      </c>
      <c r="AG834" t="str">
        <v>Shirt</v>
      </c>
      <c r="AH834">
        <v>7</v>
      </c>
      <c r="AI834">
        <v>579.91999999999996</v>
      </c>
      <c r="AJ834">
        <v>4059.44</v>
      </c>
    </row>
    <row r="835" spans="1:36">
      <c r="A835" s="25">
        <v>45265</v>
      </c>
      <c r="B835" t="s">
        <v>1692</v>
      </c>
      <c r="C835" t="s">
        <v>1136</v>
      </c>
      <c r="D835" t="s">
        <v>1673</v>
      </c>
      <c r="E835" t="s">
        <v>1674</v>
      </c>
      <c r="F835" t="s">
        <v>97</v>
      </c>
      <c r="G835" t="s">
        <v>1699</v>
      </c>
      <c r="H835">
        <v>2</v>
      </c>
      <c r="I835">
        <v>1559.76</v>
      </c>
      <c r="J835">
        <v>3119.52</v>
      </c>
      <c r="AA835">
        <v>45265</v>
      </c>
      <c r="AB835" t="str">
        <v>Aarav</v>
      </c>
      <c r="AC835" t="str">
        <v>Pune</v>
      </c>
      <c r="AD835" t="str">
        <v>Maharashtra</v>
      </c>
      <c r="AE835" t="str">
        <v>West</v>
      </c>
      <c r="AF835" t="str">
        <v>Clothing</v>
      </c>
      <c r="AG835" t="str">
        <v>Shirt</v>
      </c>
      <c r="AH835">
        <v>2</v>
      </c>
      <c r="AI835">
        <v>1559.76</v>
      </c>
      <c r="AJ835">
        <v>3119.52</v>
      </c>
    </row>
    <row r="836" spans="1:36">
      <c r="A836" s="25">
        <v>44967</v>
      </c>
      <c r="B836" t="s">
        <v>1692</v>
      </c>
      <c r="C836" t="s">
        <v>1136</v>
      </c>
      <c r="D836" t="s">
        <v>1673</v>
      </c>
      <c r="E836" t="s">
        <v>1674</v>
      </c>
      <c r="F836" t="s">
        <v>97</v>
      </c>
      <c r="G836" t="s">
        <v>1711</v>
      </c>
      <c r="H836">
        <v>4</v>
      </c>
      <c r="I836">
        <v>697.88</v>
      </c>
      <c r="J836">
        <v>2791.52</v>
      </c>
      <c r="AA836">
        <v>44967</v>
      </c>
      <c r="AB836" t="str">
        <v>Aarav</v>
      </c>
      <c r="AC836" t="str">
        <v>Pune</v>
      </c>
      <c r="AD836" t="str">
        <v>Maharashtra</v>
      </c>
      <c r="AE836" t="str">
        <v>West</v>
      </c>
      <c r="AF836" t="str">
        <v>Clothing</v>
      </c>
      <c r="AG836" t="str">
        <v>Jacket</v>
      </c>
      <c r="AH836">
        <v>4</v>
      </c>
      <c r="AI836">
        <v>697.88</v>
      </c>
      <c r="AJ836">
        <v>2791.52</v>
      </c>
    </row>
    <row r="837" spans="1:36">
      <c r="A837" s="25">
        <v>44947</v>
      </c>
      <c r="B837" t="s">
        <v>1700</v>
      </c>
      <c r="C837" t="s">
        <v>1136</v>
      </c>
      <c r="D837" t="s">
        <v>1673</v>
      </c>
      <c r="E837" t="s">
        <v>1674</v>
      </c>
      <c r="F837" t="s">
        <v>97</v>
      </c>
      <c r="G837" t="s">
        <v>1685</v>
      </c>
      <c r="H837">
        <v>1</v>
      </c>
      <c r="I837">
        <v>776.08</v>
      </c>
      <c r="J837">
        <v>776.08</v>
      </c>
      <c r="AA837">
        <v>44947</v>
      </c>
      <c r="AB837" t="str">
        <v>Ananya</v>
      </c>
      <c r="AC837" t="str">
        <v>Pune</v>
      </c>
      <c r="AD837" t="str">
        <v>Maharashtra</v>
      </c>
      <c r="AE837" t="str">
        <v>West</v>
      </c>
      <c r="AF837" t="str">
        <v>Clothing</v>
      </c>
      <c r="AG837" t="str">
        <v>Dress</v>
      </c>
      <c r="AH837">
        <v>1</v>
      </c>
      <c r="AI837">
        <v>776.08</v>
      </c>
      <c r="AJ837">
        <v>776.08</v>
      </c>
    </row>
    <row r="838" spans="1:36">
      <c r="A838" s="25">
        <v>45108</v>
      </c>
      <c r="B838" t="s">
        <v>1676</v>
      </c>
      <c r="C838" t="s">
        <v>1136</v>
      </c>
      <c r="D838" t="s">
        <v>1673</v>
      </c>
      <c r="E838" t="s">
        <v>1674</v>
      </c>
      <c r="F838" t="s">
        <v>89</v>
      </c>
      <c r="G838" t="s">
        <v>1106</v>
      </c>
      <c r="H838">
        <v>20</v>
      </c>
      <c r="I838">
        <v>3638.01</v>
      </c>
      <c r="J838">
        <v>72760.2</v>
      </c>
      <c r="AA838">
        <v>45108</v>
      </c>
      <c r="AB838" t="str">
        <v>Vihaan</v>
      </c>
      <c r="AC838" t="str">
        <v>Pune</v>
      </c>
      <c r="AD838" t="str">
        <v>Maharashtra</v>
      </c>
      <c r="AE838" t="str">
        <v>West</v>
      </c>
      <c r="AF838" t="str">
        <v>Electronics</v>
      </c>
      <c r="AG838" t="str">
        <v>Laptop</v>
      </c>
      <c r="AH838">
        <v>20</v>
      </c>
      <c r="AI838">
        <v>3638.01</v>
      </c>
      <c r="AJ838">
        <v>72760.2</v>
      </c>
    </row>
    <row r="839" spans="1:36">
      <c r="A839" s="25">
        <v>44995</v>
      </c>
      <c r="B839" t="s">
        <v>1671</v>
      </c>
      <c r="C839" t="s">
        <v>1136</v>
      </c>
      <c r="D839" t="s">
        <v>1673</v>
      </c>
      <c r="E839" t="s">
        <v>1674</v>
      </c>
      <c r="F839" t="s">
        <v>89</v>
      </c>
      <c r="G839" t="s">
        <v>1106</v>
      </c>
      <c r="H839">
        <v>15</v>
      </c>
      <c r="I839">
        <v>4310.01</v>
      </c>
      <c r="J839">
        <v>64650.15</v>
      </c>
      <c r="AA839">
        <v>44995</v>
      </c>
      <c r="AB839" t="str">
        <v>Meera</v>
      </c>
      <c r="AC839" t="str">
        <v>Pune</v>
      </c>
      <c r="AD839" t="str">
        <v>Maharashtra</v>
      </c>
      <c r="AE839" t="str">
        <v>West</v>
      </c>
      <c r="AF839" t="str">
        <v>Electronics</v>
      </c>
      <c r="AG839" t="str">
        <v>Laptop</v>
      </c>
      <c r="AH839">
        <v>15</v>
      </c>
      <c r="AI839">
        <v>4310.01</v>
      </c>
      <c r="AJ839">
        <v>64650.15</v>
      </c>
    </row>
    <row r="840" spans="1:36">
      <c r="A840" s="25">
        <v>45291</v>
      </c>
      <c r="B840" t="s">
        <v>1689</v>
      </c>
      <c r="C840" t="s">
        <v>1136</v>
      </c>
      <c r="D840" t="s">
        <v>1673</v>
      </c>
      <c r="E840" t="s">
        <v>1674</v>
      </c>
      <c r="F840" t="s">
        <v>89</v>
      </c>
      <c r="G840" t="s">
        <v>1713</v>
      </c>
      <c r="H840">
        <v>14</v>
      </c>
      <c r="I840">
        <v>4541.87</v>
      </c>
      <c r="J840">
        <v>63586.18</v>
      </c>
      <c r="AA840">
        <v>45291</v>
      </c>
      <c r="AB840" t="str">
        <v>Ishita</v>
      </c>
      <c r="AC840" t="str">
        <v>Pune</v>
      </c>
      <c r="AD840" t="str">
        <v>Maharashtra</v>
      </c>
      <c r="AE840" t="str">
        <v>West</v>
      </c>
      <c r="AF840" t="str">
        <v>Electronics</v>
      </c>
      <c r="AG840" t="str">
        <v>Smartphone</v>
      </c>
      <c r="AH840">
        <v>14</v>
      </c>
      <c r="AI840">
        <v>4541.87</v>
      </c>
      <c r="AJ840">
        <v>63586.18</v>
      </c>
    </row>
    <row r="841" spans="1:36">
      <c r="A841" s="25">
        <v>44995</v>
      </c>
      <c r="B841" t="s">
        <v>1686</v>
      </c>
      <c r="C841" t="s">
        <v>1136</v>
      </c>
      <c r="D841" t="s">
        <v>1673</v>
      </c>
      <c r="E841" t="s">
        <v>1674</v>
      </c>
      <c r="F841" t="s">
        <v>89</v>
      </c>
      <c r="G841" t="s">
        <v>1714</v>
      </c>
      <c r="H841">
        <v>13</v>
      </c>
      <c r="I841">
        <v>4196.33</v>
      </c>
      <c r="J841">
        <v>54552.29</v>
      </c>
      <c r="AA841">
        <v>44995</v>
      </c>
      <c r="AB841" t="str">
        <v>Aditi</v>
      </c>
      <c r="AC841" t="str">
        <v>Pune</v>
      </c>
      <c r="AD841" t="str">
        <v>Maharashtra</v>
      </c>
      <c r="AE841" t="str">
        <v>West</v>
      </c>
      <c r="AF841" t="str">
        <v>Electronics</v>
      </c>
      <c r="AG841" t="str">
        <v>Tablet</v>
      </c>
      <c r="AH841">
        <v>13</v>
      </c>
      <c r="AI841">
        <v>4196.33</v>
      </c>
      <c r="AJ841">
        <v>54552.29</v>
      </c>
    </row>
    <row r="842" spans="1:36">
      <c r="A842" s="25">
        <v>44996</v>
      </c>
      <c r="B842" t="s">
        <v>1705</v>
      </c>
      <c r="C842" t="s">
        <v>1136</v>
      </c>
      <c r="D842" t="s">
        <v>1673</v>
      </c>
      <c r="E842" t="s">
        <v>1674</v>
      </c>
      <c r="F842" t="s">
        <v>89</v>
      </c>
      <c r="G842" t="s">
        <v>1105</v>
      </c>
      <c r="H842">
        <v>13</v>
      </c>
      <c r="I842">
        <v>4090.9</v>
      </c>
      <c r="J842">
        <v>53181.7</v>
      </c>
      <c r="AA842">
        <v>44996</v>
      </c>
      <c r="AB842" t="str">
        <v>Kabir</v>
      </c>
      <c r="AC842" t="str">
        <v>Pune</v>
      </c>
      <c r="AD842" t="str">
        <v>Maharashtra</v>
      </c>
      <c r="AE842" t="str">
        <v>West</v>
      </c>
      <c r="AF842" t="str">
        <v>Electronics</v>
      </c>
      <c r="AG842" t="str">
        <v>Headphones</v>
      </c>
      <c r="AH842">
        <v>13</v>
      </c>
      <c r="AI842">
        <v>4090.9</v>
      </c>
      <c r="AJ842">
        <v>53181.7</v>
      </c>
    </row>
    <row r="843" spans="1:36">
      <c r="A843" s="25">
        <v>45215</v>
      </c>
      <c r="B843" t="s">
        <v>1698</v>
      </c>
      <c r="C843" t="s">
        <v>1136</v>
      </c>
      <c r="D843" t="s">
        <v>1673</v>
      </c>
      <c r="E843" t="s">
        <v>1674</v>
      </c>
      <c r="F843" t="s">
        <v>89</v>
      </c>
      <c r="G843" t="s">
        <v>1714</v>
      </c>
      <c r="H843">
        <v>19</v>
      </c>
      <c r="I843">
        <v>1844.31</v>
      </c>
      <c r="J843">
        <v>35041.89</v>
      </c>
      <c r="AA843">
        <v>45215</v>
      </c>
      <c r="AB843" t="str">
        <v>Aryan</v>
      </c>
      <c r="AC843" t="str">
        <v>Pune</v>
      </c>
      <c r="AD843" t="str">
        <v>Maharashtra</v>
      </c>
      <c r="AE843" t="str">
        <v>West</v>
      </c>
      <c r="AF843" t="str">
        <v>Electronics</v>
      </c>
      <c r="AG843" t="str">
        <v>Tablet</v>
      </c>
      <c r="AH843">
        <v>19</v>
      </c>
      <c r="AI843">
        <v>1844.31</v>
      </c>
      <c r="AJ843">
        <v>35041.89</v>
      </c>
    </row>
    <row r="844" spans="1:36">
      <c r="A844" s="25">
        <v>45250</v>
      </c>
      <c r="B844" t="s">
        <v>1686</v>
      </c>
      <c r="C844" t="s">
        <v>1136</v>
      </c>
      <c r="D844" t="s">
        <v>1673</v>
      </c>
      <c r="E844" t="s">
        <v>1674</v>
      </c>
      <c r="F844" t="s">
        <v>89</v>
      </c>
      <c r="G844" t="s">
        <v>1713</v>
      </c>
      <c r="H844">
        <v>7</v>
      </c>
      <c r="I844">
        <v>4456.5</v>
      </c>
      <c r="J844">
        <v>31195.5</v>
      </c>
      <c r="AA844">
        <v>45250</v>
      </c>
      <c r="AB844" t="str">
        <v>Aditi</v>
      </c>
      <c r="AC844" t="str">
        <v>Pune</v>
      </c>
      <c r="AD844" t="str">
        <v>Maharashtra</v>
      </c>
      <c r="AE844" t="str">
        <v>West</v>
      </c>
      <c r="AF844" t="str">
        <v>Electronics</v>
      </c>
      <c r="AG844" t="str">
        <v>Smartphone</v>
      </c>
      <c r="AH844">
        <v>7</v>
      </c>
      <c r="AI844">
        <v>4456.5</v>
      </c>
      <c r="AJ844">
        <v>31195.5</v>
      </c>
    </row>
    <row r="845" spans="1:36">
      <c r="A845" s="25">
        <v>45029</v>
      </c>
      <c r="B845" t="s">
        <v>1705</v>
      </c>
      <c r="C845" t="s">
        <v>1136</v>
      </c>
      <c r="D845" t="s">
        <v>1673</v>
      </c>
      <c r="E845" t="s">
        <v>1674</v>
      </c>
      <c r="F845" t="s">
        <v>89</v>
      </c>
      <c r="G845" t="s">
        <v>1713</v>
      </c>
      <c r="H845">
        <v>12</v>
      </c>
      <c r="I845">
        <v>2489.14</v>
      </c>
      <c r="J845">
        <v>29869.68</v>
      </c>
      <c r="AA845">
        <v>45029</v>
      </c>
      <c r="AB845" t="str">
        <v>Kabir</v>
      </c>
      <c r="AC845" t="str">
        <v>Pune</v>
      </c>
      <c r="AD845" t="str">
        <v>Maharashtra</v>
      </c>
      <c r="AE845" t="str">
        <v>West</v>
      </c>
      <c r="AF845" t="str">
        <v>Electronics</v>
      </c>
      <c r="AG845" t="str">
        <v>Smartphone</v>
      </c>
      <c r="AH845">
        <v>12</v>
      </c>
      <c r="AI845">
        <v>2489.14</v>
      </c>
      <c r="AJ845">
        <v>29869.68</v>
      </c>
    </row>
    <row r="846" spans="1:36">
      <c r="A846" s="25">
        <v>45227</v>
      </c>
      <c r="B846" t="s">
        <v>1700</v>
      </c>
      <c r="C846" t="s">
        <v>1136</v>
      </c>
      <c r="D846" t="s">
        <v>1673</v>
      </c>
      <c r="E846" t="s">
        <v>1674</v>
      </c>
      <c r="F846" t="s">
        <v>89</v>
      </c>
      <c r="G846" t="s">
        <v>1714</v>
      </c>
      <c r="H846">
        <v>10</v>
      </c>
      <c r="I846">
        <v>2336.88</v>
      </c>
      <c r="J846">
        <v>23368.799999999999</v>
      </c>
      <c r="AA846">
        <v>45227</v>
      </c>
      <c r="AB846" t="str">
        <v>Ananya</v>
      </c>
      <c r="AC846" t="str">
        <v>Pune</v>
      </c>
      <c r="AD846" t="str">
        <v>Maharashtra</v>
      </c>
      <c r="AE846" t="str">
        <v>West</v>
      </c>
      <c r="AF846" t="str">
        <v>Electronics</v>
      </c>
      <c r="AG846" t="str">
        <v>Tablet</v>
      </c>
      <c r="AH846">
        <v>10</v>
      </c>
      <c r="AI846">
        <v>2336.88</v>
      </c>
      <c r="AJ846">
        <v>23368.799999999999</v>
      </c>
    </row>
    <row r="847" spans="1:36">
      <c r="A847" s="25">
        <v>45120</v>
      </c>
      <c r="B847" t="s">
        <v>1671</v>
      </c>
      <c r="C847" t="s">
        <v>1136</v>
      </c>
      <c r="D847" t="s">
        <v>1673</v>
      </c>
      <c r="E847" t="s">
        <v>1674</v>
      </c>
      <c r="F847" t="s">
        <v>89</v>
      </c>
      <c r="G847" t="s">
        <v>1714</v>
      </c>
      <c r="H847">
        <v>10</v>
      </c>
      <c r="I847">
        <v>1823.34</v>
      </c>
      <c r="J847">
        <v>18233.400000000001</v>
      </c>
      <c r="AA847">
        <v>45120</v>
      </c>
      <c r="AB847" t="str">
        <v>Meera</v>
      </c>
      <c r="AC847" t="str">
        <v>Pune</v>
      </c>
      <c r="AD847" t="str">
        <v>Maharashtra</v>
      </c>
      <c r="AE847" t="str">
        <v>West</v>
      </c>
      <c r="AF847" t="str">
        <v>Electronics</v>
      </c>
      <c r="AG847" t="str">
        <v>Tablet</v>
      </c>
      <c r="AH847">
        <v>10</v>
      </c>
      <c r="AI847">
        <v>1823.34</v>
      </c>
      <c r="AJ847">
        <v>18233.400000000001</v>
      </c>
    </row>
    <row r="848" spans="1:36">
      <c r="A848" s="25">
        <v>45210</v>
      </c>
      <c r="B848" t="s">
        <v>1694</v>
      </c>
      <c r="C848" t="s">
        <v>1136</v>
      </c>
      <c r="D848" t="s">
        <v>1673</v>
      </c>
      <c r="E848" t="s">
        <v>1674</v>
      </c>
      <c r="F848" t="s">
        <v>89</v>
      </c>
      <c r="G848" t="s">
        <v>1713</v>
      </c>
      <c r="H848">
        <v>4</v>
      </c>
      <c r="I848">
        <v>3896.69</v>
      </c>
      <c r="J848">
        <v>15586.76</v>
      </c>
      <c r="AA848">
        <v>45210</v>
      </c>
      <c r="AB848" t="str">
        <v>Riya</v>
      </c>
      <c r="AC848" t="str">
        <v>Pune</v>
      </c>
      <c r="AD848" t="str">
        <v>Maharashtra</v>
      </c>
      <c r="AE848" t="str">
        <v>West</v>
      </c>
      <c r="AF848" t="str">
        <v>Electronics</v>
      </c>
      <c r="AG848" t="str">
        <v>Smartphone</v>
      </c>
      <c r="AH848">
        <v>4</v>
      </c>
      <c r="AI848">
        <v>3896.69</v>
      </c>
      <c r="AJ848">
        <v>15586.76</v>
      </c>
    </row>
    <row r="849" spans="1:36">
      <c r="A849" s="25">
        <v>45076</v>
      </c>
      <c r="B849" t="s">
        <v>1692</v>
      </c>
      <c r="C849" t="s">
        <v>1136</v>
      </c>
      <c r="D849" t="s">
        <v>1673</v>
      </c>
      <c r="E849" t="s">
        <v>1674</v>
      </c>
      <c r="F849" t="s">
        <v>89</v>
      </c>
      <c r="G849" t="s">
        <v>1105</v>
      </c>
      <c r="H849">
        <v>12</v>
      </c>
      <c r="I849">
        <v>932.42</v>
      </c>
      <c r="J849">
        <v>11189.04</v>
      </c>
      <c r="AA849">
        <v>45076</v>
      </c>
      <c r="AB849" t="str">
        <v>Aarav</v>
      </c>
      <c r="AC849" t="str">
        <v>Pune</v>
      </c>
      <c r="AD849" t="str">
        <v>Maharashtra</v>
      </c>
      <c r="AE849" t="str">
        <v>West</v>
      </c>
      <c r="AF849" t="str">
        <v>Electronics</v>
      </c>
      <c r="AG849" t="str">
        <v>Headphones</v>
      </c>
      <c r="AH849">
        <v>12</v>
      </c>
      <c r="AI849">
        <v>932.42</v>
      </c>
      <c r="AJ849">
        <v>11189.04</v>
      </c>
    </row>
    <row r="850" spans="1:36">
      <c r="A850" s="25">
        <v>45052</v>
      </c>
      <c r="B850" t="s">
        <v>1671</v>
      </c>
      <c r="C850" t="s">
        <v>1136</v>
      </c>
      <c r="D850" t="s">
        <v>1673</v>
      </c>
      <c r="E850" t="s">
        <v>1674</v>
      </c>
      <c r="F850" t="s">
        <v>89</v>
      </c>
      <c r="G850" t="s">
        <v>1713</v>
      </c>
      <c r="H850">
        <v>16</v>
      </c>
      <c r="I850">
        <v>615.70000000000005</v>
      </c>
      <c r="J850">
        <v>9851.2000000000007</v>
      </c>
      <c r="AA850">
        <v>45052</v>
      </c>
      <c r="AB850" t="str">
        <v>Meera</v>
      </c>
      <c r="AC850" t="str">
        <v>Pune</v>
      </c>
      <c r="AD850" t="str">
        <v>Maharashtra</v>
      </c>
      <c r="AE850" t="str">
        <v>West</v>
      </c>
      <c r="AF850" t="str">
        <v>Electronics</v>
      </c>
      <c r="AG850" t="str">
        <v>Smartphone</v>
      </c>
      <c r="AH850">
        <v>16</v>
      </c>
      <c r="AI850">
        <v>615.70000000000005</v>
      </c>
      <c r="AJ850">
        <v>9851.2000000000007</v>
      </c>
    </row>
    <row r="851" spans="1:36">
      <c r="A851" s="25">
        <v>44938</v>
      </c>
      <c r="B851" t="s">
        <v>1681</v>
      </c>
      <c r="C851" t="s">
        <v>1136</v>
      </c>
      <c r="D851" t="s">
        <v>1673</v>
      </c>
      <c r="E851" t="s">
        <v>1674</v>
      </c>
      <c r="F851" t="s">
        <v>89</v>
      </c>
      <c r="G851" t="s">
        <v>1714</v>
      </c>
      <c r="H851">
        <v>4</v>
      </c>
      <c r="I851">
        <v>1998.26</v>
      </c>
      <c r="J851">
        <v>7993.04</v>
      </c>
      <c r="AA851">
        <v>44938</v>
      </c>
      <c r="AB851" t="str">
        <v>Nishant</v>
      </c>
      <c r="AC851" t="str">
        <v>Pune</v>
      </c>
      <c r="AD851" t="str">
        <v>Maharashtra</v>
      </c>
      <c r="AE851" t="str">
        <v>West</v>
      </c>
      <c r="AF851" t="str">
        <v>Electronics</v>
      </c>
      <c r="AG851" t="str">
        <v>Tablet</v>
      </c>
      <c r="AH851">
        <v>4</v>
      </c>
      <c r="AI851">
        <v>1998.26</v>
      </c>
      <c r="AJ851">
        <v>7993.04</v>
      </c>
    </row>
    <row r="852" spans="1:36">
      <c r="A852" s="25">
        <v>45097</v>
      </c>
      <c r="B852" t="s">
        <v>1671</v>
      </c>
      <c r="C852" t="s">
        <v>1136</v>
      </c>
      <c r="D852" t="s">
        <v>1673</v>
      </c>
      <c r="E852" t="s">
        <v>1674</v>
      </c>
      <c r="F852" t="s">
        <v>89</v>
      </c>
      <c r="G852" t="s">
        <v>1713</v>
      </c>
      <c r="H852">
        <v>7</v>
      </c>
      <c r="I852">
        <v>698.8</v>
      </c>
      <c r="J852">
        <v>4891.6000000000004</v>
      </c>
      <c r="AA852">
        <v>45097</v>
      </c>
      <c r="AB852" t="str">
        <v>Meera</v>
      </c>
      <c r="AC852" t="str">
        <v>Pune</v>
      </c>
      <c r="AD852" t="str">
        <v>Maharashtra</v>
      </c>
      <c r="AE852" t="str">
        <v>West</v>
      </c>
      <c r="AF852" t="str">
        <v>Electronics</v>
      </c>
      <c r="AG852" t="str">
        <v>Smartphone</v>
      </c>
      <c r="AH852">
        <v>7</v>
      </c>
      <c r="AI852">
        <v>698.8</v>
      </c>
      <c r="AJ852">
        <v>4891.6000000000004</v>
      </c>
    </row>
    <row r="853" spans="1:36">
      <c r="A853" s="25">
        <v>45283</v>
      </c>
      <c r="B853" t="s">
        <v>1681</v>
      </c>
      <c r="C853" t="s">
        <v>1136</v>
      </c>
      <c r="D853" t="s">
        <v>1673</v>
      </c>
      <c r="E853" t="s">
        <v>1674</v>
      </c>
      <c r="F853" t="s">
        <v>89</v>
      </c>
      <c r="G853" t="s">
        <v>1105</v>
      </c>
      <c r="H853">
        <v>1</v>
      </c>
      <c r="I853">
        <v>3091.48</v>
      </c>
      <c r="J853">
        <v>3091.48</v>
      </c>
      <c r="AA853">
        <v>45283</v>
      </c>
      <c r="AB853" t="str">
        <v>Nishant</v>
      </c>
      <c r="AC853" t="str">
        <v>Pune</v>
      </c>
      <c r="AD853" t="str">
        <v>Maharashtra</v>
      </c>
      <c r="AE853" t="str">
        <v>West</v>
      </c>
      <c r="AF853" t="str">
        <v>Electronics</v>
      </c>
      <c r="AG853" t="str">
        <v>Headphones</v>
      </c>
      <c r="AH853">
        <v>1</v>
      </c>
      <c r="AI853">
        <v>3091.48</v>
      </c>
      <c r="AJ853">
        <v>3091.48</v>
      </c>
    </row>
    <row r="854" spans="1:36">
      <c r="A854" s="25">
        <v>45164</v>
      </c>
      <c r="B854" t="s">
        <v>1681</v>
      </c>
      <c r="C854" t="s">
        <v>1136</v>
      </c>
      <c r="D854" t="s">
        <v>1673</v>
      </c>
      <c r="E854" t="s">
        <v>1674</v>
      </c>
      <c r="F854" t="s">
        <v>89</v>
      </c>
      <c r="G854" t="s">
        <v>1713</v>
      </c>
      <c r="H854">
        <v>1</v>
      </c>
      <c r="I854">
        <v>1903.53</v>
      </c>
      <c r="J854">
        <v>1903.53</v>
      </c>
      <c r="AA854">
        <v>45164</v>
      </c>
      <c r="AB854" t="str">
        <v>Nishant</v>
      </c>
      <c r="AC854" t="str">
        <v>Pune</v>
      </c>
      <c r="AD854" t="str">
        <v>Maharashtra</v>
      </c>
      <c r="AE854" t="str">
        <v>West</v>
      </c>
      <c r="AF854" t="str">
        <v>Electronics</v>
      </c>
      <c r="AG854" t="str">
        <v>Smartphone</v>
      </c>
      <c r="AH854">
        <v>1</v>
      </c>
      <c r="AI854">
        <v>1903.53</v>
      </c>
      <c r="AJ854">
        <v>1903.53</v>
      </c>
    </row>
    <row r="855" spans="1:36">
      <c r="A855" s="25">
        <v>45118</v>
      </c>
      <c r="B855" t="s">
        <v>1671</v>
      </c>
      <c r="C855" t="s">
        <v>1136</v>
      </c>
      <c r="D855" t="s">
        <v>1673</v>
      </c>
      <c r="E855" t="s">
        <v>1674</v>
      </c>
      <c r="F855" t="s">
        <v>101</v>
      </c>
      <c r="G855" t="s">
        <v>1709</v>
      </c>
      <c r="H855">
        <v>14</v>
      </c>
      <c r="I855">
        <v>3677.67</v>
      </c>
      <c r="J855">
        <v>51487.38</v>
      </c>
      <c r="AA855">
        <v>45118</v>
      </c>
      <c r="AB855" t="str">
        <v>Meera</v>
      </c>
      <c r="AC855" t="str">
        <v>Pune</v>
      </c>
      <c r="AD855" t="str">
        <v>Maharashtra</v>
      </c>
      <c r="AE855" t="str">
        <v>West</v>
      </c>
      <c r="AF855" t="str">
        <v>Furniture</v>
      </c>
      <c r="AG855" t="str">
        <v>Bed</v>
      </c>
      <c r="AH855">
        <v>14</v>
      </c>
      <c r="AI855">
        <v>3677.67</v>
      </c>
      <c r="AJ855">
        <v>51487.38</v>
      </c>
    </row>
    <row r="856" spans="1:36">
      <c r="A856" s="25">
        <v>45079</v>
      </c>
      <c r="B856" t="s">
        <v>1686</v>
      </c>
      <c r="C856" t="s">
        <v>1136</v>
      </c>
      <c r="D856" t="s">
        <v>1673</v>
      </c>
      <c r="E856" t="s">
        <v>1674</v>
      </c>
      <c r="F856" t="s">
        <v>101</v>
      </c>
      <c r="G856" t="s">
        <v>1675</v>
      </c>
      <c r="H856">
        <v>11</v>
      </c>
      <c r="I856">
        <v>4509.49</v>
      </c>
      <c r="J856">
        <v>49604.39</v>
      </c>
      <c r="AA856">
        <v>45079</v>
      </c>
      <c r="AB856" t="str">
        <v>Aditi</v>
      </c>
      <c r="AC856" t="str">
        <v>Pune</v>
      </c>
      <c r="AD856" t="str">
        <v>Maharashtra</v>
      </c>
      <c r="AE856" t="str">
        <v>West</v>
      </c>
      <c r="AF856" t="str">
        <v>Furniture</v>
      </c>
      <c r="AG856" t="str">
        <v>Table</v>
      </c>
      <c r="AH856">
        <v>11</v>
      </c>
      <c r="AI856">
        <v>4509.49</v>
      </c>
      <c r="AJ856">
        <v>49604.39</v>
      </c>
    </row>
    <row r="857" spans="1:36">
      <c r="A857" s="25">
        <v>45066</v>
      </c>
      <c r="B857" t="s">
        <v>1686</v>
      </c>
      <c r="C857" t="s">
        <v>1136</v>
      </c>
      <c r="D857" t="s">
        <v>1673</v>
      </c>
      <c r="E857" t="s">
        <v>1674</v>
      </c>
      <c r="F857" t="s">
        <v>101</v>
      </c>
      <c r="G857" t="s">
        <v>1675</v>
      </c>
      <c r="H857">
        <v>13</v>
      </c>
      <c r="I857">
        <v>3617.07</v>
      </c>
      <c r="J857">
        <v>47021.91</v>
      </c>
      <c r="AA857">
        <v>45066</v>
      </c>
      <c r="AB857" t="str">
        <v>Aditi</v>
      </c>
      <c r="AC857" t="str">
        <v>Pune</v>
      </c>
      <c r="AD857" t="str">
        <v>Maharashtra</v>
      </c>
      <c r="AE857" t="str">
        <v>West</v>
      </c>
      <c r="AF857" t="str">
        <v>Furniture</v>
      </c>
      <c r="AG857" t="str">
        <v>Table</v>
      </c>
      <c r="AH857">
        <v>13</v>
      </c>
      <c r="AI857">
        <v>3617.07</v>
      </c>
      <c r="AJ857">
        <v>47021.91</v>
      </c>
    </row>
    <row r="858" spans="1:36">
      <c r="A858" s="25">
        <v>45228</v>
      </c>
      <c r="B858" t="s">
        <v>1700</v>
      </c>
      <c r="C858" t="s">
        <v>1136</v>
      </c>
      <c r="D858" t="s">
        <v>1673</v>
      </c>
      <c r="E858" t="s">
        <v>1674</v>
      </c>
      <c r="F858" t="s">
        <v>101</v>
      </c>
      <c r="G858" t="s">
        <v>1715</v>
      </c>
      <c r="H858">
        <v>20</v>
      </c>
      <c r="I858">
        <v>2142.9</v>
      </c>
      <c r="J858">
        <v>42858</v>
      </c>
      <c r="AA858">
        <v>45228</v>
      </c>
      <c r="AB858" t="str">
        <v>Ananya</v>
      </c>
      <c r="AC858" t="str">
        <v>Pune</v>
      </c>
      <c r="AD858" t="str">
        <v>Maharashtra</v>
      </c>
      <c r="AE858" t="str">
        <v>West</v>
      </c>
      <c r="AF858" t="str">
        <v>Furniture</v>
      </c>
      <c r="AG858" t="str">
        <v>Sofa</v>
      </c>
      <c r="AH858">
        <v>20</v>
      </c>
      <c r="AI858">
        <v>2142.9</v>
      </c>
      <c r="AJ858">
        <v>42858</v>
      </c>
    </row>
    <row r="859" spans="1:36">
      <c r="A859" s="25">
        <v>45071</v>
      </c>
      <c r="B859" t="s">
        <v>1692</v>
      </c>
      <c r="C859" t="s">
        <v>1136</v>
      </c>
      <c r="D859" t="s">
        <v>1673</v>
      </c>
      <c r="E859" t="s">
        <v>1674</v>
      </c>
      <c r="F859" t="s">
        <v>101</v>
      </c>
      <c r="G859" t="s">
        <v>1719</v>
      </c>
      <c r="H859">
        <v>11</v>
      </c>
      <c r="I859">
        <v>2318.96</v>
      </c>
      <c r="J859">
        <v>25508.560000000001</v>
      </c>
      <c r="AA859">
        <v>45071</v>
      </c>
      <c r="AB859" t="str">
        <v>Aarav</v>
      </c>
      <c r="AC859" t="str">
        <v>Pune</v>
      </c>
      <c r="AD859" t="str">
        <v>Maharashtra</v>
      </c>
      <c r="AE859" t="str">
        <v>West</v>
      </c>
      <c r="AF859" t="str">
        <v>Furniture</v>
      </c>
      <c r="AG859" t="str">
        <v>Chair</v>
      </c>
      <c r="AH859">
        <v>11</v>
      </c>
      <c r="AI859">
        <v>2318.96</v>
      </c>
      <c r="AJ859">
        <v>25508.560000000001</v>
      </c>
    </row>
    <row r="860" spans="1:36">
      <c r="A860" s="25">
        <v>45037</v>
      </c>
      <c r="B860" t="s">
        <v>1681</v>
      </c>
      <c r="C860" t="s">
        <v>1136</v>
      </c>
      <c r="D860" t="s">
        <v>1673</v>
      </c>
      <c r="E860" t="s">
        <v>1674</v>
      </c>
      <c r="F860" t="s">
        <v>101</v>
      </c>
      <c r="G860" t="s">
        <v>1675</v>
      </c>
      <c r="H860">
        <v>10</v>
      </c>
      <c r="I860">
        <v>2200.91</v>
      </c>
      <c r="J860">
        <v>22009.1</v>
      </c>
      <c r="AA860">
        <v>45037</v>
      </c>
      <c r="AB860" t="str">
        <v>Nishant</v>
      </c>
      <c r="AC860" t="str">
        <v>Pune</v>
      </c>
      <c r="AD860" t="str">
        <v>Maharashtra</v>
      </c>
      <c r="AE860" t="str">
        <v>West</v>
      </c>
      <c r="AF860" t="str">
        <v>Furniture</v>
      </c>
      <c r="AG860" t="str">
        <v>Table</v>
      </c>
      <c r="AH860">
        <v>10</v>
      </c>
      <c r="AI860">
        <v>2200.91</v>
      </c>
      <c r="AJ860">
        <v>22009.1</v>
      </c>
    </row>
    <row r="861" spans="1:36">
      <c r="A861" s="25">
        <v>45247</v>
      </c>
      <c r="B861" t="s">
        <v>1700</v>
      </c>
      <c r="C861" t="s">
        <v>1136</v>
      </c>
      <c r="D861" t="s">
        <v>1673</v>
      </c>
      <c r="E861" t="s">
        <v>1674</v>
      </c>
      <c r="F861" t="s">
        <v>101</v>
      </c>
      <c r="G861" t="s">
        <v>1719</v>
      </c>
      <c r="H861">
        <v>7</v>
      </c>
      <c r="I861">
        <v>2846.83</v>
      </c>
      <c r="J861">
        <v>19927.810000000001</v>
      </c>
      <c r="AA861">
        <v>45247</v>
      </c>
      <c r="AB861" t="str">
        <v>Ananya</v>
      </c>
      <c r="AC861" t="str">
        <v>Pune</v>
      </c>
      <c r="AD861" t="str">
        <v>Maharashtra</v>
      </c>
      <c r="AE861" t="str">
        <v>West</v>
      </c>
      <c r="AF861" t="str">
        <v>Furniture</v>
      </c>
      <c r="AG861" t="str">
        <v>Chair</v>
      </c>
      <c r="AH861">
        <v>7</v>
      </c>
      <c r="AI861">
        <v>2846.83</v>
      </c>
      <c r="AJ861">
        <v>19927.810000000001</v>
      </c>
    </row>
    <row r="862" spans="1:36">
      <c r="A862" s="25">
        <v>45075</v>
      </c>
      <c r="B862" t="s">
        <v>1689</v>
      </c>
      <c r="C862" t="s">
        <v>1136</v>
      </c>
      <c r="D862" t="s">
        <v>1673</v>
      </c>
      <c r="E862" t="s">
        <v>1674</v>
      </c>
      <c r="F862" t="s">
        <v>101</v>
      </c>
      <c r="G862" t="s">
        <v>1675</v>
      </c>
      <c r="H862">
        <v>13</v>
      </c>
      <c r="I862">
        <v>1419.3</v>
      </c>
      <c r="J862">
        <v>18450.900000000001</v>
      </c>
      <c r="AA862">
        <v>45075</v>
      </c>
      <c r="AB862" t="str">
        <v>Ishita</v>
      </c>
      <c r="AC862" t="str">
        <v>Pune</v>
      </c>
      <c r="AD862" t="str">
        <v>Maharashtra</v>
      </c>
      <c r="AE862" t="str">
        <v>West</v>
      </c>
      <c r="AF862" t="str">
        <v>Furniture</v>
      </c>
      <c r="AG862" t="str">
        <v>Table</v>
      </c>
      <c r="AH862">
        <v>13</v>
      </c>
      <c r="AI862">
        <v>1419.3</v>
      </c>
      <c r="AJ862">
        <v>18450.900000000001</v>
      </c>
    </row>
    <row r="863" spans="1:36">
      <c r="A863" s="25">
        <v>45190</v>
      </c>
      <c r="B863" t="s">
        <v>1698</v>
      </c>
      <c r="C863" t="s">
        <v>1136</v>
      </c>
      <c r="D863" t="s">
        <v>1673</v>
      </c>
      <c r="E863" t="s">
        <v>1674</v>
      </c>
      <c r="F863" t="s">
        <v>101</v>
      </c>
      <c r="G863" t="s">
        <v>1715</v>
      </c>
      <c r="H863">
        <v>9</v>
      </c>
      <c r="I863">
        <v>722.44</v>
      </c>
      <c r="J863">
        <v>6501.96</v>
      </c>
      <c r="AA863">
        <v>45190</v>
      </c>
      <c r="AB863" t="str">
        <v>Aryan</v>
      </c>
      <c r="AC863" t="str">
        <v>Pune</v>
      </c>
      <c r="AD863" t="str">
        <v>Maharashtra</v>
      </c>
      <c r="AE863" t="str">
        <v>West</v>
      </c>
      <c r="AF863" t="str">
        <v>Furniture</v>
      </c>
      <c r="AG863" t="str">
        <v>Sofa</v>
      </c>
      <c r="AH863">
        <v>9</v>
      </c>
      <c r="AI863">
        <v>722.44</v>
      </c>
      <c r="AJ863">
        <v>6501.96</v>
      </c>
    </row>
    <row r="864" spans="1:36">
      <c r="A864" s="25">
        <v>45105</v>
      </c>
      <c r="B864" t="s">
        <v>1694</v>
      </c>
      <c r="C864" t="s">
        <v>1136</v>
      </c>
      <c r="D864" t="s">
        <v>1673</v>
      </c>
      <c r="E864" t="s">
        <v>1674</v>
      </c>
      <c r="F864" t="s">
        <v>101</v>
      </c>
      <c r="G864" t="s">
        <v>1719</v>
      </c>
      <c r="H864">
        <v>4</v>
      </c>
      <c r="I864">
        <v>1077.23</v>
      </c>
      <c r="J864">
        <v>4308.92</v>
      </c>
      <c r="AA864">
        <v>45105</v>
      </c>
      <c r="AB864" t="str">
        <v>Riya</v>
      </c>
      <c r="AC864" t="str">
        <v>Pune</v>
      </c>
      <c r="AD864" t="str">
        <v>Maharashtra</v>
      </c>
      <c r="AE864" t="str">
        <v>West</v>
      </c>
      <c r="AF864" t="str">
        <v>Furniture</v>
      </c>
      <c r="AG864" t="str">
        <v>Chair</v>
      </c>
      <c r="AH864">
        <v>4</v>
      </c>
      <c r="AI864">
        <v>1077.23</v>
      </c>
      <c r="AJ864">
        <v>4308.92</v>
      </c>
    </row>
    <row r="865" spans="1:36">
      <c r="A865" s="25">
        <v>45146</v>
      </c>
      <c r="B865" t="s">
        <v>1676</v>
      </c>
      <c r="C865" t="s">
        <v>1136</v>
      </c>
      <c r="D865" t="s">
        <v>1673</v>
      </c>
      <c r="E865" t="s">
        <v>1674</v>
      </c>
      <c r="F865" t="s">
        <v>101</v>
      </c>
      <c r="G865" t="s">
        <v>1709</v>
      </c>
      <c r="H865">
        <v>3</v>
      </c>
      <c r="I865">
        <v>1417.18</v>
      </c>
      <c r="J865">
        <v>4251.54</v>
      </c>
      <c r="AA865">
        <v>45146</v>
      </c>
      <c r="AB865" t="str">
        <v>Vihaan</v>
      </c>
      <c r="AC865" t="str">
        <v>Pune</v>
      </c>
      <c r="AD865" t="str">
        <v>Maharashtra</v>
      </c>
      <c r="AE865" t="str">
        <v>West</v>
      </c>
      <c r="AF865" t="str">
        <v>Furniture</v>
      </c>
      <c r="AG865" t="str">
        <v>Bed</v>
      </c>
      <c r="AH865">
        <v>3</v>
      </c>
      <c r="AI865">
        <v>1417.18</v>
      </c>
      <c r="AJ865">
        <v>4251.54</v>
      </c>
    </row>
    <row r="866" spans="1:36">
      <c r="A866" s="25">
        <v>45179</v>
      </c>
      <c r="B866" t="s">
        <v>1676</v>
      </c>
      <c r="C866" t="s">
        <v>1136</v>
      </c>
      <c r="D866" t="s">
        <v>1673</v>
      </c>
      <c r="E866" t="s">
        <v>1674</v>
      </c>
      <c r="F866" t="s">
        <v>101</v>
      </c>
      <c r="G866" t="s">
        <v>1719</v>
      </c>
      <c r="H866">
        <v>13</v>
      </c>
      <c r="I866">
        <v>298.08999999999997</v>
      </c>
      <c r="J866">
        <v>3875.17</v>
      </c>
      <c r="AA866">
        <v>45179</v>
      </c>
      <c r="AB866" t="str">
        <v>Vihaan</v>
      </c>
      <c r="AC866" t="str">
        <v>Pune</v>
      </c>
      <c r="AD866" t="str">
        <v>Maharashtra</v>
      </c>
      <c r="AE866" t="str">
        <v>West</v>
      </c>
      <c r="AF866" t="str">
        <v>Furniture</v>
      </c>
      <c r="AG866" t="str">
        <v>Chair</v>
      </c>
      <c r="AH866">
        <v>13</v>
      </c>
      <c r="AI866">
        <v>298.08999999999997</v>
      </c>
      <c r="AJ866">
        <v>3875.17</v>
      </c>
    </row>
    <row r="867" spans="1:36">
      <c r="A867" s="25">
        <v>45089</v>
      </c>
      <c r="B867" t="s">
        <v>1705</v>
      </c>
      <c r="C867" t="s">
        <v>1136</v>
      </c>
      <c r="D867" t="s">
        <v>1673</v>
      </c>
      <c r="E867" t="s">
        <v>1674</v>
      </c>
      <c r="F867" t="s">
        <v>101</v>
      </c>
      <c r="G867" t="s">
        <v>1715</v>
      </c>
      <c r="H867">
        <v>18</v>
      </c>
      <c r="I867">
        <v>134.66999999999999</v>
      </c>
      <c r="J867">
        <v>2424.06</v>
      </c>
      <c r="AA867">
        <v>45089</v>
      </c>
      <c r="AB867" t="str">
        <v>Kabir</v>
      </c>
      <c r="AC867" t="str">
        <v>Pune</v>
      </c>
      <c r="AD867" t="str">
        <v>Maharashtra</v>
      </c>
      <c r="AE867" t="str">
        <v>West</v>
      </c>
      <c r="AF867" t="str">
        <v>Furniture</v>
      </c>
      <c r="AG867" t="str">
        <v>Sofa</v>
      </c>
      <c r="AH867">
        <v>18</v>
      </c>
      <c r="AI867">
        <v>134.66999999999999</v>
      </c>
      <c r="AJ867">
        <v>2424.06</v>
      </c>
    </row>
    <row r="868" spans="1:36">
      <c r="A868" s="25">
        <v>45093</v>
      </c>
      <c r="B868" t="s">
        <v>1681</v>
      </c>
      <c r="C868" t="s">
        <v>1136</v>
      </c>
      <c r="D868" t="s">
        <v>1673</v>
      </c>
      <c r="E868" t="s">
        <v>1674</v>
      </c>
      <c r="F868" t="s">
        <v>101</v>
      </c>
      <c r="G868" t="s">
        <v>1709</v>
      </c>
      <c r="H868">
        <v>4</v>
      </c>
      <c r="I868">
        <v>578.35</v>
      </c>
      <c r="J868">
        <v>2313.4</v>
      </c>
      <c r="AA868">
        <v>45093</v>
      </c>
      <c r="AB868" t="str">
        <v>Nishant</v>
      </c>
      <c r="AC868" t="str">
        <v>Pune</v>
      </c>
      <c r="AD868" t="str">
        <v>Maharashtra</v>
      </c>
      <c r="AE868" t="str">
        <v>West</v>
      </c>
      <c r="AF868" t="str">
        <v>Furniture</v>
      </c>
      <c r="AG868" t="str">
        <v>Bed</v>
      </c>
      <c r="AH868">
        <v>4</v>
      </c>
      <c r="AI868">
        <v>578.35</v>
      </c>
      <c r="AJ868">
        <v>2313.4</v>
      </c>
    </row>
    <row r="869" spans="1:36">
      <c r="A869" s="25">
        <v>45258</v>
      </c>
      <c r="B869" t="s">
        <v>1676</v>
      </c>
      <c r="C869" t="s">
        <v>1136</v>
      </c>
      <c r="D869" t="s">
        <v>1673</v>
      </c>
      <c r="E869" t="s">
        <v>1674</v>
      </c>
      <c r="F869" t="s">
        <v>1687</v>
      </c>
      <c r="G869" t="s">
        <v>1704</v>
      </c>
      <c r="H869">
        <v>14</v>
      </c>
      <c r="I869">
        <v>3943.42</v>
      </c>
      <c r="J869">
        <v>55207.88</v>
      </c>
      <c r="AA869">
        <v>45258</v>
      </c>
      <c r="AB869" t="str">
        <v>Vihaan</v>
      </c>
      <c r="AC869" t="str">
        <v>Pune</v>
      </c>
      <c r="AD869" t="str">
        <v>Maharashtra</v>
      </c>
      <c r="AE869" t="str">
        <v>West</v>
      </c>
      <c r="AF869" t="str">
        <v>Groceries</v>
      </c>
      <c r="AG869" t="str">
        <v>Rice</v>
      </c>
      <c r="AH869">
        <v>14</v>
      </c>
      <c r="AI869">
        <v>3943.42</v>
      </c>
      <c r="AJ869">
        <v>55207.88</v>
      </c>
    </row>
    <row r="870" spans="1:36">
      <c r="A870" s="25">
        <v>45196</v>
      </c>
      <c r="B870" t="s">
        <v>1686</v>
      </c>
      <c r="C870" t="s">
        <v>1136</v>
      </c>
      <c r="D870" t="s">
        <v>1673</v>
      </c>
      <c r="E870" t="s">
        <v>1674</v>
      </c>
      <c r="F870" t="s">
        <v>1687</v>
      </c>
      <c r="G870" t="s">
        <v>1710</v>
      </c>
      <c r="H870">
        <v>10</v>
      </c>
      <c r="I870">
        <v>4788</v>
      </c>
      <c r="J870">
        <v>47880</v>
      </c>
      <c r="AA870">
        <v>45196</v>
      </c>
      <c r="AB870" t="str">
        <v>Aditi</v>
      </c>
      <c r="AC870" t="str">
        <v>Pune</v>
      </c>
      <c r="AD870" t="str">
        <v>Maharashtra</v>
      </c>
      <c r="AE870" t="str">
        <v>West</v>
      </c>
      <c r="AF870" t="str">
        <v>Groceries</v>
      </c>
      <c r="AG870" t="str">
        <v>Oil</v>
      </c>
      <c r="AH870">
        <v>10</v>
      </c>
      <c r="AI870">
        <v>4788</v>
      </c>
      <c r="AJ870">
        <v>47880</v>
      </c>
    </row>
    <row r="871" spans="1:36">
      <c r="A871" s="25">
        <v>44994</v>
      </c>
      <c r="B871" t="s">
        <v>1686</v>
      </c>
      <c r="C871" t="s">
        <v>1136</v>
      </c>
      <c r="D871" t="s">
        <v>1673</v>
      </c>
      <c r="E871" t="s">
        <v>1674</v>
      </c>
      <c r="F871" t="s">
        <v>1687</v>
      </c>
      <c r="G871" t="s">
        <v>1708</v>
      </c>
      <c r="H871">
        <v>15</v>
      </c>
      <c r="I871">
        <v>2540.06</v>
      </c>
      <c r="J871">
        <v>38100.9</v>
      </c>
      <c r="AA871">
        <v>44994</v>
      </c>
      <c r="AB871" t="str">
        <v>Aditi</v>
      </c>
      <c r="AC871" t="str">
        <v>Pune</v>
      </c>
      <c r="AD871" t="str">
        <v>Maharashtra</v>
      </c>
      <c r="AE871" t="str">
        <v>West</v>
      </c>
      <c r="AF871" t="str">
        <v>Groceries</v>
      </c>
      <c r="AG871" t="str">
        <v>Sugar</v>
      </c>
      <c r="AH871">
        <v>15</v>
      </c>
      <c r="AI871">
        <v>2540.06</v>
      </c>
      <c r="AJ871">
        <v>38100.9</v>
      </c>
    </row>
    <row r="872" spans="1:36">
      <c r="A872" s="25">
        <v>45143</v>
      </c>
      <c r="B872" t="s">
        <v>1686</v>
      </c>
      <c r="C872" t="s">
        <v>1136</v>
      </c>
      <c r="D872" t="s">
        <v>1673</v>
      </c>
      <c r="E872" t="s">
        <v>1674</v>
      </c>
      <c r="F872" t="s">
        <v>1687</v>
      </c>
      <c r="G872" t="s">
        <v>1704</v>
      </c>
      <c r="H872">
        <v>14</v>
      </c>
      <c r="I872">
        <v>2134.06</v>
      </c>
      <c r="J872">
        <v>29876.84</v>
      </c>
      <c r="AA872">
        <v>45143</v>
      </c>
      <c r="AB872" t="str">
        <v>Aditi</v>
      </c>
      <c r="AC872" t="str">
        <v>Pune</v>
      </c>
      <c r="AD872" t="str">
        <v>Maharashtra</v>
      </c>
      <c r="AE872" t="str">
        <v>West</v>
      </c>
      <c r="AF872" t="str">
        <v>Groceries</v>
      </c>
      <c r="AG872" t="str">
        <v>Rice</v>
      </c>
      <c r="AH872">
        <v>14</v>
      </c>
      <c r="AI872">
        <v>2134.06</v>
      </c>
      <c r="AJ872">
        <v>29876.84</v>
      </c>
    </row>
    <row r="873" spans="1:36">
      <c r="A873" s="25">
        <v>45005</v>
      </c>
      <c r="B873" t="s">
        <v>1686</v>
      </c>
      <c r="C873" t="s">
        <v>1136</v>
      </c>
      <c r="D873" t="s">
        <v>1673</v>
      </c>
      <c r="E873" t="s">
        <v>1674</v>
      </c>
      <c r="F873" t="s">
        <v>1687</v>
      </c>
      <c r="G873" t="s">
        <v>1704</v>
      </c>
      <c r="H873">
        <v>10</v>
      </c>
      <c r="I873">
        <v>2976.69</v>
      </c>
      <c r="J873">
        <v>29766.9</v>
      </c>
      <c r="AA873">
        <v>45005</v>
      </c>
      <c r="AB873" t="str">
        <v>Aditi</v>
      </c>
      <c r="AC873" t="str">
        <v>Pune</v>
      </c>
      <c r="AD873" t="str">
        <v>Maharashtra</v>
      </c>
      <c r="AE873" t="str">
        <v>West</v>
      </c>
      <c r="AF873" t="str">
        <v>Groceries</v>
      </c>
      <c r="AG873" t="str">
        <v>Rice</v>
      </c>
      <c r="AH873">
        <v>10</v>
      </c>
      <c r="AI873">
        <v>2976.69</v>
      </c>
      <c r="AJ873">
        <v>29766.9</v>
      </c>
    </row>
    <row r="874" spans="1:36">
      <c r="A874" s="25">
        <v>45021</v>
      </c>
      <c r="B874" t="s">
        <v>1700</v>
      </c>
      <c r="C874" t="s">
        <v>1136</v>
      </c>
      <c r="D874" t="s">
        <v>1673</v>
      </c>
      <c r="E874" t="s">
        <v>1674</v>
      </c>
      <c r="F874" t="s">
        <v>1687</v>
      </c>
      <c r="G874" t="s">
        <v>1708</v>
      </c>
      <c r="H874">
        <v>4</v>
      </c>
      <c r="I874">
        <v>1208.42</v>
      </c>
      <c r="J874">
        <v>4833.68</v>
      </c>
      <c r="AA874">
        <v>45021</v>
      </c>
      <c r="AB874" t="str">
        <v>Ananya</v>
      </c>
      <c r="AC874" t="str">
        <v>Pune</v>
      </c>
      <c r="AD874" t="str">
        <v>Maharashtra</v>
      </c>
      <c r="AE874" t="str">
        <v>West</v>
      </c>
      <c r="AF874" t="str">
        <v>Groceries</v>
      </c>
      <c r="AG874" t="str">
        <v>Sugar</v>
      </c>
      <c r="AH874">
        <v>4</v>
      </c>
      <c r="AI874">
        <v>1208.42</v>
      </c>
      <c r="AJ874">
        <v>4833.68</v>
      </c>
    </row>
    <row r="875" spans="1:36">
      <c r="A875" s="25">
        <v>44971</v>
      </c>
      <c r="B875" t="s">
        <v>1686</v>
      </c>
      <c r="C875" t="s">
        <v>1136</v>
      </c>
      <c r="D875" t="s">
        <v>1673</v>
      </c>
      <c r="E875" t="s">
        <v>1674</v>
      </c>
      <c r="F875" t="s">
        <v>114</v>
      </c>
      <c r="G875" t="s">
        <v>1712</v>
      </c>
      <c r="H875">
        <v>16</v>
      </c>
      <c r="I875">
        <v>4507.37</v>
      </c>
      <c r="J875">
        <v>72117.919999999998</v>
      </c>
      <c r="AA875">
        <v>44971</v>
      </c>
      <c r="AB875" t="str">
        <v>Aditi</v>
      </c>
      <c r="AC875" t="str">
        <v>Pune</v>
      </c>
      <c r="AD875" t="str">
        <v>Maharashtra</v>
      </c>
      <c r="AE875" t="str">
        <v>West</v>
      </c>
      <c r="AF875" t="str">
        <v>Stationery</v>
      </c>
      <c r="AG875" t="str">
        <v>Pen</v>
      </c>
      <c r="AH875">
        <v>16</v>
      </c>
      <c r="AI875">
        <v>4507.37</v>
      </c>
      <c r="AJ875">
        <v>72117.919999999998</v>
      </c>
    </row>
    <row r="876" spans="1:36">
      <c r="A876" s="25">
        <v>45271</v>
      </c>
      <c r="B876" t="s">
        <v>1694</v>
      </c>
      <c r="C876" t="s">
        <v>1136</v>
      </c>
      <c r="D876" t="s">
        <v>1673</v>
      </c>
      <c r="E876" t="s">
        <v>1674</v>
      </c>
      <c r="F876" t="s">
        <v>114</v>
      </c>
      <c r="G876" t="s">
        <v>1680</v>
      </c>
      <c r="H876">
        <v>18</v>
      </c>
      <c r="I876">
        <v>3559.2</v>
      </c>
      <c r="J876">
        <v>64065.599999999999</v>
      </c>
      <c r="AA876">
        <v>45271</v>
      </c>
      <c r="AB876" t="str">
        <v>Riya</v>
      </c>
      <c r="AC876" t="str">
        <v>Pune</v>
      </c>
      <c r="AD876" t="str">
        <v>Maharashtra</v>
      </c>
      <c r="AE876" t="str">
        <v>West</v>
      </c>
      <c r="AF876" t="str">
        <v>Stationery</v>
      </c>
      <c r="AG876" t="str">
        <v>Ruler</v>
      </c>
      <c r="AH876">
        <v>18</v>
      </c>
      <c r="AI876">
        <v>3559.2</v>
      </c>
      <c r="AJ876">
        <v>64065.599999999999</v>
      </c>
    </row>
    <row r="877" spans="1:36">
      <c r="A877" s="25">
        <v>45196</v>
      </c>
      <c r="B877" t="s">
        <v>1698</v>
      </c>
      <c r="C877" t="s">
        <v>1136</v>
      </c>
      <c r="D877" t="s">
        <v>1673</v>
      </c>
      <c r="E877" t="s">
        <v>1674</v>
      </c>
      <c r="F877" t="s">
        <v>114</v>
      </c>
      <c r="G877" t="s">
        <v>1680</v>
      </c>
      <c r="H877">
        <v>20</v>
      </c>
      <c r="I877">
        <v>3193.18</v>
      </c>
      <c r="J877">
        <v>63863.6</v>
      </c>
      <c r="AA877">
        <v>45196</v>
      </c>
      <c r="AB877" t="str">
        <v>Aryan</v>
      </c>
      <c r="AC877" t="str">
        <v>Pune</v>
      </c>
      <c r="AD877" t="str">
        <v>Maharashtra</v>
      </c>
      <c r="AE877" t="str">
        <v>West</v>
      </c>
      <c r="AF877" t="str">
        <v>Stationery</v>
      </c>
      <c r="AG877" t="str">
        <v>Ruler</v>
      </c>
      <c r="AH877">
        <v>20</v>
      </c>
      <c r="AI877">
        <v>3193.18</v>
      </c>
      <c r="AJ877">
        <v>63863.6</v>
      </c>
    </row>
    <row r="878" spans="1:36">
      <c r="A878" s="25">
        <v>45134</v>
      </c>
      <c r="B878" t="s">
        <v>1694</v>
      </c>
      <c r="C878" t="s">
        <v>1136</v>
      </c>
      <c r="D878" t="s">
        <v>1673</v>
      </c>
      <c r="E878" t="s">
        <v>1674</v>
      </c>
      <c r="F878" t="s">
        <v>114</v>
      </c>
      <c r="G878" t="s">
        <v>1718</v>
      </c>
      <c r="H878">
        <v>18</v>
      </c>
      <c r="I878">
        <v>2490.14</v>
      </c>
      <c r="J878">
        <v>44822.52</v>
      </c>
      <c r="AA878">
        <v>45134</v>
      </c>
      <c r="AB878" t="str">
        <v>Riya</v>
      </c>
      <c r="AC878" t="str">
        <v>Pune</v>
      </c>
      <c r="AD878" t="str">
        <v>Maharashtra</v>
      </c>
      <c r="AE878" t="str">
        <v>West</v>
      </c>
      <c r="AF878" t="str">
        <v>Stationery</v>
      </c>
      <c r="AG878" t="str">
        <v>Notebook</v>
      </c>
      <c r="AH878">
        <v>18</v>
      </c>
      <c r="AI878">
        <v>2490.14</v>
      </c>
      <c r="AJ878">
        <v>44822.52</v>
      </c>
    </row>
    <row r="879" spans="1:36">
      <c r="A879" s="25">
        <v>45103</v>
      </c>
      <c r="B879" t="s">
        <v>1698</v>
      </c>
      <c r="C879" t="s">
        <v>1136</v>
      </c>
      <c r="D879" t="s">
        <v>1673</v>
      </c>
      <c r="E879" t="s">
        <v>1674</v>
      </c>
      <c r="F879" t="s">
        <v>114</v>
      </c>
      <c r="G879" t="s">
        <v>1691</v>
      </c>
      <c r="H879">
        <v>14</v>
      </c>
      <c r="I879">
        <v>2883.11</v>
      </c>
      <c r="J879">
        <v>40363.54</v>
      </c>
      <c r="AA879">
        <v>45103</v>
      </c>
      <c r="AB879" t="str">
        <v>Aryan</v>
      </c>
      <c r="AC879" t="str">
        <v>Pune</v>
      </c>
      <c r="AD879" t="str">
        <v>Maharashtra</v>
      </c>
      <c r="AE879" t="str">
        <v>West</v>
      </c>
      <c r="AF879" t="str">
        <v>Stationery</v>
      </c>
      <c r="AG879" t="str">
        <v>Eraser</v>
      </c>
      <c r="AH879">
        <v>14</v>
      </c>
      <c r="AI879">
        <v>2883.11</v>
      </c>
      <c r="AJ879">
        <v>40363.54</v>
      </c>
    </row>
    <row r="880" spans="1:36">
      <c r="A880" s="25">
        <v>44939</v>
      </c>
      <c r="B880" t="s">
        <v>1681</v>
      </c>
      <c r="C880" t="s">
        <v>1136</v>
      </c>
      <c r="D880" t="s">
        <v>1673</v>
      </c>
      <c r="E880" t="s">
        <v>1674</v>
      </c>
      <c r="F880" t="s">
        <v>114</v>
      </c>
      <c r="G880" t="s">
        <v>1691</v>
      </c>
      <c r="H880">
        <v>10</v>
      </c>
      <c r="I880">
        <v>3690.75</v>
      </c>
      <c r="J880">
        <v>36907.5</v>
      </c>
      <c r="AA880">
        <v>44939</v>
      </c>
      <c r="AB880" t="str">
        <v>Nishant</v>
      </c>
      <c r="AC880" t="str">
        <v>Pune</v>
      </c>
      <c r="AD880" t="str">
        <v>Maharashtra</v>
      </c>
      <c r="AE880" t="str">
        <v>West</v>
      </c>
      <c r="AF880" t="str">
        <v>Stationery</v>
      </c>
      <c r="AG880" t="str">
        <v>Eraser</v>
      </c>
      <c r="AH880">
        <v>10</v>
      </c>
      <c r="AI880">
        <v>3690.75</v>
      </c>
      <c r="AJ880">
        <v>36907.5</v>
      </c>
    </row>
    <row r="881" spans="1:36">
      <c r="A881" s="25">
        <v>45084</v>
      </c>
      <c r="B881" t="s">
        <v>1671</v>
      </c>
      <c r="C881" t="s">
        <v>1136</v>
      </c>
      <c r="D881" t="s">
        <v>1673</v>
      </c>
      <c r="E881" t="s">
        <v>1674</v>
      </c>
      <c r="F881" t="s">
        <v>114</v>
      </c>
      <c r="G881" t="s">
        <v>1691</v>
      </c>
      <c r="H881">
        <v>16</v>
      </c>
      <c r="I881">
        <v>2192.7399999999998</v>
      </c>
      <c r="J881">
        <v>35083.839999999997</v>
      </c>
      <c r="AA881">
        <v>45084</v>
      </c>
      <c r="AB881" t="str">
        <v>Meera</v>
      </c>
      <c r="AC881" t="str">
        <v>Pune</v>
      </c>
      <c r="AD881" t="str">
        <v>Maharashtra</v>
      </c>
      <c r="AE881" t="str">
        <v>West</v>
      </c>
      <c r="AF881" t="str">
        <v>Stationery</v>
      </c>
      <c r="AG881" t="str">
        <v>Eraser</v>
      </c>
      <c r="AH881">
        <v>16</v>
      </c>
      <c r="AI881">
        <v>2192.7399999999998</v>
      </c>
      <c r="AJ881">
        <v>35083.839999999997</v>
      </c>
    </row>
    <row r="882" spans="1:36">
      <c r="A882" s="25">
        <v>45186</v>
      </c>
      <c r="B882" t="s">
        <v>1676</v>
      </c>
      <c r="C882" t="s">
        <v>1136</v>
      </c>
      <c r="D882" t="s">
        <v>1673</v>
      </c>
      <c r="E882" t="s">
        <v>1674</v>
      </c>
      <c r="F882" t="s">
        <v>114</v>
      </c>
      <c r="G882" t="s">
        <v>1718</v>
      </c>
      <c r="H882">
        <v>5</v>
      </c>
      <c r="I882">
        <v>4600.38</v>
      </c>
      <c r="J882">
        <v>23001.9</v>
      </c>
      <c r="AA882">
        <v>45186</v>
      </c>
      <c r="AB882" t="str">
        <v>Vihaan</v>
      </c>
      <c r="AC882" t="str">
        <v>Pune</v>
      </c>
      <c r="AD882" t="str">
        <v>Maharashtra</v>
      </c>
      <c r="AE882" t="str">
        <v>West</v>
      </c>
      <c r="AF882" t="str">
        <v>Stationery</v>
      </c>
      <c r="AG882" t="str">
        <v>Notebook</v>
      </c>
      <c r="AH882">
        <v>5</v>
      </c>
      <c r="AI882">
        <v>4600.38</v>
      </c>
      <c r="AJ882">
        <v>23001.9</v>
      </c>
    </row>
    <row r="883" spans="1:36">
      <c r="A883" s="25">
        <v>45012</v>
      </c>
      <c r="B883" t="s">
        <v>1705</v>
      </c>
      <c r="C883" t="s">
        <v>1136</v>
      </c>
      <c r="D883" t="s">
        <v>1673</v>
      </c>
      <c r="E883" t="s">
        <v>1674</v>
      </c>
      <c r="F883" t="s">
        <v>114</v>
      </c>
      <c r="G883" t="s">
        <v>1680</v>
      </c>
      <c r="H883">
        <v>7</v>
      </c>
      <c r="I883">
        <v>2253.94</v>
      </c>
      <c r="J883">
        <v>15777.58</v>
      </c>
      <c r="AA883">
        <v>45012</v>
      </c>
      <c r="AB883" t="str">
        <v>Kabir</v>
      </c>
      <c r="AC883" t="str">
        <v>Pune</v>
      </c>
      <c r="AD883" t="str">
        <v>Maharashtra</v>
      </c>
      <c r="AE883" t="str">
        <v>West</v>
      </c>
      <c r="AF883" t="str">
        <v>Stationery</v>
      </c>
      <c r="AG883" t="str">
        <v>Ruler</v>
      </c>
      <c r="AH883">
        <v>7</v>
      </c>
      <c r="AI883">
        <v>2253.94</v>
      </c>
      <c r="AJ883">
        <v>15777.58</v>
      </c>
    </row>
    <row r="884" spans="1:36">
      <c r="A884" s="25">
        <v>45067</v>
      </c>
      <c r="B884" t="s">
        <v>1694</v>
      </c>
      <c r="C884" t="s">
        <v>1136</v>
      </c>
      <c r="D884" t="s">
        <v>1673</v>
      </c>
      <c r="E884" t="s">
        <v>1674</v>
      </c>
      <c r="F884" t="s">
        <v>114</v>
      </c>
      <c r="G884" t="s">
        <v>1680</v>
      </c>
      <c r="H884">
        <v>10</v>
      </c>
      <c r="I884">
        <v>1318.51</v>
      </c>
      <c r="J884">
        <v>13185.1</v>
      </c>
      <c r="AA884">
        <v>45067</v>
      </c>
      <c r="AB884" t="str">
        <v>Riya</v>
      </c>
      <c r="AC884" t="str">
        <v>Pune</v>
      </c>
      <c r="AD884" t="str">
        <v>Maharashtra</v>
      </c>
      <c r="AE884" t="str">
        <v>West</v>
      </c>
      <c r="AF884" t="str">
        <v>Stationery</v>
      </c>
      <c r="AG884" t="str">
        <v>Ruler</v>
      </c>
      <c r="AH884">
        <v>10</v>
      </c>
      <c r="AI884">
        <v>1318.51</v>
      </c>
      <c r="AJ884">
        <v>13185.1</v>
      </c>
    </row>
    <row r="885" spans="1:36">
      <c r="A885" s="25">
        <v>44966</v>
      </c>
      <c r="B885" t="s">
        <v>1694</v>
      </c>
      <c r="C885" t="s">
        <v>1136</v>
      </c>
      <c r="D885" t="s">
        <v>1673</v>
      </c>
      <c r="E885" t="s">
        <v>1674</v>
      </c>
      <c r="F885" t="s">
        <v>114</v>
      </c>
      <c r="G885" t="s">
        <v>1691</v>
      </c>
      <c r="H885">
        <v>6</v>
      </c>
      <c r="I885">
        <v>1610.91</v>
      </c>
      <c r="J885">
        <v>9665.4599999999991</v>
      </c>
      <c r="AA885">
        <v>44966</v>
      </c>
      <c r="AB885" t="str">
        <v>Riya</v>
      </c>
      <c r="AC885" t="str">
        <v>Pune</v>
      </c>
      <c r="AD885" t="str">
        <v>Maharashtra</v>
      </c>
      <c r="AE885" t="str">
        <v>West</v>
      </c>
      <c r="AF885" t="str">
        <v>Stationery</v>
      </c>
      <c r="AG885" t="str">
        <v>Eraser</v>
      </c>
      <c r="AH885">
        <v>6</v>
      </c>
      <c r="AI885">
        <v>1610.91</v>
      </c>
      <c r="AJ885">
        <v>9665.4599999999991</v>
      </c>
    </row>
    <row r="886" spans="1:36">
      <c r="A886" s="25">
        <v>44978</v>
      </c>
      <c r="B886" t="s">
        <v>1694</v>
      </c>
      <c r="C886" t="s">
        <v>1136</v>
      </c>
      <c r="D886" t="s">
        <v>1673</v>
      </c>
      <c r="E886" t="s">
        <v>1674</v>
      </c>
      <c r="F886" t="s">
        <v>114</v>
      </c>
      <c r="G886" t="s">
        <v>1691</v>
      </c>
      <c r="H886">
        <v>6</v>
      </c>
      <c r="I886">
        <v>1221.52</v>
      </c>
      <c r="J886">
        <v>7329.12</v>
      </c>
      <c r="AA886">
        <v>44978</v>
      </c>
      <c r="AB886" t="str">
        <v>Riya</v>
      </c>
      <c r="AC886" t="str">
        <v>Pune</v>
      </c>
      <c r="AD886" t="str">
        <v>Maharashtra</v>
      </c>
      <c r="AE886" t="str">
        <v>West</v>
      </c>
      <c r="AF886" t="str">
        <v>Stationery</v>
      </c>
      <c r="AG886" t="str">
        <v>Eraser</v>
      </c>
      <c r="AH886">
        <v>6</v>
      </c>
      <c r="AI886">
        <v>1221.52</v>
      </c>
      <c r="AJ886">
        <v>7329.12</v>
      </c>
    </row>
    <row r="887" spans="1:36">
      <c r="A887" s="25">
        <v>44975</v>
      </c>
      <c r="B887" t="s">
        <v>1694</v>
      </c>
      <c r="C887" t="s">
        <v>1136</v>
      </c>
      <c r="D887" t="s">
        <v>1673</v>
      </c>
      <c r="E887" t="s">
        <v>1674</v>
      </c>
      <c r="F887" t="s">
        <v>114</v>
      </c>
      <c r="G887" t="s">
        <v>1680</v>
      </c>
      <c r="H887">
        <v>12</v>
      </c>
      <c r="I887">
        <v>528.69000000000005</v>
      </c>
      <c r="J887">
        <v>6344.28</v>
      </c>
      <c r="AA887">
        <v>44975</v>
      </c>
      <c r="AB887" t="str">
        <v>Riya</v>
      </c>
      <c r="AC887" t="str">
        <v>Pune</v>
      </c>
      <c r="AD887" t="str">
        <v>Maharashtra</v>
      </c>
      <c r="AE887" t="str">
        <v>West</v>
      </c>
      <c r="AF887" t="str">
        <v>Stationery</v>
      </c>
      <c r="AG887" t="str">
        <v>Ruler</v>
      </c>
      <c r="AH887">
        <v>12</v>
      </c>
      <c r="AI887">
        <v>528.69000000000005</v>
      </c>
      <c r="AJ887">
        <v>6344.28</v>
      </c>
    </row>
    <row r="888" spans="1:36">
      <c r="A888" s="25">
        <v>45186</v>
      </c>
      <c r="B888" t="s">
        <v>1700</v>
      </c>
      <c r="C888" t="s">
        <v>1136</v>
      </c>
      <c r="D888" t="s">
        <v>1673</v>
      </c>
      <c r="E888" t="s">
        <v>1674</v>
      </c>
      <c r="F888" t="s">
        <v>114</v>
      </c>
      <c r="G888" t="s">
        <v>1718</v>
      </c>
      <c r="H888">
        <v>18</v>
      </c>
      <c r="I888">
        <v>138.01</v>
      </c>
      <c r="J888">
        <v>2484.1799999999998</v>
      </c>
      <c r="AA888">
        <v>45186</v>
      </c>
      <c r="AB888" t="str">
        <v>Ananya</v>
      </c>
      <c r="AC888" t="str">
        <v>Pune</v>
      </c>
      <c r="AD888" t="str">
        <v>Maharashtra</v>
      </c>
      <c r="AE888" t="str">
        <v>West</v>
      </c>
      <c r="AF888" t="str">
        <v>Stationery</v>
      </c>
      <c r="AG888" t="str">
        <v>Notebook</v>
      </c>
      <c r="AH888">
        <v>18</v>
      </c>
      <c r="AI888">
        <v>138.01</v>
      </c>
      <c r="AJ888">
        <v>2484.1799999999998</v>
      </c>
    </row>
    <row r="889" spans="1:36">
      <c r="A889" s="25">
        <v>45173</v>
      </c>
      <c r="B889" t="s">
        <v>1671</v>
      </c>
      <c r="C889" t="s">
        <v>1137</v>
      </c>
      <c r="D889" t="s">
        <v>1696</v>
      </c>
      <c r="E889" t="s">
        <v>1674</v>
      </c>
      <c r="F889" t="s">
        <v>97</v>
      </c>
      <c r="G889" t="s">
        <v>1685</v>
      </c>
      <c r="H889">
        <v>17</v>
      </c>
      <c r="I889">
        <v>3857.33</v>
      </c>
      <c r="J889">
        <v>65574.61</v>
      </c>
      <c r="AA889">
        <v>45173</v>
      </c>
      <c r="AB889" t="str">
        <v>Meera</v>
      </c>
      <c r="AC889" t="str">
        <v>Surat</v>
      </c>
      <c r="AD889" t="str">
        <v>Gujarat</v>
      </c>
      <c r="AE889" t="str">
        <v>West</v>
      </c>
      <c r="AF889" t="str">
        <v>Clothing</v>
      </c>
      <c r="AG889" t="str">
        <v>Dress</v>
      </c>
      <c r="AH889">
        <v>17</v>
      </c>
      <c r="AI889">
        <v>3857.33</v>
      </c>
      <c r="AJ889">
        <v>65574.61</v>
      </c>
    </row>
    <row r="890" spans="1:36">
      <c r="A890" s="25">
        <v>45004</v>
      </c>
      <c r="B890" t="s">
        <v>1689</v>
      </c>
      <c r="C890" t="s">
        <v>1137</v>
      </c>
      <c r="D890" t="s">
        <v>1696</v>
      </c>
      <c r="E890" t="s">
        <v>1674</v>
      </c>
      <c r="F890" t="s">
        <v>97</v>
      </c>
      <c r="G890" t="s">
        <v>1697</v>
      </c>
      <c r="H890">
        <v>17</v>
      </c>
      <c r="I890">
        <v>3203.04</v>
      </c>
      <c r="J890">
        <v>54451.68</v>
      </c>
      <c r="AA890">
        <v>45004</v>
      </c>
      <c r="AB890" t="str">
        <v>Ishita</v>
      </c>
      <c r="AC890" t="str">
        <v>Surat</v>
      </c>
      <c r="AD890" t="str">
        <v>Gujarat</v>
      </c>
      <c r="AE890" t="str">
        <v>West</v>
      </c>
      <c r="AF890" t="str">
        <v>Clothing</v>
      </c>
      <c r="AG890" t="str">
        <v>Pants</v>
      </c>
      <c r="AH890">
        <v>17</v>
      </c>
      <c r="AI890">
        <v>3203.04</v>
      </c>
      <c r="AJ890">
        <v>54451.68</v>
      </c>
    </row>
    <row r="891" spans="1:36">
      <c r="A891" s="25">
        <v>44941</v>
      </c>
      <c r="B891" t="s">
        <v>1698</v>
      </c>
      <c r="C891" t="s">
        <v>1137</v>
      </c>
      <c r="D891" t="s">
        <v>1696</v>
      </c>
      <c r="E891" t="s">
        <v>1674</v>
      </c>
      <c r="F891" t="s">
        <v>97</v>
      </c>
      <c r="G891" t="s">
        <v>1711</v>
      </c>
      <c r="H891">
        <v>17</v>
      </c>
      <c r="I891">
        <v>3145.73</v>
      </c>
      <c r="J891">
        <v>53477.41</v>
      </c>
      <c r="AA891">
        <v>44941</v>
      </c>
      <c r="AB891" t="str">
        <v>Aryan</v>
      </c>
      <c r="AC891" t="str">
        <v>Surat</v>
      </c>
      <c r="AD891" t="str">
        <v>Gujarat</v>
      </c>
      <c r="AE891" t="str">
        <v>West</v>
      </c>
      <c r="AF891" t="str">
        <v>Clothing</v>
      </c>
      <c r="AG891" t="str">
        <v>Jacket</v>
      </c>
      <c r="AH891">
        <v>17</v>
      </c>
      <c r="AI891">
        <v>3145.73</v>
      </c>
      <c r="AJ891">
        <v>53477.41</v>
      </c>
    </row>
    <row r="892" spans="1:36">
      <c r="A892" s="25">
        <v>45164</v>
      </c>
      <c r="B892" t="s">
        <v>1671</v>
      </c>
      <c r="C892" t="s">
        <v>1137</v>
      </c>
      <c r="D892" t="s">
        <v>1696</v>
      </c>
      <c r="E892" t="s">
        <v>1674</v>
      </c>
      <c r="F892" t="s">
        <v>97</v>
      </c>
      <c r="G892" t="s">
        <v>1699</v>
      </c>
      <c r="H892">
        <v>14</v>
      </c>
      <c r="I892">
        <v>3381.77</v>
      </c>
      <c r="J892">
        <v>47344.78</v>
      </c>
      <c r="AA892">
        <v>45164</v>
      </c>
      <c r="AB892" t="str">
        <v>Meera</v>
      </c>
      <c r="AC892" t="str">
        <v>Surat</v>
      </c>
      <c r="AD892" t="str">
        <v>Gujarat</v>
      </c>
      <c r="AE892" t="str">
        <v>West</v>
      </c>
      <c r="AF892" t="str">
        <v>Clothing</v>
      </c>
      <c r="AG892" t="str">
        <v>Shirt</v>
      </c>
      <c r="AH892">
        <v>14</v>
      </c>
      <c r="AI892">
        <v>3381.77</v>
      </c>
      <c r="AJ892">
        <v>47344.78</v>
      </c>
    </row>
    <row r="893" spans="1:36">
      <c r="A893" s="25">
        <v>44964</v>
      </c>
      <c r="B893" t="s">
        <v>1681</v>
      </c>
      <c r="C893" t="s">
        <v>1137</v>
      </c>
      <c r="D893" t="s">
        <v>1696</v>
      </c>
      <c r="E893" t="s">
        <v>1674</v>
      </c>
      <c r="F893" t="s">
        <v>97</v>
      </c>
      <c r="G893" t="s">
        <v>1685</v>
      </c>
      <c r="H893">
        <v>20</v>
      </c>
      <c r="I893">
        <v>2302.4699999999998</v>
      </c>
      <c r="J893">
        <v>46049.4</v>
      </c>
      <c r="AA893">
        <v>44964</v>
      </c>
      <c r="AB893" t="str">
        <v>Nishant</v>
      </c>
      <c r="AC893" t="str">
        <v>Surat</v>
      </c>
      <c r="AD893" t="str">
        <v>Gujarat</v>
      </c>
      <c r="AE893" t="str">
        <v>West</v>
      </c>
      <c r="AF893" t="str">
        <v>Clothing</v>
      </c>
      <c r="AG893" t="str">
        <v>Dress</v>
      </c>
      <c r="AH893">
        <v>20</v>
      </c>
      <c r="AI893">
        <v>2302.4699999999998</v>
      </c>
      <c r="AJ893">
        <v>46049.4</v>
      </c>
    </row>
    <row r="894" spans="1:36">
      <c r="A894" s="25">
        <v>44968</v>
      </c>
      <c r="B894" t="s">
        <v>1686</v>
      </c>
      <c r="C894" t="s">
        <v>1137</v>
      </c>
      <c r="D894" t="s">
        <v>1696</v>
      </c>
      <c r="E894" t="s">
        <v>1674</v>
      </c>
      <c r="F894" t="s">
        <v>97</v>
      </c>
      <c r="G894" t="s">
        <v>1685</v>
      </c>
      <c r="H894">
        <v>13</v>
      </c>
      <c r="I894">
        <v>3495.08</v>
      </c>
      <c r="J894">
        <v>45436.04</v>
      </c>
      <c r="AA894">
        <v>44968</v>
      </c>
      <c r="AB894" t="str">
        <v>Aditi</v>
      </c>
      <c r="AC894" t="str">
        <v>Surat</v>
      </c>
      <c r="AD894" t="str">
        <v>Gujarat</v>
      </c>
      <c r="AE894" t="str">
        <v>West</v>
      </c>
      <c r="AF894" t="str">
        <v>Clothing</v>
      </c>
      <c r="AG894" t="str">
        <v>Dress</v>
      </c>
      <c r="AH894">
        <v>13</v>
      </c>
      <c r="AI894">
        <v>3495.08</v>
      </c>
      <c r="AJ894">
        <v>45436.04</v>
      </c>
    </row>
    <row r="895" spans="1:36">
      <c r="A895" s="25">
        <v>45052</v>
      </c>
      <c r="B895" t="s">
        <v>1698</v>
      </c>
      <c r="C895" t="s">
        <v>1137</v>
      </c>
      <c r="D895" t="s">
        <v>1696</v>
      </c>
      <c r="E895" t="s">
        <v>1674</v>
      </c>
      <c r="F895" t="s">
        <v>97</v>
      </c>
      <c r="G895" t="s">
        <v>1711</v>
      </c>
      <c r="H895">
        <v>20</v>
      </c>
      <c r="I895">
        <v>2056.65</v>
      </c>
      <c r="J895">
        <v>41133</v>
      </c>
      <c r="AA895">
        <v>45052</v>
      </c>
      <c r="AB895" t="str">
        <v>Aryan</v>
      </c>
      <c r="AC895" t="str">
        <v>Surat</v>
      </c>
      <c r="AD895" t="str">
        <v>Gujarat</v>
      </c>
      <c r="AE895" t="str">
        <v>West</v>
      </c>
      <c r="AF895" t="str">
        <v>Clothing</v>
      </c>
      <c r="AG895" t="str">
        <v>Jacket</v>
      </c>
      <c r="AH895">
        <v>20</v>
      </c>
      <c r="AI895">
        <v>2056.65</v>
      </c>
      <c r="AJ895">
        <v>41133</v>
      </c>
    </row>
    <row r="896" spans="1:36">
      <c r="A896" s="25">
        <v>45063</v>
      </c>
      <c r="B896" t="s">
        <v>1681</v>
      </c>
      <c r="C896" t="s">
        <v>1137</v>
      </c>
      <c r="D896" t="s">
        <v>1696</v>
      </c>
      <c r="E896" t="s">
        <v>1674</v>
      </c>
      <c r="F896" t="s">
        <v>97</v>
      </c>
      <c r="G896" t="s">
        <v>1697</v>
      </c>
      <c r="H896">
        <v>17</v>
      </c>
      <c r="I896">
        <v>1720.9</v>
      </c>
      <c r="J896">
        <v>29255.3</v>
      </c>
      <c r="AA896">
        <v>45063</v>
      </c>
      <c r="AB896" t="str">
        <v>Nishant</v>
      </c>
      <c r="AC896" t="str">
        <v>Surat</v>
      </c>
      <c r="AD896" t="str">
        <v>Gujarat</v>
      </c>
      <c r="AE896" t="str">
        <v>West</v>
      </c>
      <c r="AF896" t="str">
        <v>Clothing</v>
      </c>
      <c r="AG896" t="str">
        <v>Pants</v>
      </c>
      <c r="AH896">
        <v>17</v>
      </c>
      <c r="AI896">
        <v>1720.9</v>
      </c>
      <c r="AJ896">
        <v>29255.3</v>
      </c>
    </row>
    <row r="897" spans="1:36">
      <c r="A897" s="25">
        <v>44981</v>
      </c>
      <c r="B897" t="s">
        <v>1694</v>
      </c>
      <c r="C897" t="s">
        <v>1137</v>
      </c>
      <c r="D897" t="s">
        <v>1696</v>
      </c>
      <c r="E897" t="s">
        <v>1674</v>
      </c>
      <c r="F897" t="s">
        <v>97</v>
      </c>
      <c r="G897" t="s">
        <v>1697</v>
      </c>
      <c r="H897">
        <v>3</v>
      </c>
      <c r="I897">
        <v>4157.17</v>
      </c>
      <c r="J897">
        <v>12471.51</v>
      </c>
      <c r="AA897">
        <v>44981</v>
      </c>
      <c r="AB897" t="str">
        <v>Riya</v>
      </c>
      <c r="AC897" t="str">
        <v>Surat</v>
      </c>
      <c r="AD897" t="str">
        <v>Gujarat</v>
      </c>
      <c r="AE897" t="str">
        <v>West</v>
      </c>
      <c r="AF897" t="str">
        <v>Clothing</v>
      </c>
      <c r="AG897" t="str">
        <v>Pants</v>
      </c>
      <c r="AH897">
        <v>3</v>
      </c>
      <c r="AI897">
        <v>4157.17</v>
      </c>
      <c r="AJ897">
        <v>12471.51</v>
      </c>
    </row>
    <row r="898" spans="1:36">
      <c r="A898" s="25">
        <v>45229</v>
      </c>
      <c r="B898" t="s">
        <v>1676</v>
      </c>
      <c r="C898" t="s">
        <v>1137</v>
      </c>
      <c r="D898" t="s">
        <v>1696</v>
      </c>
      <c r="E898" t="s">
        <v>1674</v>
      </c>
      <c r="F898" t="s">
        <v>97</v>
      </c>
      <c r="G898" t="s">
        <v>1697</v>
      </c>
      <c r="H898">
        <v>4</v>
      </c>
      <c r="I898">
        <v>2527.15</v>
      </c>
      <c r="J898">
        <v>10108.6</v>
      </c>
      <c r="AA898">
        <v>45229</v>
      </c>
      <c r="AB898" t="str">
        <v>Vihaan</v>
      </c>
      <c r="AC898" t="str">
        <v>Surat</v>
      </c>
      <c r="AD898" t="str">
        <v>Gujarat</v>
      </c>
      <c r="AE898" t="str">
        <v>West</v>
      </c>
      <c r="AF898" t="str">
        <v>Clothing</v>
      </c>
      <c r="AG898" t="str">
        <v>Pants</v>
      </c>
      <c r="AH898">
        <v>4</v>
      </c>
      <c r="AI898">
        <v>2527.15</v>
      </c>
      <c r="AJ898">
        <v>10108.6</v>
      </c>
    </row>
    <row r="899" spans="1:36">
      <c r="A899" s="25">
        <v>45140</v>
      </c>
      <c r="B899" t="s">
        <v>1705</v>
      </c>
      <c r="C899" t="s">
        <v>1137</v>
      </c>
      <c r="D899" t="s">
        <v>1696</v>
      </c>
      <c r="E899" t="s">
        <v>1674</v>
      </c>
      <c r="F899" t="s">
        <v>97</v>
      </c>
      <c r="G899" t="s">
        <v>1699</v>
      </c>
      <c r="H899">
        <v>7</v>
      </c>
      <c r="I899">
        <v>1319.32</v>
      </c>
      <c r="J899">
        <v>9235.24</v>
      </c>
      <c r="AA899">
        <v>45140</v>
      </c>
      <c r="AB899" t="str">
        <v>Kabir</v>
      </c>
      <c r="AC899" t="str">
        <v>Surat</v>
      </c>
      <c r="AD899" t="str">
        <v>Gujarat</v>
      </c>
      <c r="AE899" t="str">
        <v>West</v>
      </c>
      <c r="AF899" t="str">
        <v>Clothing</v>
      </c>
      <c r="AG899" t="str">
        <v>Shirt</v>
      </c>
      <c r="AH899">
        <v>7</v>
      </c>
      <c r="AI899">
        <v>1319.32</v>
      </c>
      <c r="AJ899">
        <v>9235.24</v>
      </c>
    </row>
    <row r="900" spans="1:36">
      <c r="A900" s="25">
        <v>45188</v>
      </c>
      <c r="B900" t="s">
        <v>1700</v>
      </c>
      <c r="C900" t="s">
        <v>1137</v>
      </c>
      <c r="D900" t="s">
        <v>1696</v>
      </c>
      <c r="E900" t="s">
        <v>1674</v>
      </c>
      <c r="F900" t="s">
        <v>97</v>
      </c>
      <c r="G900" t="s">
        <v>1697</v>
      </c>
      <c r="H900">
        <v>2</v>
      </c>
      <c r="I900">
        <v>3726.58</v>
      </c>
      <c r="J900">
        <v>7453.16</v>
      </c>
      <c r="AA900">
        <v>45188</v>
      </c>
      <c r="AB900" t="str">
        <v>Ananya</v>
      </c>
      <c r="AC900" t="str">
        <v>Surat</v>
      </c>
      <c r="AD900" t="str">
        <v>Gujarat</v>
      </c>
      <c r="AE900" t="str">
        <v>West</v>
      </c>
      <c r="AF900" t="str">
        <v>Clothing</v>
      </c>
      <c r="AG900" t="str">
        <v>Pants</v>
      </c>
      <c r="AH900">
        <v>2</v>
      </c>
      <c r="AI900">
        <v>3726.58</v>
      </c>
      <c r="AJ900">
        <v>7453.16</v>
      </c>
    </row>
    <row r="901" spans="1:36">
      <c r="A901" s="25">
        <v>45276</v>
      </c>
      <c r="B901" t="s">
        <v>1676</v>
      </c>
      <c r="C901" t="s">
        <v>1137</v>
      </c>
      <c r="D901" t="s">
        <v>1696</v>
      </c>
      <c r="E901" t="s">
        <v>1674</v>
      </c>
      <c r="F901" t="s">
        <v>97</v>
      </c>
      <c r="G901" t="s">
        <v>1685</v>
      </c>
      <c r="H901">
        <v>1</v>
      </c>
      <c r="I901">
        <v>3165.04</v>
      </c>
      <c r="J901">
        <v>3165.04</v>
      </c>
      <c r="AA901">
        <v>45276</v>
      </c>
      <c r="AB901" t="str">
        <v>Vihaan</v>
      </c>
      <c r="AC901" t="str">
        <v>Surat</v>
      </c>
      <c r="AD901" t="str">
        <v>Gujarat</v>
      </c>
      <c r="AE901" t="str">
        <v>West</v>
      </c>
      <c r="AF901" t="str">
        <v>Clothing</v>
      </c>
      <c r="AG901" t="str">
        <v>Dress</v>
      </c>
      <c r="AH901">
        <v>1</v>
      </c>
      <c r="AI901">
        <v>3165.04</v>
      </c>
      <c r="AJ901">
        <v>3165.04</v>
      </c>
    </row>
    <row r="902" spans="1:36">
      <c r="A902" s="25">
        <v>45055</v>
      </c>
      <c r="B902" t="s">
        <v>1689</v>
      </c>
      <c r="C902" t="s">
        <v>1137</v>
      </c>
      <c r="D902" t="s">
        <v>1696</v>
      </c>
      <c r="E902" t="s">
        <v>1674</v>
      </c>
      <c r="F902" t="s">
        <v>97</v>
      </c>
      <c r="G902" t="s">
        <v>1697</v>
      </c>
      <c r="H902">
        <v>10</v>
      </c>
      <c r="I902">
        <v>224.53</v>
      </c>
      <c r="J902">
        <v>2245.3000000000002</v>
      </c>
      <c r="AA902">
        <v>45055</v>
      </c>
      <c r="AB902" t="str">
        <v>Ishita</v>
      </c>
      <c r="AC902" t="str">
        <v>Surat</v>
      </c>
      <c r="AD902" t="str">
        <v>Gujarat</v>
      </c>
      <c r="AE902" t="str">
        <v>West</v>
      </c>
      <c r="AF902" t="str">
        <v>Clothing</v>
      </c>
      <c r="AG902" t="str">
        <v>Pants</v>
      </c>
      <c r="AH902">
        <v>10</v>
      </c>
      <c r="AI902">
        <v>224.53</v>
      </c>
      <c r="AJ902">
        <v>2245.3000000000002</v>
      </c>
    </row>
    <row r="903" spans="1:36">
      <c r="A903" s="25">
        <v>44988</v>
      </c>
      <c r="B903" t="s">
        <v>1700</v>
      </c>
      <c r="C903" t="s">
        <v>1137</v>
      </c>
      <c r="D903" t="s">
        <v>1696</v>
      </c>
      <c r="E903" t="s">
        <v>1674</v>
      </c>
      <c r="F903" t="s">
        <v>89</v>
      </c>
      <c r="G903" t="s">
        <v>1713</v>
      </c>
      <c r="H903">
        <v>18</v>
      </c>
      <c r="I903">
        <v>3916.11</v>
      </c>
      <c r="J903">
        <v>70489.98</v>
      </c>
      <c r="AA903">
        <v>44988</v>
      </c>
      <c r="AB903" t="str">
        <v>Ananya</v>
      </c>
      <c r="AC903" t="str">
        <v>Surat</v>
      </c>
      <c r="AD903" t="str">
        <v>Gujarat</v>
      </c>
      <c r="AE903" t="str">
        <v>West</v>
      </c>
      <c r="AF903" t="str">
        <v>Electronics</v>
      </c>
      <c r="AG903" t="str">
        <v>Smartphone</v>
      </c>
      <c r="AH903">
        <v>18</v>
      </c>
      <c r="AI903">
        <v>3916.11</v>
      </c>
      <c r="AJ903">
        <v>70489.98</v>
      </c>
    </row>
    <row r="904" spans="1:36">
      <c r="A904" s="25">
        <v>45095</v>
      </c>
      <c r="B904" t="s">
        <v>1700</v>
      </c>
      <c r="C904" t="s">
        <v>1137</v>
      </c>
      <c r="D904" t="s">
        <v>1696</v>
      </c>
      <c r="E904" t="s">
        <v>1674</v>
      </c>
      <c r="F904" t="s">
        <v>89</v>
      </c>
      <c r="G904" t="s">
        <v>1713</v>
      </c>
      <c r="H904">
        <v>8</v>
      </c>
      <c r="I904">
        <v>3971.12</v>
      </c>
      <c r="J904">
        <v>31768.959999999999</v>
      </c>
      <c r="AA904">
        <v>45095</v>
      </c>
      <c r="AB904" t="str">
        <v>Ananya</v>
      </c>
      <c r="AC904" t="str">
        <v>Surat</v>
      </c>
      <c r="AD904" t="str">
        <v>Gujarat</v>
      </c>
      <c r="AE904" t="str">
        <v>West</v>
      </c>
      <c r="AF904" t="str">
        <v>Electronics</v>
      </c>
      <c r="AG904" t="str">
        <v>Smartphone</v>
      </c>
      <c r="AH904">
        <v>8</v>
      </c>
      <c r="AI904">
        <v>3971.12</v>
      </c>
      <c r="AJ904">
        <v>31768.959999999999</v>
      </c>
    </row>
    <row r="905" spans="1:36">
      <c r="A905" s="25">
        <v>45205</v>
      </c>
      <c r="B905" t="s">
        <v>1698</v>
      </c>
      <c r="C905" t="s">
        <v>1137</v>
      </c>
      <c r="D905" t="s">
        <v>1696</v>
      </c>
      <c r="E905" t="s">
        <v>1674</v>
      </c>
      <c r="F905" t="s">
        <v>89</v>
      </c>
      <c r="G905" t="s">
        <v>1713</v>
      </c>
      <c r="H905">
        <v>5</v>
      </c>
      <c r="I905">
        <v>4106.79</v>
      </c>
      <c r="J905">
        <v>20533.95</v>
      </c>
      <c r="AA905">
        <v>45205</v>
      </c>
      <c r="AB905" t="str">
        <v>Aryan</v>
      </c>
      <c r="AC905" t="str">
        <v>Surat</v>
      </c>
      <c r="AD905" t="str">
        <v>Gujarat</v>
      </c>
      <c r="AE905" t="str">
        <v>West</v>
      </c>
      <c r="AF905" t="str">
        <v>Electronics</v>
      </c>
      <c r="AG905" t="str">
        <v>Smartphone</v>
      </c>
      <c r="AH905">
        <v>5</v>
      </c>
      <c r="AI905">
        <v>4106.79</v>
      </c>
      <c r="AJ905">
        <v>20533.95</v>
      </c>
    </row>
    <row r="906" spans="1:36">
      <c r="A906" s="25">
        <v>45244</v>
      </c>
      <c r="B906" t="s">
        <v>1705</v>
      </c>
      <c r="C906" t="s">
        <v>1137</v>
      </c>
      <c r="D906" t="s">
        <v>1696</v>
      </c>
      <c r="E906" t="s">
        <v>1674</v>
      </c>
      <c r="F906" t="s">
        <v>89</v>
      </c>
      <c r="G906" t="s">
        <v>1106</v>
      </c>
      <c r="H906">
        <v>5</v>
      </c>
      <c r="I906">
        <v>4096.54</v>
      </c>
      <c r="J906">
        <v>20482.7</v>
      </c>
      <c r="AA906">
        <v>45244</v>
      </c>
      <c r="AB906" t="str">
        <v>Kabir</v>
      </c>
      <c r="AC906" t="str">
        <v>Surat</v>
      </c>
      <c r="AD906" t="str">
        <v>Gujarat</v>
      </c>
      <c r="AE906" t="str">
        <v>West</v>
      </c>
      <c r="AF906" t="str">
        <v>Electronics</v>
      </c>
      <c r="AG906" t="str">
        <v>Laptop</v>
      </c>
      <c r="AH906">
        <v>5</v>
      </c>
      <c r="AI906">
        <v>4096.54</v>
      </c>
      <c r="AJ906">
        <v>20482.7</v>
      </c>
    </row>
    <row r="907" spans="1:36">
      <c r="A907" s="25">
        <v>45243</v>
      </c>
      <c r="B907" t="s">
        <v>1686</v>
      </c>
      <c r="C907" t="s">
        <v>1137</v>
      </c>
      <c r="D907" t="s">
        <v>1696</v>
      </c>
      <c r="E907" t="s">
        <v>1674</v>
      </c>
      <c r="F907" t="s">
        <v>89</v>
      </c>
      <c r="G907" t="s">
        <v>1106</v>
      </c>
      <c r="H907">
        <v>1</v>
      </c>
      <c r="I907">
        <v>2961.1</v>
      </c>
      <c r="J907">
        <v>2961.1</v>
      </c>
      <c r="AA907">
        <v>45243</v>
      </c>
      <c r="AB907" t="str">
        <v>Aditi</v>
      </c>
      <c r="AC907" t="str">
        <v>Surat</v>
      </c>
      <c r="AD907" t="str">
        <v>Gujarat</v>
      </c>
      <c r="AE907" t="str">
        <v>West</v>
      </c>
      <c r="AF907" t="str">
        <v>Electronics</v>
      </c>
      <c r="AG907" t="str">
        <v>Laptop</v>
      </c>
      <c r="AH907">
        <v>1</v>
      </c>
      <c r="AI907">
        <v>2961.1</v>
      </c>
      <c r="AJ907">
        <v>2961.1</v>
      </c>
    </row>
    <row r="908" spans="1:36">
      <c r="A908" s="25">
        <v>45033</v>
      </c>
      <c r="B908" t="s">
        <v>1694</v>
      </c>
      <c r="C908" t="s">
        <v>1137</v>
      </c>
      <c r="D908" t="s">
        <v>1696</v>
      </c>
      <c r="E908" t="s">
        <v>1674</v>
      </c>
      <c r="F908" t="s">
        <v>89</v>
      </c>
      <c r="G908" t="s">
        <v>1714</v>
      </c>
      <c r="H908">
        <v>2</v>
      </c>
      <c r="I908">
        <v>1417.87</v>
      </c>
      <c r="J908">
        <v>2835.74</v>
      </c>
      <c r="AA908">
        <v>45033</v>
      </c>
      <c r="AB908" t="str">
        <v>Riya</v>
      </c>
      <c r="AC908" t="str">
        <v>Surat</v>
      </c>
      <c r="AD908" t="str">
        <v>Gujarat</v>
      </c>
      <c r="AE908" t="str">
        <v>West</v>
      </c>
      <c r="AF908" t="str">
        <v>Electronics</v>
      </c>
      <c r="AG908" t="str">
        <v>Tablet</v>
      </c>
      <c r="AH908">
        <v>2</v>
      </c>
      <c r="AI908">
        <v>1417.87</v>
      </c>
      <c r="AJ908">
        <v>2835.74</v>
      </c>
    </row>
    <row r="909" spans="1:36">
      <c r="A909" s="25">
        <v>44950</v>
      </c>
      <c r="B909" t="s">
        <v>1698</v>
      </c>
      <c r="C909" t="s">
        <v>1137</v>
      </c>
      <c r="D909" t="s">
        <v>1696</v>
      </c>
      <c r="E909" t="s">
        <v>1674</v>
      </c>
      <c r="F909" t="s">
        <v>89</v>
      </c>
      <c r="G909" t="s">
        <v>1105</v>
      </c>
      <c r="H909">
        <v>8</v>
      </c>
      <c r="I909">
        <v>310.33</v>
      </c>
      <c r="J909">
        <v>2482.64</v>
      </c>
      <c r="AA909">
        <v>44950</v>
      </c>
      <c r="AB909" t="str">
        <v>Aryan</v>
      </c>
      <c r="AC909" t="str">
        <v>Surat</v>
      </c>
      <c r="AD909" t="str">
        <v>Gujarat</v>
      </c>
      <c r="AE909" t="str">
        <v>West</v>
      </c>
      <c r="AF909" t="str">
        <v>Electronics</v>
      </c>
      <c r="AG909" t="str">
        <v>Headphones</v>
      </c>
      <c r="AH909">
        <v>8</v>
      </c>
      <c r="AI909">
        <v>310.33</v>
      </c>
      <c r="AJ909">
        <v>2482.64</v>
      </c>
    </row>
    <row r="910" spans="1:36">
      <c r="A910" s="25">
        <v>45185</v>
      </c>
      <c r="B910" t="s">
        <v>1686</v>
      </c>
      <c r="C910" t="s">
        <v>1137</v>
      </c>
      <c r="D910" t="s">
        <v>1696</v>
      </c>
      <c r="E910" t="s">
        <v>1674</v>
      </c>
      <c r="F910" t="s">
        <v>89</v>
      </c>
      <c r="G910" t="s">
        <v>1106</v>
      </c>
      <c r="H910">
        <v>6</v>
      </c>
      <c r="I910">
        <v>297.27</v>
      </c>
      <c r="J910">
        <v>1783.62</v>
      </c>
      <c r="AA910">
        <v>45185</v>
      </c>
      <c r="AB910" t="str">
        <v>Aditi</v>
      </c>
      <c r="AC910" t="str">
        <v>Surat</v>
      </c>
      <c r="AD910" t="str">
        <v>Gujarat</v>
      </c>
      <c r="AE910" t="str">
        <v>West</v>
      </c>
      <c r="AF910" t="str">
        <v>Electronics</v>
      </c>
      <c r="AG910" t="str">
        <v>Laptop</v>
      </c>
      <c r="AH910">
        <v>6</v>
      </c>
      <c r="AI910">
        <v>297.27</v>
      </c>
      <c r="AJ910">
        <v>1783.62</v>
      </c>
    </row>
    <row r="911" spans="1:36">
      <c r="A911" s="25">
        <v>45157</v>
      </c>
      <c r="B911" t="s">
        <v>1671</v>
      </c>
      <c r="C911" t="s">
        <v>1137</v>
      </c>
      <c r="D911" t="s">
        <v>1696</v>
      </c>
      <c r="E911" t="s">
        <v>1674</v>
      </c>
      <c r="F911" t="s">
        <v>101</v>
      </c>
      <c r="G911" t="s">
        <v>1719</v>
      </c>
      <c r="H911">
        <v>14</v>
      </c>
      <c r="I911">
        <v>4793.38</v>
      </c>
      <c r="J911">
        <v>67107.320000000007</v>
      </c>
      <c r="AA911">
        <v>45157</v>
      </c>
      <c r="AB911" t="str">
        <v>Meera</v>
      </c>
      <c r="AC911" t="str">
        <v>Surat</v>
      </c>
      <c r="AD911" t="str">
        <v>Gujarat</v>
      </c>
      <c r="AE911" t="str">
        <v>West</v>
      </c>
      <c r="AF911" t="str">
        <v>Furniture</v>
      </c>
      <c r="AG911" t="str">
        <v>Chair</v>
      </c>
      <c r="AH911">
        <v>14</v>
      </c>
      <c r="AI911">
        <v>4793.38</v>
      </c>
      <c r="AJ911">
        <v>67107.320000000007</v>
      </c>
    </row>
    <row r="912" spans="1:36">
      <c r="A912" s="25">
        <v>45244</v>
      </c>
      <c r="B912" t="s">
        <v>1698</v>
      </c>
      <c r="C912" t="s">
        <v>1137</v>
      </c>
      <c r="D912" t="s">
        <v>1696</v>
      </c>
      <c r="E912" t="s">
        <v>1674</v>
      </c>
      <c r="F912" t="s">
        <v>101</v>
      </c>
      <c r="G912" t="s">
        <v>1715</v>
      </c>
      <c r="H912">
        <v>17</v>
      </c>
      <c r="I912">
        <v>3421.31</v>
      </c>
      <c r="J912">
        <v>58162.27</v>
      </c>
      <c r="AA912">
        <v>45244</v>
      </c>
      <c r="AB912" t="str">
        <v>Aryan</v>
      </c>
      <c r="AC912" t="str">
        <v>Surat</v>
      </c>
      <c r="AD912" t="str">
        <v>Gujarat</v>
      </c>
      <c r="AE912" t="str">
        <v>West</v>
      </c>
      <c r="AF912" t="str">
        <v>Furniture</v>
      </c>
      <c r="AG912" t="str">
        <v>Sofa</v>
      </c>
      <c r="AH912">
        <v>17</v>
      </c>
      <c r="AI912">
        <v>3421.31</v>
      </c>
      <c r="AJ912">
        <v>58162.27</v>
      </c>
    </row>
    <row r="913" spans="1:36">
      <c r="A913" s="25">
        <v>45254</v>
      </c>
      <c r="B913" t="s">
        <v>1671</v>
      </c>
      <c r="C913" t="s">
        <v>1137</v>
      </c>
      <c r="D913" t="s">
        <v>1696</v>
      </c>
      <c r="E913" t="s">
        <v>1674</v>
      </c>
      <c r="F913" t="s">
        <v>101</v>
      </c>
      <c r="G913" t="s">
        <v>1719</v>
      </c>
      <c r="H913">
        <v>11</v>
      </c>
      <c r="I913">
        <v>1451.86</v>
      </c>
      <c r="J913">
        <v>15970.46</v>
      </c>
      <c r="AA913">
        <v>45254</v>
      </c>
      <c r="AB913" t="str">
        <v>Meera</v>
      </c>
      <c r="AC913" t="str">
        <v>Surat</v>
      </c>
      <c r="AD913" t="str">
        <v>Gujarat</v>
      </c>
      <c r="AE913" t="str">
        <v>West</v>
      </c>
      <c r="AF913" t="str">
        <v>Furniture</v>
      </c>
      <c r="AG913" t="str">
        <v>Chair</v>
      </c>
      <c r="AH913">
        <v>11</v>
      </c>
      <c r="AI913">
        <v>1451.86</v>
      </c>
      <c r="AJ913">
        <v>15970.46</v>
      </c>
    </row>
    <row r="914" spans="1:36">
      <c r="A914" s="25">
        <v>45081</v>
      </c>
      <c r="B914" t="s">
        <v>1692</v>
      </c>
      <c r="C914" t="s">
        <v>1137</v>
      </c>
      <c r="D914" t="s">
        <v>1696</v>
      </c>
      <c r="E914" t="s">
        <v>1674</v>
      </c>
      <c r="F914" t="s">
        <v>101</v>
      </c>
      <c r="G914" t="s">
        <v>1715</v>
      </c>
      <c r="H914">
        <v>15</v>
      </c>
      <c r="I914">
        <v>1063.8800000000001</v>
      </c>
      <c r="J914">
        <v>15958.2</v>
      </c>
      <c r="AA914">
        <v>45081</v>
      </c>
      <c r="AB914" t="str">
        <v>Aarav</v>
      </c>
      <c r="AC914" t="str">
        <v>Surat</v>
      </c>
      <c r="AD914" t="str">
        <v>Gujarat</v>
      </c>
      <c r="AE914" t="str">
        <v>West</v>
      </c>
      <c r="AF914" t="str">
        <v>Furniture</v>
      </c>
      <c r="AG914" t="str">
        <v>Sofa</v>
      </c>
      <c r="AH914">
        <v>15</v>
      </c>
      <c r="AI914">
        <v>1063.8800000000001</v>
      </c>
      <c r="AJ914">
        <v>15958.2</v>
      </c>
    </row>
    <row r="915" spans="1:36">
      <c r="A915" s="25">
        <v>44930</v>
      </c>
      <c r="B915" t="s">
        <v>1694</v>
      </c>
      <c r="C915" t="s">
        <v>1137</v>
      </c>
      <c r="D915" t="s">
        <v>1696</v>
      </c>
      <c r="E915" t="s">
        <v>1674</v>
      </c>
      <c r="F915" t="s">
        <v>101</v>
      </c>
      <c r="G915" t="s">
        <v>1675</v>
      </c>
      <c r="H915">
        <v>3</v>
      </c>
      <c r="I915">
        <v>2205.6</v>
      </c>
      <c r="J915">
        <v>6616.8</v>
      </c>
      <c r="AA915">
        <v>44930</v>
      </c>
      <c r="AB915" t="str">
        <v>Riya</v>
      </c>
      <c r="AC915" t="str">
        <v>Surat</v>
      </c>
      <c r="AD915" t="str">
        <v>Gujarat</v>
      </c>
      <c r="AE915" t="str">
        <v>West</v>
      </c>
      <c r="AF915" t="str">
        <v>Furniture</v>
      </c>
      <c r="AG915" t="str">
        <v>Table</v>
      </c>
      <c r="AH915">
        <v>3</v>
      </c>
      <c r="AI915">
        <v>2205.6</v>
      </c>
      <c r="AJ915">
        <v>6616.8</v>
      </c>
    </row>
    <row r="916" spans="1:36">
      <c r="A916" s="25">
        <v>45113</v>
      </c>
      <c r="B916" t="s">
        <v>1676</v>
      </c>
      <c r="C916" t="s">
        <v>1137</v>
      </c>
      <c r="D916" t="s">
        <v>1696</v>
      </c>
      <c r="E916" t="s">
        <v>1674</v>
      </c>
      <c r="F916" t="s">
        <v>101</v>
      </c>
      <c r="G916" t="s">
        <v>1675</v>
      </c>
      <c r="H916">
        <v>6</v>
      </c>
      <c r="I916">
        <v>1003.96</v>
      </c>
      <c r="J916">
        <v>6023.76</v>
      </c>
      <c r="AA916">
        <v>45113</v>
      </c>
      <c r="AB916" t="str">
        <v>Vihaan</v>
      </c>
      <c r="AC916" t="str">
        <v>Surat</v>
      </c>
      <c r="AD916" t="str">
        <v>Gujarat</v>
      </c>
      <c r="AE916" t="str">
        <v>West</v>
      </c>
      <c r="AF916" t="str">
        <v>Furniture</v>
      </c>
      <c r="AG916" t="str">
        <v>Table</v>
      </c>
      <c r="AH916">
        <v>6</v>
      </c>
      <c r="AI916">
        <v>1003.96</v>
      </c>
      <c r="AJ916">
        <v>6023.76</v>
      </c>
    </row>
    <row r="917" spans="1:36">
      <c r="A917" s="25">
        <v>44935</v>
      </c>
      <c r="B917" t="s">
        <v>1686</v>
      </c>
      <c r="C917" t="s">
        <v>1137</v>
      </c>
      <c r="D917" t="s">
        <v>1696</v>
      </c>
      <c r="E917" t="s">
        <v>1674</v>
      </c>
      <c r="F917" t="s">
        <v>1687</v>
      </c>
      <c r="G917" t="s">
        <v>1708</v>
      </c>
      <c r="H917">
        <v>13</v>
      </c>
      <c r="I917">
        <v>4331.5</v>
      </c>
      <c r="J917">
        <v>56309.5</v>
      </c>
      <c r="AA917">
        <v>44935</v>
      </c>
      <c r="AB917" t="str">
        <v>Aditi</v>
      </c>
      <c r="AC917" t="str">
        <v>Surat</v>
      </c>
      <c r="AD917" t="str">
        <v>Gujarat</v>
      </c>
      <c r="AE917" t="str">
        <v>West</v>
      </c>
      <c r="AF917" t="str">
        <v>Groceries</v>
      </c>
      <c r="AG917" t="str">
        <v>Sugar</v>
      </c>
      <c r="AH917">
        <v>13</v>
      </c>
      <c r="AI917">
        <v>4331.5</v>
      </c>
      <c r="AJ917">
        <v>56309.5</v>
      </c>
    </row>
    <row r="918" spans="1:36">
      <c r="A918" s="25">
        <v>45026</v>
      </c>
      <c r="B918" t="s">
        <v>1689</v>
      </c>
      <c r="C918" t="s">
        <v>1137</v>
      </c>
      <c r="D918" t="s">
        <v>1696</v>
      </c>
      <c r="E918" t="s">
        <v>1674</v>
      </c>
      <c r="F918" t="s">
        <v>1687</v>
      </c>
      <c r="G918" t="s">
        <v>1708</v>
      </c>
      <c r="H918">
        <v>18</v>
      </c>
      <c r="I918">
        <v>2825.07</v>
      </c>
      <c r="J918">
        <v>50851.26</v>
      </c>
      <c r="AA918">
        <v>45026</v>
      </c>
      <c r="AB918" t="str">
        <v>Ishita</v>
      </c>
      <c r="AC918" t="str">
        <v>Surat</v>
      </c>
      <c r="AD918" t="str">
        <v>Gujarat</v>
      </c>
      <c r="AE918" t="str">
        <v>West</v>
      </c>
      <c r="AF918" t="str">
        <v>Groceries</v>
      </c>
      <c r="AG918" t="str">
        <v>Sugar</v>
      </c>
      <c r="AH918">
        <v>18</v>
      </c>
      <c r="AI918">
        <v>2825.07</v>
      </c>
      <c r="AJ918">
        <v>50851.26</v>
      </c>
    </row>
    <row r="919" spans="1:36">
      <c r="A919" s="25">
        <v>45192</v>
      </c>
      <c r="B919" t="s">
        <v>1676</v>
      </c>
      <c r="C919" t="s">
        <v>1137</v>
      </c>
      <c r="D919" t="s">
        <v>1696</v>
      </c>
      <c r="E919" t="s">
        <v>1674</v>
      </c>
      <c r="F919" t="s">
        <v>1687</v>
      </c>
      <c r="G919" t="s">
        <v>1688</v>
      </c>
      <c r="H919">
        <v>9</v>
      </c>
      <c r="I919">
        <v>4639.93</v>
      </c>
      <c r="J919">
        <v>41759.370000000003</v>
      </c>
      <c r="AA919">
        <v>45192</v>
      </c>
      <c r="AB919" t="str">
        <v>Vihaan</v>
      </c>
      <c r="AC919" t="str">
        <v>Surat</v>
      </c>
      <c r="AD919" t="str">
        <v>Gujarat</v>
      </c>
      <c r="AE919" t="str">
        <v>West</v>
      </c>
      <c r="AF919" t="str">
        <v>Groceries</v>
      </c>
      <c r="AG919" t="str">
        <v>Lentils</v>
      </c>
      <c r="AH919">
        <v>9</v>
      </c>
      <c r="AI919">
        <v>4639.93</v>
      </c>
      <c r="AJ919">
        <v>41759.370000000003</v>
      </c>
    </row>
    <row r="920" spans="1:36">
      <c r="A920" s="25">
        <v>45136</v>
      </c>
      <c r="B920" t="s">
        <v>1681</v>
      </c>
      <c r="C920" t="s">
        <v>1137</v>
      </c>
      <c r="D920" t="s">
        <v>1696</v>
      </c>
      <c r="E920" t="s">
        <v>1674</v>
      </c>
      <c r="F920" t="s">
        <v>1687</v>
      </c>
      <c r="G920" t="s">
        <v>1708</v>
      </c>
      <c r="H920">
        <v>14</v>
      </c>
      <c r="I920">
        <v>2764.71</v>
      </c>
      <c r="J920">
        <v>38705.94</v>
      </c>
      <c r="AA920">
        <v>45136</v>
      </c>
      <c r="AB920" t="str">
        <v>Nishant</v>
      </c>
      <c r="AC920" t="str">
        <v>Surat</v>
      </c>
      <c r="AD920" t="str">
        <v>Gujarat</v>
      </c>
      <c r="AE920" t="str">
        <v>West</v>
      </c>
      <c r="AF920" t="str">
        <v>Groceries</v>
      </c>
      <c r="AG920" t="str">
        <v>Sugar</v>
      </c>
      <c r="AH920">
        <v>14</v>
      </c>
      <c r="AI920">
        <v>2764.71</v>
      </c>
      <c r="AJ920">
        <v>38705.94</v>
      </c>
    </row>
    <row r="921" spans="1:36">
      <c r="A921" s="25">
        <v>45172</v>
      </c>
      <c r="B921" t="s">
        <v>1698</v>
      </c>
      <c r="C921" t="s">
        <v>1137</v>
      </c>
      <c r="D921" t="s">
        <v>1696</v>
      </c>
      <c r="E921" t="s">
        <v>1674</v>
      </c>
      <c r="F921" t="s">
        <v>1687</v>
      </c>
      <c r="G921" t="s">
        <v>1710</v>
      </c>
      <c r="H921">
        <v>11</v>
      </c>
      <c r="I921">
        <v>2951.18</v>
      </c>
      <c r="J921">
        <v>32462.98</v>
      </c>
      <c r="AA921">
        <v>45172</v>
      </c>
      <c r="AB921" t="str">
        <v>Aryan</v>
      </c>
      <c r="AC921" t="str">
        <v>Surat</v>
      </c>
      <c r="AD921" t="str">
        <v>Gujarat</v>
      </c>
      <c r="AE921" t="str">
        <v>West</v>
      </c>
      <c r="AF921" t="str">
        <v>Groceries</v>
      </c>
      <c r="AG921" t="str">
        <v>Oil</v>
      </c>
      <c r="AH921">
        <v>11</v>
      </c>
      <c r="AI921">
        <v>2951.18</v>
      </c>
      <c r="AJ921">
        <v>32462.98</v>
      </c>
    </row>
    <row r="922" spans="1:36">
      <c r="A922" s="25">
        <v>45134</v>
      </c>
      <c r="B922" t="s">
        <v>1686</v>
      </c>
      <c r="C922" t="s">
        <v>1137</v>
      </c>
      <c r="D922" t="s">
        <v>1696</v>
      </c>
      <c r="E922" t="s">
        <v>1674</v>
      </c>
      <c r="F922" t="s">
        <v>1687</v>
      </c>
      <c r="G922" t="s">
        <v>1708</v>
      </c>
      <c r="H922">
        <v>7</v>
      </c>
      <c r="I922">
        <v>4116.9799999999996</v>
      </c>
      <c r="J922">
        <v>28818.86</v>
      </c>
      <c r="AA922">
        <v>45134</v>
      </c>
      <c r="AB922" t="str">
        <v>Aditi</v>
      </c>
      <c r="AC922" t="str">
        <v>Surat</v>
      </c>
      <c r="AD922" t="str">
        <v>Gujarat</v>
      </c>
      <c r="AE922" t="str">
        <v>West</v>
      </c>
      <c r="AF922" t="str">
        <v>Groceries</v>
      </c>
      <c r="AG922" t="str">
        <v>Sugar</v>
      </c>
      <c r="AH922">
        <v>7</v>
      </c>
      <c r="AI922">
        <v>4116.9799999999996</v>
      </c>
      <c r="AJ922">
        <v>28818.86</v>
      </c>
    </row>
    <row r="923" spans="1:36">
      <c r="A923" s="25">
        <v>45237</v>
      </c>
      <c r="B923" t="s">
        <v>1686</v>
      </c>
      <c r="C923" t="s">
        <v>1137</v>
      </c>
      <c r="D923" t="s">
        <v>1696</v>
      </c>
      <c r="E923" t="s">
        <v>1674</v>
      </c>
      <c r="F923" t="s">
        <v>1687</v>
      </c>
      <c r="G923" t="s">
        <v>1704</v>
      </c>
      <c r="H923">
        <v>18</v>
      </c>
      <c r="I923">
        <v>1297.93</v>
      </c>
      <c r="J923">
        <v>23362.74</v>
      </c>
      <c r="AA923">
        <v>45237</v>
      </c>
      <c r="AB923" t="str">
        <v>Aditi</v>
      </c>
      <c r="AC923" t="str">
        <v>Surat</v>
      </c>
      <c r="AD923" t="str">
        <v>Gujarat</v>
      </c>
      <c r="AE923" t="str">
        <v>West</v>
      </c>
      <c r="AF923" t="str">
        <v>Groceries</v>
      </c>
      <c r="AG923" t="str">
        <v>Rice</v>
      </c>
      <c r="AH923">
        <v>18</v>
      </c>
      <c r="AI923">
        <v>1297.93</v>
      </c>
      <c r="AJ923">
        <v>23362.74</v>
      </c>
    </row>
    <row r="924" spans="1:36">
      <c r="A924" s="25">
        <v>45025</v>
      </c>
      <c r="B924" t="s">
        <v>1705</v>
      </c>
      <c r="C924" t="s">
        <v>1137</v>
      </c>
      <c r="D924" t="s">
        <v>1696</v>
      </c>
      <c r="E924" t="s">
        <v>1674</v>
      </c>
      <c r="F924" t="s">
        <v>1687</v>
      </c>
      <c r="G924" t="s">
        <v>1710</v>
      </c>
      <c r="H924">
        <v>8</v>
      </c>
      <c r="I924">
        <v>2519.3000000000002</v>
      </c>
      <c r="J924">
        <v>20154.400000000001</v>
      </c>
      <c r="AA924">
        <v>45025</v>
      </c>
      <c r="AB924" t="str">
        <v>Kabir</v>
      </c>
      <c r="AC924" t="str">
        <v>Surat</v>
      </c>
      <c r="AD924" t="str">
        <v>Gujarat</v>
      </c>
      <c r="AE924" t="str">
        <v>West</v>
      </c>
      <c r="AF924" t="str">
        <v>Groceries</v>
      </c>
      <c r="AG924" t="str">
        <v>Oil</v>
      </c>
      <c r="AH924">
        <v>8</v>
      </c>
      <c r="AI924">
        <v>2519.3000000000002</v>
      </c>
      <c r="AJ924">
        <v>20154.400000000001</v>
      </c>
    </row>
    <row r="925" spans="1:36">
      <c r="A925" s="25">
        <v>45115</v>
      </c>
      <c r="B925" t="s">
        <v>1681</v>
      </c>
      <c r="C925" t="s">
        <v>1137</v>
      </c>
      <c r="D925" t="s">
        <v>1696</v>
      </c>
      <c r="E925" t="s">
        <v>1674</v>
      </c>
      <c r="F925" t="s">
        <v>1687</v>
      </c>
      <c r="G925" t="s">
        <v>1708</v>
      </c>
      <c r="H925">
        <v>4</v>
      </c>
      <c r="I925">
        <v>3214.1</v>
      </c>
      <c r="J925">
        <v>12856.4</v>
      </c>
      <c r="AA925">
        <v>45115</v>
      </c>
      <c r="AB925" t="str">
        <v>Nishant</v>
      </c>
      <c r="AC925" t="str">
        <v>Surat</v>
      </c>
      <c r="AD925" t="str">
        <v>Gujarat</v>
      </c>
      <c r="AE925" t="str">
        <v>West</v>
      </c>
      <c r="AF925" t="str">
        <v>Groceries</v>
      </c>
      <c r="AG925" t="str">
        <v>Sugar</v>
      </c>
      <c r="AH925">
        <v>4</v>
      </c>
      <c r="AI925">
        <v>3214.1</v>
      </c>
      <c r="AJ925">
        <v>12856.4</v>
      </c>
    </row>
    <row r="926" spans="1:36">
      <c r="A926" s="25">
        <v>44952</v>
      </c>
      <c r="B926" t="s">
        <v>1705</v>
      </c>
      <c r="C926" t="s">
        <v>1137</v>
      </c>
      <c r="D926" t="s">
        <v>1696</v>
      </c>
      <c r="E926" t="s">
        <v>1674</v>
      </c>
      <c r="F926" t="s">
        <v>1687</v>
      </c>
      <c r="G926" t="s">
        <v>1688</v>
      </c>
      <c r="H926">
        <v>14</v>
      </c>
      <c r="I926">
        <v>705.15</v>
      </c>
      <c r="J926">
        <v>9872.1</v>
      </c>
      <c r="AA926">
        <v>44952</v>
      </c>
      <c r="AB926" t="str">
        <v>Kabir</v>
      </c>
      <c r="AC926" t="str">
        <v>Surat</v>
      </c>
      <c r="AD926" t="str">
        <v>Gujarat</v>
      </c>
      <c r="AE926" t="str">
        <v>West</v>
      </c>
      <c r="AF926" t="str">
        <v>Groceries</v>
      </c>
      <c r="AG926" t="str">
        <v>Lentils</v>
      </c>
      <c r="AH926">
        <v>14</v>
      </c>
      <c r="AI926">
        <v>705.15</v>
      </c>
      <c r="AJ926">
        <v>9872.1</v>
      </c>
    </row>
    <row r="927" spans="1:36">
      <c r="A927" s="25">
        <v>44981</v>
      </c>
      <c r="B927" t="s">
        <v>1689</v>
      </c>
      <c r="C927" t="s">
        <v>1137</v>
      </c>
      <c r="D927" t="s">
        <v>1696</v>
      </c>
      <c r="E927" t="s">
        <v>1674</v>
      </c>
      <c r="F927" t="s">
        <v>1687</v>
      </c>
      <c r="G927" t="s">
        <v>1704</v>
      </c>
      <c r="H927">
        <v>3</v>
      </c>
      <c r="I927">
        <v>2738.83</v>
      </c>
      <c r="J927">
        <v>8216.49</v>
      </c>
      <c r="AA927">
        <v>44981</v>
      </c>
      <c r="AB927" t="str">
        <v>Ishita</v>
      </c>
      <c r="AC927" t="str">
        <v>Surat</v>
      </c>
      <c r="AD927" t="str">
        <v>Gujarat</v>
      </c>
      <c r="AE927" t="str">
        <v>West</v>
      </c>
      <c r="AF927" t="str">
        <v>Groceries</v>
      </c>
      <c r="AG927" t="str">
        <v>Rice</v>
      </c>
      <c r="AH927">
        <v>3</v>
      </c>
      <c r="AI927">
        <v>2738.83</v>
      </c>
      <c r="AJ927">
        <v>8216.49</v>
      </c>
    </row>
    <row r="928" spans="1:36">
      <c r="A928" s="25">
        <v>45077</v>
      </c>
      <c r="B928" t="s">
        <v>1671</v>
      </c>
      <c r="C928" t="s">
        <v>1137</v>
      </c>
      <c r="D928" t="s">
        <v>1696</v>
      </c>
      <c r="E928" t="s">
        <v>1674</v>
      </c>
      <c r="F928" t="s">
        <v>1687</v>
      </c>
      <c r="G928" t="s">
        <v>1688</v>
      </c>
      <c r="H928">
        <v>2</v>
      </c>
      <c r="I928">
        <v>3106.64</v>
      </c>
      <c r="J928">
        <v>6213.28</v>
      </c>
      <c r="AA928">
        <v>45077</v>
      </c>
      <c r="AB928" t="str">
        <v>Meera</v>
      </c>
      <c r="AC928" t="str">
        <v>Surat</v>
      </c>
      <c r="AD928" t="str">
        <v>Gujarat</v>
      </c>
      <c r="AE928" t="str">
        <v>West</v>
      </c>
      <c r="AF928" t="str">
        <v>Groceries</v>
      </c>
      <c r="AG928" t="str">
        <v>Lentils</v>
      </c>
      <c r="AH928">
        <v>2</v>
      </c>
      <c r="AI928">
        <v>3106.64</v>
      </c>
      <c r="AJ928">
        <v>6213.28</v>
      </c>
    </row>
    <row r="929" spans="1:36">
      <c r="A929" s="25">
        <v>45173</v>
      </c>
      <c r="B929" t="s">
        <v>1689</v>
      </c>
      <c r="C929" t="s">
        <v>1137</v>
      </c>
      <c r="D929" t="s">
        <v>1696</v>
      </c>
      <c r="E929" t="s">
        <v>1674</v>
      </c>
      <c r="F929" t="s">
        <v>1687</v>
      </c>
      <c r="G929" t="s">
        <v>1708</v>
      </c>
      <c r="H929">
        <v>2</v>
      </c>
      <c r="I929">
        <v>2713.34</v>
      </c>
      <c r="J929">
        <v>5426.68</v>
      </c>
      <c r="AA929">
        <v>45173</v>
      </c>
      <c r="AB929" t="str">
        <v>Ishita</v>
      </c>
      <c r="AC929" t="str">
        <v>Surat</v>
      </c>
      <c r="AD929" t="str">
        <v>Gujarat</v>
      </c>
      <c r="AE929" t="str">
        <v>West</v>
      </c>
      <c r="AF929" t="str">
        <v>Groceries</v>
      </c>
      <c r="AG929" t="str">
        <v>Sugar</v>
      </c>
      <c r="AH929">
        <v>2</v>
      </c>
      <c r="AI929">
        <v>2713.34</v>
      </c>
      <c r="AJ929">
        <v>5426.68</v>
      </c>
    </row>
    <row r="930" spans="1:36">
      <c r="A930" s="25">
        <v>45242</v>
      </c>
      <c r="B930" t="s">
        <v>1681</v>
      </c>
      <c r="C930" t="s">
        <v>1137</v>
      </c>
      <c r="D930" t="s">
        <v>1696</v>
      </c>
      <c r="E930" t="s">
        <v>1674</v>
      </c>
      <c r="F930" t="s">
        <v>1687</v>
      </c>
      <c r="G930" t="s">
        <v>1710</v>
      </c>
      <c r="H930">
        <v>14</v>
      </c>
      <c r="I930">
        <v>367.1</v>
      </c>
      <c r="J930">
        <v>5139.3999999999996</v>
      </c>
      <c r="AA930">
        <v>45242</v>
      </c>
      <c r="AB930" t="str">
        <v>Nishant</v>
      </c>
      <c r="AC930" t="str">
        <v>Surat</v>
      </c>
      <c r="AD930" t="str">
        <v>Gujarat</v>
      </c>
      <c r="AE930" t="str">
        <v>West</v>
      </c>
      <c r="AF930" t="str">
        <v>Groceries</v>
      </c>
      <c r="AG930" t="str">
        <v>Oil</v>
      </c>
      <c r="AH930">
        <v>14</v>
      </c>
      <c r="AI930">
        <v>367.1</v>
      </c>
      <c r="AJ930">
        <v>5139.3999999999996</v>
      </c>
    </row>
    <row r="931" spans="1:36">
      <c r="A931" s="25">
        <v>45031</v>
      </c>
      <c r="B931" t="s">
        <v>1671</v>
      </c>
      <c r="C931" t="s">
        <v>1137</v>
      </c>
      <c r="D931" t="s">
        <v>1696</v>
      </c>
      <c r="E931" t="s">
        <v>1674</v>
      </c>
      <c r="F931" t="s">
        <v>1687</v>
      </c>
      <c r="G931" t="s">
        <v>1710</v>
      </c>
      <c r="H931">
        <v>1</v>
      </c>
      <c r="I931">
        <v>1495.61</v>
      </c>
      <c r="J931">
        <v>1495.61</v>
      </c>
      <c r="AA931">
        <v>45031</v>
      </c>
      <c r="AB931" t="str">
        <v>Meera</v>
      </c>
      <c r="AC931" t="str">
        <v>Surat</v>
      </c>
      <c r="AD931" t="str">
        <v>Gujarat</v>
      </c>
      <c r="AE931" t="str">
        <v>West</v>
      </c>
      <c r="AF931" t="str">
        <v>Groceries</v>
      </c>
      <c r="AG931" t="str">
        <v>Oil</v>
      </c>
      <c r="AH931">
        <v>1</v>
      </c>
      <c r="AI931">
        <v>1495.61</v>
      </c>
      <c r="AJ931">
        <v>1495.61</v>
      </c>
    </row>
    <row r="932" spans="1:36">
      <c r="A932" s="25">
        <v>44951</v>
      </c>
      <c r="B932" t="s">
        <v>1671</v>
      </c>
      <c r="C932" t="s">
        <v>1137</v>
      </c>
      <c r="D932" t="s">
        <v>1696</v>
      </c>
      <c r="E932" t="s">
        <v>1674</v>
      </c>
      <c r="F932" t="s">
        <v>1687</v>
      </c>
      <c r="G932" t="s">
        <v>1710</v>
      </c>
      <c r="H932">
        <v>4</v>
      </c>
      <c r="I932">
        <v>328.82</v>
      </c>
      <c r="J932">
        <v>1315.28</v>
      </c>
      <c r="AA932">
        <v>44951</v>
      </c>
      <c r="AB932" t="str">
        <v>Meera</v>
      </c>
      <c r="AC932" t="str">
        <v>Surat</v>
      </c>
      <c r="AD932" t="str">
        <v>Gujarat</v>
      </c>
      <c r="AE932" t="str">
        <v>West</v>
      </c>
      <c r="AF932" t="str">
        <v>Groceries</v>
      </c>
      <c r="AG932" t="str">
        <v>Oil</v>
      </c>
      <c r="AH932">
        <v>4</v>
      </c>
      <c r="AI932">
        <v>328.82</v>
      </c>
      <c r="AJ932">
        <v>1315.28</v>
      </c>
    </row>
    <row r="933" spans="1:36">
      <c r="A933" s="25">
        <v>45190</v>
      </c>
      <c r="B933" t="s">
        <v>1671</v>
      </c>
      <c r="C933" t="s">
        <v>1137</v>
      </c>
      <c r="D933" t="s">
        <v>1696</v>
      </c>
      <c r="E933" t="s">
        <v>1674</v>
      </c>
      <c r="F933" t="s">
        <v>114</v>
      </c>
      <c r="G933" t="s">
        <v>1680</v>
      </c>
      <c r="H933">
        <v>18</v>
      </c>
      <c r="I933">
        <v>4150.7700000000004</v>
      </c>
      <c r="J933">
        <v>74713.86</v>
      </c>
      <c r="AA933">
        <v>45190</v>
      </c>
      <c r="AB933" t="str">
        <v>Meera</v>
      </c>
      <c r="AC933" t="str">
        <v>Surat</v>
      </c>
      <c r="AD933" t="str">
        <v>Gujarat</v>
      </c>
      <c r="AE933" t="str">
        <v>West</v>
      </c>
      <c r="AF933" t="str">
        <v>Stationery</v>
      </c>
      <c r="AG933" t="str">
        <v>Ruler</v>
      </c>
      <c r="AH933">
        <v>18</v>
      </c>
      <c r="AI933">
        <v>4150.7700000000004</v>
      </c>
      <c r="AJ933">
        <v>74713.86</v>
      </c>
    </row>
    <row r="934" spans="1:36">
      <c r="A934" s="25">
        <v>44993</v>
      </c>
      <c r="B934" t="s">
        <v>1705</v>
      </c>
      <c r="C934" t="s">
        <v>1137</v>
      </c>
      <c r="D934" t="s">
        <v>1696</v>
      </c>
      <c r="E934" t="s">
        <v>1674</v>
      </c>
      <c r="F934" t="s">
        <v>114</v>
      </c>
      <c r="G934" t="s">
        <v>1718</v>
      </c>
      <c r="H934">
        <v>11</v>
      </c>
      <c r="I934">
        <v>4890.92</v>
      </c>
      <c r="J934">
        <v>53800.12</v>
      </c>
      <c r="AA934">
        <v>44993</v>
      </c>
      <c r="AB934" t="str">
        <v>Kabir</v>
      </c>
      <c r="AC934" t="str">
        <v>Surat</v>
      </c>
      <c r="AD934" t="str">
        <v>Gujarat</v>
      </c>
      <c r="AE934" t="str">
        <v>West</v>
      </c>
      <c r="AF934" t="str">
        <v>Stationery</v>
      </c>
      <c r="AG934" t="str">
        <v>Notebook</v>
      </c>
      <c r="AH934">
        <v>11</v>
      </c>
      <c r="AI934">
        <v>4890.92</v>
      </c>
      <c r="AJ934">
        <v>53800.12</v>
      </c>
    </row>
    <row r="935" spans="1:36">
      <c r="A935" s="25">
        <v>44979</v>
      </c>
      <c r="B935" t="s">
        <v>1671</v>
      </c>
      <c r="C935" t="s">
        <v>1137</v>
      </c>
      <c r="D935" t="s">
        <v>1696</v>
      </c>
      <c r="E935" t="s">
        <v>1674</v>
      </c>
      <c r="F935" t="s">
        <v>114</v>
      </c>
      <c r="G935" t="s">
        <v>1718</v>
      </c>
      <c r="H935">
        <v>19</v>
      </c>
      <c r="I935">
        <v>2199.3200000000002</v>
      </c>
      <c r="J935">
        <v>41787.08</v>
      </c>
      <c r="AA935">
        <v>44979</v>
      </c>
      <c r="AB935" t="str">
        <v>Meera</v>
      </c>
      <c r="AC935" t="str">
        <v>Surat</v>
      </c>
      <c r="AD935" t="str">
        <v>Gujarat</v>
      </c>
      <c r="AE935" t="str">
        <v>West</v>
      </c>
      <c r="AF935" t="str">
        <v>Stationery</v>
      </c>
      <c r="AG935" t="str">
        <v>Notebook</v>
      </c>
      <c r="AH935">
        <v>19</v>
      </c>
      <c r="AI935">
        <v>2199.3200000000002</v>
      </c>
      <c r="AJ935">
        <v>41787.08</v>
      </c>
    </row>
    <row r="936" spans="1:36">
      <c r="A936" s="25">
        <v>45145</v>
      </c>
      <c r="B936" t="s">
        <v>1671</v>
      </c>
      <c r="C936" t="s">
        <v>1137</v>
      </c>
      <c r="D936" t="s">
        <v>1696</v>
      </c>
      <c r="E936" t="s">
        <v>1674</v>
      </c>
      <c r="F936" t="s">
        <v>114</v>
      </c>
      <c r="G936" t="s">
        <v>1712</v>
      </c>
      <c r="H936">
        <v>11</v>
      </c>
      <c r="I936">
        <v>3687.73</v>
      </c>
      <c r="J936">
        <v>40565.03</v>
      </c>
      <c r="AA936">
        <v>45145</v>
      </c>
      <c r="AB936" t="str">
        <v>Meera</v>
      </c>
      <c r="AC936" t="str">
        <v>Surat</v>
      </c>
      <c r="AD936" t="str">
        <v>Gujarat</v>
      </c>
      <c r="AE936" t="str">
        <v>West</v>
      </c>
      <c r="AF936" t="str">
        <v>Stationery</v>
      </c>
      <c r="AG936" t="str">
        <v>Pen</v>
      </c>
      <c r="AH936">
        <v>11</v>
      </c>
      <c r="AI936">
        <v>3687.73</v>
      </c>
      <c r="AJ936">
        <v>40565.03</v>
      </c>
    </row>
    <row r="937" spans="1:36">
      <c r="A937" s="25">
        <v>45263</v>
      </c>
      <c r="B937" t="s">
        <v>1698</v>
      </c>
      <c r="C937" t="s">
        <v>1137</v>
      </c>
      <c r="D937" t="s">
        <v>1696</v>
      </c>
      <c r="E937" t="s">
        <v>1674</v>
      </c>
      <c r="F937" t="s">
        <v>114</v>
      </c>
      <c r="G937" t="s">
        <v>1718</v>
      </c>
      <c r="H937">
        <v>19</v>
      </c>
      <c r="I937">
        <v>2016.56</v>
      </c>
      <c r="J937">
        <v>38314.639999999999</v>
      </c>
      <c r="AA937">
        <v>45263</v>
      </c>
      <c r="AB937" t="str">
        <v>Aryan</v>
      </c>
      <c r="AC937" t="str">
        <v>Surat</v>
      </c>
      <c r="AD937" t="str">
        <v>Gujarat</v>
      </c>
      <c r="AE937" t="str">
        <v>West</v>
      </c>
      <c r="AF937" t="str">
        <v>Stationery</v>
      </c>
      <c r="AG937" t="str">
        <v>Notebook</v>
      </c>
      <c r="AH937">
        <v>19</v>
      </c>
      <c r="AI937">
        <v>2016.56</v>
      </c>
      <c r="AJ937">
        <v>38314.639999999999</v>
      </c>
    </row>
    <row r="938" spans="1:36">
      <c r="A938" s="25">
        <v>45173</v>
      </c>
      <c r="B938" t="s">
        <v>1698</v>
      </c>
      <c r="C938" t="s">
        <v>1137</v>
      </c>
      <c r="D938" t="s">
        <v>1696</v>
      </c>
      <c r="E938" t="s">
        <v>1674</v>
      </c>
      <c r="F938" t="s">
        <v>114</v>
      </c>
      <c r="G938" t="s">
        <v>1691</v>
      </c>
      <c r="H938">
        <v>13</v>
      </c>
      <c r="I938">
        <v>2669.5</v>
      </c>
      <c r="J938">
        <v>34703.5</v>
      </c>
      <c r="AA938">
        <v>45173</v>
      </c>
      <c r="AB938" t="str">
        <v>Aryan</v>
      </c>
      <c r="AC938" t="str">
        <v>Surat</v>
      </c>
      <c r="AD938" t="str">
        <v>Gujarat</v>
      </c>
      <c r="AE938" t="str">
        <v>West</v>
      </c>
      <c r="AF938" t="str">
        <v>Stationery</v>
      </c>
      <c r="AG938" t="str">
        <v>Eraser</v>
      </c>
      <c r="AH938">
        <v>13</v>
      </c>
      <c r="AI938">
        <v>2669.5</v>
      </c>
      <c r="AJ938">
        <v>34703.5</v>
      </c>
    </row>
    <row r="939" spans="1:36">
      <c r="A939" s="25">
        <v>45138</v>
      </c>
      <c r="B939" t="s">
        <v>1698</v>
      </c>
      <c r="C939" t="s">
        <v>1137</v>
      </c>
      <c r="D939" t="s">
        <v>1696</v>
      </c>
      <c r="E939" t="s">
        <v>1674</v>
      </c>
      <c r="F939" t="s">
        <v>114</v>
      </c>
      <c r="G939" t="s">
        <v>1691</v>
      </c>
      <c r="H939">
        <v>10</v>
      </c>
      <c r="I939">
        <v>3400.28</v>
      </c>
      <c r="J939">
        <v>34002.800000000003</v>
      </c>
      <c r="AA939">
        <v>45138</v>
      </c>
      <c r="AB939" t="str">
        <v>Aryan</v>
      </c>
      <c r="AC939" t="str">
        <v>Surat</v>
      </c>
      <c r="AD939" t="str">
        <v>Gujarat</v>
      </c>
      <c r="AE939" t="str">
        <v>West</v>
      </c>
      <c r="AF939" t="str">
        <v>Stationery</v>
      </c>
      <c r="AG939" t="str">
        <v>Eraser</v>
      </c>
      <c r="AH939">
        <v>10</v>
      </c>
      <c r="AI939">
        <v>3400.28</v>
      </c>
      <c r="AJ939">
        <v>34002.800000000003</v>
      </c>
    </row>
    <row r="940" spans="1:36">
      <c r="A940" s="25">
        <v>45106</v>
      </c>
      <c r="B940" t="s">
        <v>1692</v>
      </c>
      <c r="C940" t="s">
        <v>1137</v>
      </c>
      <c r="D940" t="s">
        <v>1696</v>
      </c>
      <c r="E940" t="s">
        <v>1674</v>
      </c>
      <c r="F940" t="s">
        <v>114</v>
      </c>
      <c r="G940" t="s">
        <v>1691</v>
      </c>
      <c r="H940">
        <v>12</v>
      </c>
      <c r="I940">
        <v>2290.7600000000002</v>
      </c>
      <c r="J940">
        <v>27489.119999999999</v>
      </c>
      <c r="AA940">
        <v>45106</v>
      </c>
      <c r="AB940" t="str">
        <v>Aarav</v>
      </c>
      <c r="AC940" t="str">
        <v>Surat</v>
      </c>
      <c r="AD940" t="str">
        <v>Gujarat</v>
      </c>
      <c r="AE940" t="str">
        <v>West</v>
      </c>
      <c r="AF940" t="str">
        <v>Stationery</v>
      </c>
      <c r="AG940" t="str">
        <v>Eraser</v>
      </c>
      <c r="AH940">
        <v>12</v>
      </c>
      <c r="AI940">
        <v>2290.7600000000002</v>
      </c>
      <c r="AJ940">
        <v>27489.119999999999</v>
      </c>
    </row>
    <row r="941" spans="1:36">
      <c r="A941" s="25">
        <v>45142</v>
      </c>
      <c r="B941" t="s">
        <v>1676</v>
      </c>
      <c r="C941" t="s">
        <v>1137</v>
      </c>
      <c r="D941" t="s">
        <v>1696</v>
      </c>
      <c r="E941" t="s">
        <v>1674</v>
      </c>
      <c r="F941" t="s">
        <v>114</v>
      </c>
      <c r="G941" t="s">
        <v>1718</v>
      </c>
      <c r="H941">
        <v>19</v>
      </c>
      <c r="I941">
        <v>1372.28</v>
      </c>
      <c r="J941">
        <v>26073.32</v>
      </c>
      <c r="AA941">
        <v>45142</v>
      </c>
      <c r="AB941" t="str">
        <v>Vihaan</v>
      </c>
      <c r="AC941" t="str">
        <v>Surat</v>
      </c>
      <c r="AD941" t="str">
        <v>Gujarat</v>
      </c>
      <c r="AE941" t="str">
        <v>West</v>
      </c>
      <c r="AF941" t="str">
        <v>Stationery</v>
      </c>
      <c r="AG941" t="str">
        <v>Notebook</v>
      </c>
      <c r="AH941">
        <v>19</v>
      </c>
      <c r="AI941">
        <v>1372.28</v>
      </c>
      <c r="AJ941">
        <v>26073.32</v>
      </c>
    </row>
    <row r="942" spans="1:36">
      <c r="A942" s="25">
        <v>45176</v>
      </c>
      <c r="B942" t="s">
        <v>1686</v>
      </c>
      <c r="C942" t="s">
        <v>1137</v>
      </c>
      <c r="D942" t="s">
        <v>1696</v>
      </c>
      <c r="E942" t="s">
        <v>1674</v>
      </c>
      <c r="F942" t="s">
        <v>114</v>
      </c>
      <c r="G942" t="s">
        <v>1712</v>
      </c>
      <c r="H942">
        <v>16</v>
      </c>
      <c r="I942">
        <v>1473.98</v>
      </c>
      <c r="J942">
        <v>23583.68</v>
      </c>
      <c r="AA942">
        <v>45176</v>
      </c>
      <c r="AB942" t="str">
        <v>Aditi</v>
      </c>
      <c r="AC942" t="str">
        <v>Surat</v>
      </c>
      <c r="AD942" t="str">
        <v>Gujarat</v>
      </c>
      <c r="AE942" t="str">
        <v>West</v>
      </c>
      <c r="AF942" t="str">
        <v>Stationery</v>
      </c>
      <c r="AG942" t="str">
        <v>Pen</v>
      </c>
      <c r="AH942">
        <v>16</v>
      </c>
      <c r="AI942">
        <v>1473.98</v>
      </c>
      <c r="AJ942">
        <v>23583.68</v>
      </c>
    </row>
    <row r="943" spans="1:36">
      <c r="A943" s="25">
        <v>45279</v>
      </c>
      <c r="B943" t="s">
        <v>1671</v>
      </c>
      <c r="C943" t="s">
        <v>1137</v>
      </c>
      <c r="D943" t="s">
        <v>1696</v>
      </c>
      <c r="E943" t="s">
        <v>1674</v>
      </c>
      <c r="F943" t="s">
        <v>114</v>
      </c>
      <c r="G943" t="s">
        <v>1680</v>
      </c>
      <c r="H943">
        <v>11</v>
      </c>
      <c r="I943">
        <v>2038.9</v>
      </c>
      <c r="J943">
        <v>22427.9</v>
      </c>
      <c r="AA943">
        <v>45279</v>
      </c>
      <c r="AB943" t="str">
        <v>Meera</v>
      </c>
      <c r="AC943" t="str">
        <v>Surat</v>
      </c>
      <c r="AD943" t="str">
        <v>Gujarat</v>
      </c>
      <c r="AE943" t="str">
        <v>West</v>
      </c>
      <c r="AF943" t="str">
        <v>Stationery</v>
      </c>
      <c r="AG943" t="str">
        <v>Ruler</v>
      </c>
      <c r="AH943">
        <v>11</v>
      </c>
      <c r="AI943">
        <v>2038.9</v>
      </c>
      <c r="AJ943">
        <v>22427.9</v>
      </c>
    </row>
    <row r="944" spans="1:36">
      <c r="A944" s="25">
        <v>45072</v>
      </c>
      <c r="B944" t="s">
        <v>1689</v>
      </c>
      <c r="C944" t="s">
        <v>1137</v>
      </c>
      <c r="D944" t="s">
        <v>1696</v>
      </c>
      <c r="E944" t="s">
        <v>1674</v>
      </c>
      <c r="F944" t="s">
        <v>114</v>
      </c>
      <c r="G944" t="s">
        <v>1712</v>
      </c>
      <c r="H944">
        <v>19</v>
      </c>
      <c r="I944">
        <v>1003.13</v>
      </c>
      <c r="J944">
        <v>19059.47</v>
      </c>
      <c r="AA944">
        <v>45072</v>
      </c>
      <c r="AB944" t="str">
        <v>Ishita</v>
      </c>
      <c r="AC944" t="str">
        <v>Surat</v>
      </c>
      <c r="AD944" t="str">
        <v>Gujarat</v>
      </c>
      <c r="AE944" t="str">
        <v>West</v>
      </c>
      <c r="AF944" t="str">
        <v>Stationery</v>
      </c>
      <c r="AG944" t="str">
        <v>Pen</v>
      </c>
      <c r="AH944">
        <v>19</v>
      </c>
      <c r="AI944">
        <v>1003.13</v>
      </c>
      <c r="AJ944">
        <v>19059.47</v>
      </c>
    </row>
    <row r="945" spans="1:36">
      <c r="A945" s="25">
        <v>45217</v>
      </c>
      <c r="B945" t="s">
        <v>1694</v>
      </c>
      <c r="C945" t="s">
        <v>1137</v>
      </c>
      <c r="D945" t="s">
        <v>1696</v>
      </c>
      <c r="E945" t="s">
        <v>1674</v>
      </c>
      <c r="F945" t="s">
        <v>114</v>
      </c>
      <c r="G945" t="s">
        <v>1712</v>
      </c>
      <c r="H945">
        <v>7</v>
      </c>
      <c r="I945">
        <v>560.58000000000004</v>
      </c>
      <c r="J945">
        <v>3924.06</v>
      </c>
      <c r="AA945">
        <v>45217</v>
      </c>
      <c r="AB945" t="str">
        <v>Riya</v>
      </c>
      <c r="AC945" t="str">
        <v>Surat</v>
      </c>
      <c r="AD945" t="str">
        <v>Gujarat</v>
      </c>
      <c r="AE945" t="str">
        <v>West</v>
      </c>
      <c r="AF945" t="str">
        <v>Stationery</v>
      </c>
      <c r="AG945" t="str">
        <v>Pen</v>
      </c>
      <c r="AH945">
        <v>7</v>
      </c>
      <c r="AI945">
        <v>560.58000000000004</v>
      </c>
      <c r="AJ945">
        <v>3924.06</v>
      </c>
    </row>
    <row r="946" spans="1:36">
      <c r="A946" s="25">
        <v>45225</v>
      </c>
      <c r="B946" t="s">
        <v>1681</v>
      </c>
      <c r="C946" t="s">
        <v>1137</v>
      </c>
      <c r="D946" t="s">
        <v>1696</v>
      </c>
      <c r="E946" t="s">
        <v>1674</v>
      </c>
      <c r="F946" t="s">
        <v>114</v>
      </c>
      <c r="G946" t="s">
        <v>1691</v>
      </c>
      <c r="H946">
        <v>4</v>
      </c>
      <c r="I946">
        <v>900.33</v>
      </c>
      <c r="J946">
        <v>3601.32</v>
      </c>
      <c r="AA946">
        <v>45225</v>
      </c>
      <c r="AB946" t="str">
        <v>Nishant</v>
      </c>
      <c r="AC946" t="str">
        <v>Surat</v>
      </c>
      <c r="AD946" t="str">
        <v>Gujarat</v>
      </c>
      <c r="AE946" t="str">
        <v>West</v>
      </c>
      <c r="AF946" t="str">
        <v>Stationery</v>
      </c>
      <c r="AG946" t="str">
        <v>Eraser</v>
      </c>
      <c r="AH946">
        <v>4</v>
      </c>
      <c r="AI946">
        <v>900.33</v>
      </c>
      <c r="AJ946">
        <v>3601.32</v>
      </c>
    </row>
    <row r="947" spans="1:36">
      <c r="A947" s="25">
        <v>44985</v>
      </c>
      <c r="B947" t="s">
        <v>1686</v>
      </c>
      <c r="C947" t="s">
        <v>1137</v>
      </c>
      <c r="D947" t="s">
        <v>1696</v>
      </c>
      <c r="E947" t="s">
        <v>1674</v>
      </c>
      <c r="F947" t="s">
        <v>114</v>
      </c>
      <c r="G947" t="s">
        <v>1680</v>
      </c>
      <c r="H947">
        <v>7</v>
      </c>
      <c r="I947">
        <v>146.52000000000001</v>
      </c>
      <c r="J947">
        <v>1025.6400000000001</v>
      </c>
      <c r="AA947">
        <v>44985</v>
      </c>
      <c r="AB947" t="str">
        <v>Aditi</v>
      </c>
      <c r="AC947" t="str">
        <v>Surat</v>
      </c>
      <c r="AD947" t="str">
        <v>Gujarat</v>
      </c>
      <c r="AE947" t="str">
        <v>West</v>
      </c>
      <c r="AF947" t="str">
        <v>Stationery</v>
      </c>
      <c r="AG947" t="str">
        <v>Ruler</v>
      </c>
      <c r="AH947">
        <v>7</v>
      </c>
      <c r="AI947">
        <v>146.52000000000001</v>
      </c>
      <c r="AJ947">
        <v>1025.6400000000001</v>
      </c>
    </row>
    <row r="948" spans="1:36">
      <c r="A948" s="25">
        <v>45099</v>
      </c>
      <c r="B948" t="s">
        <v>1676</v>
      </c>
      <c r="C948" t="s">
        <v>1717</v>
      </c>
      <c r="D948" t="s">
        <v>1696</v>
      </c>
      <c r="E948" t="s">
        <v>1674</v>
      </c>
      <c r="F948" t="s">
        <v>97</v>
      </c>
      <c r="G948" t="s">
        <v>1685</v>
      </c>
      <c r="H948">
        <v>19</v>
      </c>
      <c r="I948">
        <v>3648.27</v>
      </c>
      <c r="J948">
        <v>69317.13</v>
      </c>
      <c r="AA948">
        <v>45099</v>
      </c>
      <c r="AB948" t="str">
        <v>Vihaan</v>
      </c>
      <c r="AC948" t="str">
        <v>Vadodara</v>
      </c>
      <c r="AD948" t="str">
        <v>Gujarat</v>
      </c>
      <c r="AE948" t="str">
        <v>West</v>
      </c>
      <c r="AF948" t="str">
        <v>Clothing</v>
      </c>
      <c r="AG948" t="str">
        <v>Dress</v>
      </c>
      <c r="AH948">
        <v>19</v>
      </c>
      <c r="AI948">
        <v>3648.27</v>
      </c>
      <c r="AJ948">
        <v>69317.13</v>
      </c>
    </row>
    <row r="949" spans="1:36">
      <c r="A949" s="25">
        <v>45098</v>
      </c>
      <c r="B949" t="s">
        <v>1692</v>
      </c>
      <c r="C949" t="s">
        <v>1717</v>
      </c>
      <c r="D949" t="s">
        <v>1696</v>
      </c>
      <c r="E949" t="s">
        <v>1674</v>
      </c>
      <c r="F949" t="s">
        <v>97</v>
      </c>
      <c r="G949" t="s">
        <v>1685</v>
      </c>
      <c r="H949">
        <v>8</v>
      </c>
      <c r="I949">
        <v>4658.57</v>
      </c>
      <c r="J949">
        <v>37268.559999999998</v>
      </c>
      <c r="AA949">
        <v>45098</v>
      </c>
      <c r="AB949" t="str">
        <v>Aarav</v>
      </c>
      <c r="AC949" t="str">
        <v>Vadodara</v>
      </c>
      <c r="AD949" t="str">
        <v>Gujarat</v>
      </c>
      <c r="AE949" t="str">
        <v>West</v>
      </c>
      <c r="AF949" t="str">
        <v>Clothing</v>
      </c>
      <c r="AG949" t="str">
        <v>Dress</v>
      </c>
      <c r="AH949">
        <v>8</v>
      </c>
      <c r="AI949">
        <v>4658.57</v>
      </c>
      <c r="AJ949">
        <v>37268.559999999998</v>
      </c>
    </row>
    <row r="950" spans="1:36">
      <c r="A950" s="25">
        <v>45257</v>
      </c>
      <c r="B950" t="s">
        <v>1676</v>
      </c>
      <c r="C950" t="s">
        <v>1717</v>
      </c>
      <c r="D950" t="s">
        <v>1696</v>
      </c>
      <c r="E950" t="s">
        <v>1674</v>
      </c>
      <c r="F950" t="s">
        <v>97</v>
      </c>
      <c r="G950" t="s">
        <v>1711</v>
      </c>
      <c r="H950">
        <v>11</v>
      </c>
      <c r="I950">
        <v>3277.74</v>
      </c>
      <c r="J950">
        <v>36055.14</v>
      </c>
      <c r="AA950">
        <v>45257</v>
      </c>
      <c r="AB950" t="str">
        <v>Vihaan</v>
      </c>
      <c r="AC950" t="str">
        <v>Vadodara</v>
      </c>
      <c r="AD950" t="str">
        <v>Gujarat</v>
      </c>
      <c r="AE950" t="str">
        <v>West</v>
      </c>
      <c r="AF950" t="str">
        <v>Clothing</v>
      </c>
      <c r="AG950" t="str">
        <v>Jacket</v>
      </c>
      <c r="AH950">
        <v>11</v>
      </c>
      <c r="AI950">
        <v>3277.74</v>
      </c>
      <c r="AJ950">
        <v>36055.14</v>
      </c>
    </row>
    <row r="951" spans="1:36">
      <c r="A951" s="25">
        <v>45147</v>
      </c>
      <c r="B951" t="s">
        <v>1689</v>
      </c>
      <c r="C951" t="s">
        <v>1717</v>
      </c>
      <c r="D951" t="s">
        <v>1696</v>
      </c>
      <c r="E951" t="s">
        <v>1674</v>
      </c>
      <c r="F951" t="s">
        <v>97</v>
      </c>
      <c r="G951" t="s">
        <v>1697</v>
      </c>
      <c r="H951">
        <v>18</v>
      </c>
      <c r="I951">
        <v>1582.02</v>
      </c>
      <c r="J951">
        <v>28476.36</v>
      </c>
      <c r="AA951">
        <v>45147</v>
      </c>
      <c r="AB951" t="str">
        <v>Ishita</v>
      </c>
      <c r="AC951" t="str">
        <v>Vadodara</v>
      </c>
      <c r="AD951" t="str">
        <v>Gujarat</v>
      </c>
      <c r="AE951" t="str">
        <v>West</v>
      </c>
      <c r="AF951" t="str">
        <v>Clothing</v>
      </c>
      <c r="AG951" t="str">
        <v>Pants</v>
      </c>
      <c r="AH951">
        <v>18</v>
      </c>
      <c r="AI951">
        <v>1582.02</v>
      </c>
      <c r="AJ951">
        <v>28476.36</v>
      </c>
    </row>
    <row r="952" spans="1:36">
      <c r="A952" s="25">
        <v>45261</v>
      </c>
      <c r="B952" t="s">
        <v>1698</v>
      </c>
      <c r="C952" t="s">
        <v>1717</v>
      </c>
      <c r="D952" t="s">
        <v>1696</v>
      </c>
      <c r="E952" t="s">
        <v>1674</v>
      </c>
      <c r="F952" t="s">
        <v>97</v>
      </c>
      <c r="G952" t="s">
        <v>1697</v>
      </c>
      <c r="H952">
        <v>6</v>
      </c>
      <c r="I952">
        <v>4508.3</v>
      </c>
      <c r="J952">
        <v>27049.8</v>
      </c>
      <c r="AA952">
        <v>45261</v>
      </c>
      <c r="AB952" t="str">
        <v>Aryan</v>
      </c>
      <c r="AC952" t="str">
        <v>Vadodara</v>
      </c>
      <c r="AD952" t="str">
        <v>Gujarat</v>
      </c>
      <c r="AE952" t="str">
        <v>West</v>
      </c>
      <c r="AF952" t="str">
        <v>Clothing</v>
      </c>
      <c r="AG952" t="str">
        <v>Pants</v>
      </c>
      <c r="AH952">
        <v>6</v>
      </c>
      <c r="AI952">
        <v>4508.3</v>
      </c>
      <c r="AJ952">
        <v>27049.8</v>
      </c>
    </row>
    <row r="953" spans="1:36">
      <c r="A953" s="25">
        <v>45141</v>
      </c>
      <c r="B953" t="s">
        <v>1698</v>
      </c>
      <c r="C953" t="s">
        <v>1717</v>
      </c>
      <c r="D953" t="s">
        <v>1696</v>
      </c>
      <c r="E953" t="s">
        <v>1674</v>
      </c>
      <c r="F953" t="s">
        <v>97</v>
      </c>
      <c r="G953" t="s">
        <v>1685</v>
      </c>
      <c r="H953">
        <v>6</v>
      </c>
      <c r="I953">
        <v>3617.81</v>
      </c>
      <c r="J953">
        <v>21706.86</v>
      </c>
      <c r="AA953">
        <v>45141</v>
      </c>
      <c r="AB953" t="str">
        <v>Aryan</v>
      </c>
      <c r="AC953" t="str">
        <v>Vadodara</v>
      </c>
      <c r="AD953" t="str">
        <v>Gujarat</v>
      </c>
      <c r="AE953" t="str">
        <v>West</v>
      </c>
      <c r="AF953" t="str">
        <v>Clothing</v>
      </c>
      <c r="AG953" t="str">
        <v>Dress</v>
      </c>
      <c r="AH953">
        <v>6</v>
      </c>
      <c r="AI953">
        <v>3617.81</v>
      </c>
      <c r="AJ953">
        <v>21706.86</v>
      </c>
    </row>
    <row r="954" spans="1:36">
      <c r="A954" s="25">
        <v>45070</v>
      </c>
      <c r="B954" t="s">
        <v>1689</v>
      </c>
      <c r="C954" t="s">
        <v>1717</v>
      </c>
      <c r="D954" t="s">
        <v>1696</v>
      </c>
      <c r="E954" t="s">
        <v>1674</v>
      </c>
      <c r="F954" t="s">
        <v>97</v>
      </c>
      <c r="G954" t="s">
        <v>1699</v>
      </c>
      <c r="H954">
        <v>8</v>
      </c>
      <c r="I954">
        <v>2663.16</v>
      </c>
      <c r="J954">
        <v>21305.279999999999</v>
      </c>
      <c r="AA954">
        <v>45070</v>
      </c>
      <c r="AB954" t="str">
        <v>Ishita</v>
      </c>
      <c r="AC954" t="str">
        <v>Vadodara</v>
      </c>
      <c r="AD954" t="str">
        <v>Gujarat</v>
      </c>
      <c r="AE954" t="str">
        <v>West</v>
      </c>
      <c r="AF954" t="str">
        <v>Clothing</v>
      </c>
      <c r="AG954" t="str">
        <v>Shirt</v>
      </c>
      <c r="AH954">
        <v>8</v>
      </c>
      <c r="AI954">
        <v>2663.16</v>
      </c>
      <c r="AJ954">
        <v>21305.279999999999</v>
      </c>
    </row>
    <row r="955" spans="1:36">
      <c r="A955" s="25">
        <v>45106</v>
      </c>
      <c r="B955" t="s">
        <v>1694</v>
      </c>
      <c r="C955" t="s">
        <v>1717</v>
      </c>
      <c r="D955" t="s">
        <v>1696</v>
      </c>
      <c r="E955" t="s">
        <v>1674</v>
      </c>
      <c r="F955" t="s">
        <v>97</v>
      </c>
      <c r="G955" t="s">
        <v>1699</v>
      </c>
      <c r="H955">
        <v>3</v>
      </c>
      <c r="I955">
        <v>3838.25</v>
      </c>
      <c r="J955">
        <v>11514.75</v>
      </c>
      <c r="AA955">
        <v>45106</v>
      </c>
      <c r="AB955" t="str">
        <v>Riya</v>
      </c>
      <c r="AC955" t="str">
        <v>Vadodara</v>
      </c>
      <c r="AD955" t="str">
        <v>Gujarat</v>
      </c>
      <c r="AE955" t="str">
        <v>West</v>
      </c>
      <c r="AF955" t="str">
        <v>Clothing</v>
      </c>
      <c r="AG955" t="str">
        <v>Shirt</v>
      </c>
      <c r="AH955">
        <v>3</v>
      </c>
      <c r="AI955">
        <v>3838.25</v>
      </c>
      <c r="AJ955">
        <v>11514.75</v>
      </c>
    </row>
    <row r="956" spans="1:36">
      <c r="A956" s="25">
        <v>45029</v>
      </c>
      <c r="B956" t="s">
        <v>1698</v>
      </c>
      <c r="C956" t="s">
        <v>1717</v>
      </c>
      <c r="D956" t="s">
        <v>1696</v>
      </c>
      <c r="E956" t="s">
        <v>1674</v>
      </c>
      <c r="F956" t="s">
        <v>97</v>
      </c>
      <c r="G956" t="s">
        <v>1711</v>
      </c>
      <c r="H956">
        <v>8</v>
      </c>
      <c r="I956">
        <v>826.71</v>
      </c>
      <c r="J956">
        <v>6613.68</v>
      </c>
      <c r="AA956">
        <v>45029</v>
      </c>
      <c r="AB956" t="str">
        <v>Aryan</v>
      </c>
      <c r="AC956" t="str">
        <v>Vadodara</v>
      </c>
      <c r="AD956" t="str">
        <v>Gujarat</v>
      </c>
      <c r="AE956" t="str">
        <v>West</v>
      </c>
      <c r="AF956" t="str">
        <v>Clothing</v>
      </c>
      <c r="AG956" t="str">
        <v>Jacket</v>
      </c>
      <c r="AH956">
        <v>8</v>
      </c>
      <c r="AI956">
        <v>826.71</v>
      </c>
      <c r="AJ956">
        <v>6613.68</v>
      </c>
    </row>
    <row r="957" spans="1:36">
      <c r="A957" s="25">
        <v>44936</v>
      </c>
      <c r="B957" t="s">
        <v>1671</v>
      </c>
      <c r="C957" t="s">
        <v>1717</v>
      </c>
      <c r="D957" t="s">
        <v>1696</v>
      </c>
      <c r="E957" t="s">
        <v>1674</v>
      </c>
      <c r="F957" t="s">
        <v>97</v>
      </c>
      <c r="G957" t="s">
        <v>1685</v>
      </c>
      <c r="H957">
        <v>15</v>
      </c>
      <c r="I957">
        <v>359.4</v>
      </c>
      <c r="J957">
        <v>5391</v>
      </c>
      <c r="AA957">
        <v>44936</v>
      </c>
      <c r="AB957" t="str">
        <v>Meera</v>
      </c>
      <c r="AC957" t="str">
        <v>Vadodara</v>
      </c>
      <c r="AD957" t="str">
        <v>Gujarat</v>
      </c>
      <c r="AE957" t="str">
        <v>West</v>
      </c>
      <c r="AF957" t="str">
        <v>Clothing</v>
      </c>
      <c r="AG957" t="str">
        <v>Dress</v>
      </c>
      <c r="AH957">
        <v>15</v>
      </c>
      <c r="AI957">
        <v>359.4</v>
      </c>
      <c r="AJ957">
        <v>5391</v>
      </c>
    </row>
    <row r="958" spans="1:36">
      <c r="A958" s="25">
        <v>45195</v>
      </c>
      <c r="B958" t="s">
        <v>1676</v>
      </c>
      <c r="C958" t="s">
        <v>1717</v>
      </c>
      <c r="D958" t="s">
        <v>1696</v>
      </c>
      <c r="E958" t="s">
        <v>1674</v>
      </c>
      <c r="F958" t="s">
        <v>97</v>
      </c>
      <c r="G958" t="s">
        <v>1697</v>
      </c>
      <c r="H958">
        <v>1</v>
      </c>
      <c r="I958">
        <v>2970.66</v>
      </c>
      <c r="J958">
        <v>2970.66</v>
      </c>
      <c r="AA958">
        <v>45195</v>
      </c>
      <c r="AB958" t="str">
        <v>Vihaan</v>
      </c>
      <c r="AC958" t="str">
        <v>Vadodara</v>
      </c>
      <c r="AD958" t="str">
        <v>Gujarat</v>
      </c>
      <c r="AE958" t="str">
        <v>West</v>
      </c>
      <c r="AF958" t="str">
        <v>Clothing</v>
      </c>
      <c r="AG958" t="str">
        <v>Pants</v>
      </c>
      <c r="AH958">
        <v>1</v>
      </c>
      <c r="AI958">
        <v>2970.66</v>
      </c>
      <c r="AJ958">
        <v>2970.66</v>
      </c>
    </row>
    <row r="959" spans="1:36">
      <c r="A959" s="25">
        <v>45132</v>
      </c>
      <c r="B959" t="s">
        <v>1681</v>
      </c>
      <c r="C959" t="s">
        <v>1717</v>
      </c>
      <c r="D959" t="s">
        <v>1696</v>
      </c>
      <c r="E959" t="s">
        <v>1674</v>
      </c>
      <c r="F959" t="s">
        <v>97</v>
      </c>
      <c r="G959" t="s">
        <v>1699</v>
      </c>
      <c r="H959">
        <v>12</v>
      </c>
      <c r="I959">
        <v>219.32</v>
      </c>
      <c r="J959">
        <v>2631.84</v>
      </c>
      <c r="AA959">
        <v>45132</v>
      </c>
      <c r="AB959" t="str">
        <v>Nishant</v>
      </c>
      <c r="AC959" t="str">
        <v>Vadodara</v>
      </c>
      <c r="AD959" t="str">
        <v>Gujarat</v>
      </c>
      <c r="AE959" t="str">
        <v>West</v>
      </c>
      <c r="AF959" t="str">
        <v>Clothing</v>
      </c>
      <c r="AG959" t="str">
        <v>Shirt</v>
      </c>
      <c r="AH959">
        <v>12</v>
      </c>
      <c r="AI959">
        <v>219.32</v>
      </c>
      <c r="AJ959">
        <v>2631.84</v>
      </c>
    </row>
    <row r="960" spans="1:36">
      <c r="A960" s="25">
        <v>44999</v>
      </c>
      <c r="B960" t="s">
        <v>1694</v>
      </c>
      <c r="C960" t="s">
        <v>1717</v>
      </c>
      <c r="D960" t="s">
        <v>1696</v>
      </c>
      <c r="E960" t="s">
        <v>1674</v>
      </c>
      <c r="F960" t="s">
        <v>97</v>
      </c>
      <c r="G960" t="s">
        <v>1697</v>
      </c>
      <c r="H960">
        <v>6</v>
      </c>
      <c r="I960">
        <v>194.62</v>
      </c>
      <c r="J960">
        <v>1167.72</v>
      </c>
      <c r="AA960">
        <v>44999</v>
      </c>
      <c r="AB960" t="str">
        <v>Riya</v>
      </c>
      <c r="AC960" t="str">
        <v>Vadodara</v>
      </c>
      <c r="AD960" t="str">
        <v>Gujarat</v>
      </c>
      <c r="AE960" t="str">
        <v>West</v>
      </c>
      <c r="AF960" t="str">
        <v>Clothing</v>
      </c>
      <c r="AG960" t="str">
        <v>Pants</v>
      </c>
      <c r="AH960">
        <v>6</v>
      </c>
      <c r="AI960">
        <v>194.62</v>
      </c>
      <c r="AJ960">
        <v>1167.72</v>
      </c>
    </row>
    <row r="961" spans="1:36">
      <c r="A961" s="25">
        <v>45163</v>
      </c>
      <c r="B961" t="s">
        <v>1671</v>
      </c>
      <c r="C961" t="s">
        <v>1717</v>
      </c>
      <c r="D961" t="s">
        <v>1696</v>
      </c>
      <c r="E961" t="s">
        <v>1674</v>
      </c>
      <c r="F961" t="s">
        <v>89</v>
      </c>
      <c r="G961" t="s">
        <v>1713</v>
      </c>
      <c r="H961">
        <v>15</v>
      </c>
      <c r="I961">
        <v>4406.3100000000004</v>
      </c>
      <c r="J961">
        <v>66094.649999999994</v>
      </c>
      <c r="AA961">
        <v>45163</v>
      </c>
      <c r="AB961" t="str">
        <v>Meera</v>
      </c>
      <c r="AC961" t="str">
        <v>Vadodara</v>
      </c>
      <c r="AD961" t="str">
        <v>Gujarat</v>
      </c>
      <c r="AE961" t="str">
        <v>West</v>
      </c>
      <c r="AF961" t="str">
        <v>Electronics</v>
      </c>
      <c r="AG961" t="str">
        <v>Smartphone</v>
      </c>
      <c r="AH961">
        <v>15</v>
      </c>
      <c r="AI961">
        <v>4406.3100000000004</v>
      </c>
      <c r="AJ961">
        <v>66094.649999999994</v>
      </c>
    </row>
    <row r="962" spans="1:36">
      <c r="A962" s="25">
        <v>45184</v>
      </c>
      <c r="B962" t="s">
        <v>1689</v>
      </c>
      <c r="C962" t="s">
        <v>1717</v>
      </c>
      <c r="D962" t="s">
        <v>1696</v>
      </c>
      <c r="E962" t="s">
        <v>1674</v>
      </c>
      <c r="F962" t="s">
        <v>89</v>
      </c>
      <c r="G962" t="s">
        <v>1713</v>
      </c>
      <c r="H962">
        <v>11</v>
      </c>
      <c r="I962">
        <v>4463.4799999999996</v>
      </c>
      <c r="J962">
        <v>49098.28</v>
      </c>
      <c r="AA962">
        <v>45184</v>
      </c>
      <c r="AB962" t="str">
        <v>Ishita</v>
      </c>
      <c r="AC962" t="str">
        <v>Vadodara</v>
      </c>
      <c r="AD962" t="str">
        <v>Gujarat</v>
      </c>
      <c r="AE962" t="str">
        <v>West</v>
      </c>
      <c r="AF962" t="str">
        <v>Electronics</v>
      </c>
      <c r="AG962" t="str">
        <v>Smartphone</v>
      </c>
      <c r="AH962">
        <v>11</v>
      </c>
      <c r="AI962">
        <v>4463.4799999999996</v>
      </c>
      <c r="AJ962">
        <v>49098.28</v>
      </c>
    </row>
    <row r="963" spans="1:36">
      <c r="A963" s="25">
        <v>44998</v>
      </c>
      <c r="B963" t="s">
        <v>1692</v>
      </c>
      <c r="C963" t="s">
        <v>1717</v>
      </c>
      <c r="D963" t="s">
        <v>1696</v>
      </c>
      <c r="E963" t="s">
        <v>1674</v>
      </c>
      <c r="F963" t="s">
        <v>89</v>
      </c>
      <c r="G963" t="s">
        <v>1713</v>
      </c>
      <c r="H963">
        <v>20</v>
      </c>
      <c r="I963">
        <v>2446.21</v>
      </c>
      <c r="J963">
        <v>48924.2</v>
      </c>
      <c r="AA963">
        <v>44998</v>
      </c>
      <c r="AB963" t="str">
        <v>Aarav</v>
      </c>
      <c r="AC963" t="str">
        <v>Vadodara</v>
      </c>
      <c r="AD963" t="str">
        <v>Gujarat</v>
      </c>
      <c r="AE963" t="str">
        <v>West</v>
      </c>
      <c r="AF963" t="str">
        <v>Electronics</v>
      </c>
      <c r="AG963" t="str">
        <v>Smartphone</v>
      </c>
      <c r="AH963">
        <v>20</v>
      </c>
      <c r="AI963">
        <v>2446.21</v>
      </c>
      <c r="AJ963">
        <v>48924.2</v>
      </c>
    </row>
    <row r="964" spans="1:36">
      <c r="A964" s="25">
        <v>45121</v>
      </c>
      <c r="B964" t="s">
        <v>1692</v>
      </c>
      <c r="C964" t="s">
        <v>1717</v>
      </c>
      <c r="D964" t="s">
        <v>1696</v>
      </c>
      <c r="E964" t="s">
        <v>1674</v>
      </c>
      <c r="F964" t="s">
        <v>89</v>
      </c>
      <c r="G964" t="s">
        <v>1105</v>
      </c>
      <c r="H964">
        <v>17</v>
      </c>
      <c r="I964">
        <v>2809.13</v>
      </c>
      <c r="J964">
        <v>47755.21</v>
      </c>
      <c r="AA964">
        <v>45121</v>
      </c>
      <c r="AB964" t="str">
        <v>Aarav</v>
      </c>
      <c r="AC964" t="str">
        <v>Vadodara</v>
      </c>
      <c r="AD964" t="str">
        <v>Gujarat</v>
      </c>
      <c r="AE964" t="str">
        <v>West</v>
      </c>
      <c r="AF964" t="str">
        <v>Electronics</v>
      </c>
      <c r="AG964" t="str">
        <v>Headphones</v>
      </c>
      <c r="AH964">
        <v>17</v>
      </c>
      <c r="AI964">
        <v>2809.13</v>
      </c>
      <c r="AJ964">
        <v>47755.21</v>
      </c>
    </row>
    <row r="965" spans="1:36">
      <c r="A965" s="25">
        <v>45131</v>
      </c>
      <c r="B965" t="s">
        <v>1686</v>
      </c>
      <c r="C965" t="s">
        <v>1717</v>
      </c>
      <c r="D965" t="s">
        <v>1696</v>
      </c>
      <c r="E965" t="s">
        <v>1674</v>
      </c>
      <c r="F965" t="s">
        <v>89</v>
      </c>
      <c r="G965" t="s">
        <v>1105</v>
      </c>
      <c r="H965">
        <v>10</v>
      </c>
      <c r="I965">
        <v>4678.49</v>
      </c>
      <c r="J965">
        <v>46784.9</v>
      </c>
      <c r="AA965">
        <v>45131</v>
      </c>
      <c r="AB965" t="str">
        <v>Aditi</v>
      </c>
      <c r="AC965" t="str">
        <v>Vadodara</v>
      </c>
      <c r="AD965" t="str">
        <v>Gujarat</v>
      </c>
      <c r="AE965" t="str">
        <v>West</v>
      </c>
      <c r="AF965" t="str">
        <v>Electronics</v>
      </c>
      <c r="AG965" t="str">
        <v>Headphones</v>
      </c>
      <c r="AH965">
        <v>10</v>
      </c>
      <c r="AI965">
        <v>4678.49</v>
      </c>
      <c r="AJ965">
        <v>46784.9</v>
      </c>
    </row>
    <row r="966" spans="1:36">
      <c r="A966" s="25">
        <v>45049</v>
      </c>
      <c r="B966" t="s">
        <v>1692</v>
      </c>
      <c r="C966" t="s">
        <v>1717</v>
      </c>
      <c r="D966" t="s">
        <v>1696</v>
      </c>
      <c r="E966" t="s">
        <v>1674</v>
      </c>
      <c r="F966" t="s">
        <v>89</v>
      </c>
      <c r="G966" t="s">
        <v>1714</v>
      </c>
      <c r="H966">
        <v>19</v>
      </c>
      <c r="I966">
        <v>2040.79</v>
      </c>
      <c r="J966">
        <v>38775.01</v>
      </c>
      <c r="AA966">
        <v>45049</v>
      </c>
      <c r="AB966" t="str">
        <v>Aarav</v>
      </c>
      <c r="AC966" t="str">
        <v>Vadodara</v>
      </c>
      <c r="AD966" t="str">
        <v>Gujarat</v>
      </c>
      <c r="AE966" t="str">
        <v>West</v>
      </c>
      <c r="AF966" t="str">
        <v>Electronics</v>
      </c>
      <c r="AG966" t="str">
        <v>Tablet</v>
      </c>
      <c r="AH966">
        <v>19</v>
      </c>
      <c r="AI966">
        <v>2040.79</v>
      </c>
      <c r="AJ966">
        <v>38775.01</v>
      </c>
    </row>
    <row r="967" spans="1:36">
      <c r="A967" s="25">
        <v>44949</v>
      </c>
      <c r="B967" t="s">
        <v>1705</v>
      </c>
      <c r="C967" t="s">
        <v>1717</v>
      </c>
      <c r="D967" t="s">
        <v>1696</v>
      </c>
      <c r="E967" t="s">
        <v>1674</v>
      </c>
      <c r="F967" t="s">
        <v>89</v>
      </c>
      <c r="G967" t="s">
        <v>1713</v>
      </c>
      <c r="H967">
        <v>16</v>
      </c>
      <c r="I967">
        <v>2015.76</v>
      </c>
      <c r="J967">
        <v>32252.16</v>
      </c>
      <c r="AA967">
        <v>44949</v>
      </c>
      <c r="AB967" t="str">
        <v>Kabir</v>
      </c>
      <c r="AC967" t="str">
        <v>Vadodara</v>
      </c>
      <c r="AD967" t="str">
        <v>Gujarat</v>
      </c>
      <c r="AE967" t="str">
        <v>West</v>
      </c>
      <c r="AF967" t="str">
        <v>Electronics</v>
      </c>
      <c r="AG967" t="str">
        <v>Smartphone</v>
      </c>
      <c r="AH967">
        <v>16</v>
      </c>
      <c r="AI967">
        <v>2015.76</v>
      </c>
      <c r="AJ967">
        <v>32252.16</v>
      </c>
    </row>
    <row r="968" spans="1:36">
      <c r="A968" s="25">
        <v>45204</v>
      </c>
      <c r="B968" t="s">
        <v>1705</v>
      </c>
      <c r="C968" t="s">
        <v>1717</v>
      </c>
      <c r="D968" t="s">
        <v>1696</v>
      </c>
      <c r="E968" t="s">
        <v>1674</v>
      </c>
      <c r="F968" t="s">
        <v>89</v>
      </c>
      <c r="G968" t="s">
        <v>1106</v>
      </c>
      <c r="H968">
        <v>9</v>
      </c>
      <c r="I968">
        <v>1605.02</v>
      </c>
      <c r="J968">
        <v>14445.18</v>
      </c>
      <c r="AA968">
        <v>45204</v>
      </c>
      <c r="AB968" t="str">
        <v>Kabir</v>
      </c>
      <c r="AC968" t="str">
        <v>Vadodara</v>
      </c>
      <c r="AD968" t="str">
        <v>Gujarat</v>
      </c>
      <c r="AE968" t="str">
        <v>West</v>
      </c>
      <c r="AF968" t="str">
        <v>Electronics</v>
      </c>
      <c r="AG968" t="str">
        <v>Laptop</v>
      </c>
      <c r="AH968">
        <v>9</v>
      </c>
      <c r="AI968">
        <v>1605.02</v>
      </c>
      <c r="AJ968">
        <v>14445.18</v>
      </c>
    </row>
    <row r="969" spans="1:36">
      <c r="A969" s="25">
        <v>45262</v>
      </c>
      <c r="B969" t="s">
        <v>1681</v>
      </c>
      <c r="C969" t="s">
        <v>1717</v>
      </c>
      <c r="D969" t="s">
        <v>1696</v>
      </c>
      <c r="E969" t="s">
        <v>1674</v>
      </c>
      <c r="F969" t="s">
        <v>89</v>
      </c>
      <c r="G969" t="s">
        <v>1714</v>
      </c>
      <c r="H969">
        <v>1</v>
      </c>
      <c r="I969">
        <v>4541.7700000000004</v>
      </c>
      <c r="J969">
        <v>4541.7700000000004</v>
      </c>
      <c r="AA969">
        <v>45262</v>
      </c>
      <c r="AB969" t="str">
        <v>Nishant</v>
      </c>
      <c r="AC969" t="str">
        <v>Vadodara</v>
      </c>
      <c r="AD969" t="str">
        <v>Gujarat</v>
      </c>
      <c r="AE969" t="str">
        <v>West</v>
      </c>
      <c r="AF969" t="str">
        <v>Electronics</v>
      </c>
      <c r="AG969" t="str">
        <v>Tablet</v>
      </c>
      <c r="AH969">
        <v>1</v>
      </c>
      <c r="AI969">
        <v>4541.7700000000004</v>
      </c>
      <c r="AJ969">
        <v>4541.7700000000004</v>
      </c>
    </row>
    <row r="970" spans="1:36">
      <c r="A970" s="25">
        <v>45090</v>
      </c>
      <c r="B970" t="s">
        <v>1694</v>
      </c>
      <c r="C970" t="s">
        <v>1717</v>
      </c>
      <c r="D970" t="s">
        <v>1696</v>
      </c>
      <c r="E970" t="s">
        <v>1674</v>
      </c>
      <c r="F970" t="s">
        <v>89</v>
      </c>
      <c r="G970" t="s">
        <v>1106</v>
      </c>
      <c r="H970">
        <v>3</v>
      </c>
      <c r="I970">
        <v>1453.68</v>
      </c>
      <c r="J970">
        <v>4361.04</v>
      </c>
      <c r="AA970">
        <v>45090</v>
      </c>
      <c r="AB970" t="str">
        <v>Riya</v>
      </c>
      <c r="AC970" t="str">
        <v>Vadodara</v>
      </c>
      <c r="AD970" t="str">
        <v>Gujarat</v>
      </c>
      <c r="AE970" t="str">
        <v>West</v>
      </c>
      <c r="AF970" t="str">
        <v>Electronics</v>
      </c>
      <c r="AG970" t="str">
        <v>Laptop</v>
      </c>
      <c r="AH970">
        <v>3</v>
      </c>
      <c r="AI970">
        <v>1453.68</v>
      </c>
      <c r="AJ970">
        <v>4361.04</v>
      </c>
    </row>
    <row r="971" spans="1:36">
      <c r="A971" s="25">
        <v>45028</v>
      </c>
      <c r="B971" t="s">
        <v>1671</v>
      </c>
      <c r="C971" t="s">
        <v>1717</v>
      </c>
      <c r="D971" t="s">
        <v>1696</v>
      </c>
      <c r="E971" t="s">
        <v>1674</v>
      </c>
      <c r="F971" t="s">
        <v>89</v>
      </c>
      <c r="G971" t="s">
        <v>1105</v>
      </c>
      <c r="H971">
        <v>1</v>
      </c>
      <c r="I971">
        <v>2362.15</v>
      </c>
      <c r="J971">
        <v>2362.15</v>
      </c>
      <c r="AA971">
        <v>45028</v>
      </c>
      <c r="AB971" t="str">
        <v>Meera</v>
      </c>
      <c r="AC971" t="str">
        <v>Vadodara</v>
      </c>
      <c r="AD971" t="str">
        <v>Gujarat</v>
      </c>
      <c r="AE971" t="str">
        <v>West</v>
      </c>
      <c r="AF971" t="str">
        <v>Electronics</v>
      </c>
      <c r="AG971" t="str">
        <v>Headphones</v>
      </c>
      <c r="AH971">
        <v>1</v>
      </c>
      <c r="AI971">
        <v>2362.15</v>
      </c>
      <c r="AJ971">
        <v>2362.15</v>
      </c>
    </row>
    <row r="972" spans="1:36">
      <c r="A972" s="25">
        <v>44937</v>
      </c>
      <c r="B972" t="s">
        <v>1681</v>
      </c>
      <c r="C972" t="s">
        <v>1717</v>
      </c>
      <c r="D972" t="s">
        <v>1696</v>
      </c>
      <c r="E972" t="s">
        <v>1674</v>
      </c>
      <c r="F972" t="s">
        <v>101</v>
      </c>
      <c r="G972" t="s">
        <v>1675</v>
      </c>
      <c r="H972">
        <v>20</v>
      </c>
      <c r="I972">
        <v>3279.25</v>
      </c>
      <c r="J972">
        <v>65585</v>
      </c>
      <c r="AA972">
        <v>44937</v>
      </c>
      <c r="AB972" t="str">
        <v>Nishant</v>
      </c>
      <c r="AC972" t="str">
        <v>Vadodara</v>
      </c>
      <c r="AD972" t="str">
        <v>Gujarat</v>
      </c>
      <c r="AE972" t="str">
        <v>West</v>
      </c>
      <c r="AF972" t="str">
        <v>Furniture</v>
      </c>
      <c r="AG972" t="str">
        <v>Table</v>
      </c>
      <c r="AH972">
        <v>20</v>
      </c>
      <c r="AI972">
        <v>3279.25</v>
      </c>
      <c r="AJ972">
        <v>65585</v>
      </c>
    </row>
    <row r="973" spans="1:36">
      <c r="A973" s="25">
        <v>45272</v>
      </c>
      <c r="B973" t="s">
        <v>1692</v>
      </c>
      <c r="C973" t="s">
        <v>1717</v>
      </c>
      <c r="D973" t="s">
        <v>1696</v>
      </c>
      <c r="E973" t="s">
        <v>1674</v>
      </c>
      <c r="F973" t="s">
        <v>101</v>
      </c>
      <c r="G973" t="s">
        <v>1709</v>
      </c>
      <c r="H973">
        <v>12</v>
      </c>
      <c r="I973">
        <v>3939.5</v>
      </c>
      <c r="J973">
        <v>47274</v>
      </c>
      <c r="AA973">
        <v>45272</v>
      </c>
      <c r="AB973" t="str">
        <v>Aarav</v>
      </c>
      <c r="AC973" t="str">
        <v>Vadodara</v>
      </c>
      <c r="AD973" t="str">
        <v>Gujarat</v>
      </c>
      <c r="AE973" t="str">
        <v>West</v>
      </c>
      <c r="AF973" t="str">
        <v>Furniture</v>
      </c>
      <c r="AG973" t="str">
        <v>Bed</v>
      </c>
      <c r="AH973">
        <v>12</v>
      </c>
      <c r="AI973">
        <v>3939.5</v>
      </c>
      <c r="AJ973">
        <v>47274</v>
      </c>
    </row>
    <row r="974" spans="1:36">
      <c r="A974" s="25">
        <v>44988</v>
      </c>
      <c r="B974" t="s">
        <v>1694</v>
      </c>
      <c r="C974" t="s">
        <v>1717</v>
      </c>
      <c r="D974" t="s">
        <v>1696</v>
      </c>
      <c r="E974" t="s">
        <v>1674</v>
      </c>
      <c r="F974" t="s">
        <v>101</v>
      </c>
      <c r="G974" t="s">
        <v>1675</v>
      </c>
      <c r="H974">
        <v>14</v>
      </c>
      <c r="I974">
        <v>3352.19</v>
      </c>
      <c r="J974">
        <v>46930.66</v>
      </c>
      <c r="AA974">
        <v>44988</v>
      </c>
      <c r="AB974" t="str">
        <v>Riya</v>
      </c>
      <c r="AC974" t="str">
        <v>Vadodara</v>
      </c>
      <c r="AD974" t="str">
        <v>Gujarat</v>
      </c>
      <c r="AE974" t="str">
        <v>West</v>
      </c>
      <c r="AF974" t="str">
        <v>Furniture</v>
      </c>
      <c r="AG974" t="str">
        <v>Table</v>
      </c>
      <c r="AH974">
        <v>14</v>
      </c>
      <c r="AI974">
        <v>3352.19</v>
      </c>
      <c r="AJ974">
        <v>46930.66</v>
      </c>
    </row>
    <row r="975" spans="1:36">
      <c r="A975" s="25">
        <v>45188</v>
      </c>
      <c r="B975" t="s">
        <v>1698</v>
      </c>
      <c r="C975" t="s">
        <v>1717</v>
      </c>
      <c r="D975" t="s">
        <v>1696</v>
      </c>
      <c r="E975" t="s">
        <v>1674</v>
      </c>
      <c r="F975" t="s">
        <v>101</v>
      </c>
      <c r="G975" t="s">
        <v>1719</v>
      </c>
      <c r="H975">
        <v>13</v>
      </c>
      <c r="I975">
        <v>3531.03</v>
      </c>
      <c r="J975">
        <v>45903.39</v>
      </c>
      <c r="AA975">
        <v>45188</v>
      </c>
      <c r="AB975" t="str">
        <v>Aryan</v>
      </c>
      <c r="AC975" t="str">
        <v>Vadodara</v>
      </c>
      <c r="AD975" t="str">
        <v>Gujarat</v>
      </c>
      <c r="AE975" t="str">
        <v>West</v>
      </c>
      <c r="AF975" t="str">
        <v>Furniture</v>
      </c>
      <c r="AG975" t="str">
        <v>Chair</v>
      </c>
      <c r="AH975">
        <v>13</v>
      </c>
      <c r="AI975">
        <v>3531.03</v>
      </c>
      <c r="AJ975">
        <v>45903.39</v>
      </c>
    </row>
    <row r="976" spans="1:36">
      <c r="A976" s="25">
        <v>45182</v>
      </c>
      <c r="B976" t="s">
        <v>1681</v>
      </c>
      <c r="C976" t="s">
        <v>1717</v>
      </c>
      <c r="D976" t="s">
        <v>1696</v>
      </c>
      <c r="E976" t="s">
        <v>1674</v>
      </c>
      <c r="F976" t="s">
        <v>101</v>
      </c>
      <c r="G976" t="s">
        <v>1709</v>
      </c>
      <c r="H976">
        <v>5</v>
      </c>
      <c r="I976">
        <v>4988.76</v>
      </c>
      <c r="J976">
        <v>24943.8</v>
      </c>
      <c r="AA976">
        <v>45182</v>
      </c>
      <c r="AB976" t="str">
        <v>Nishant</v>
      </c>
      <c r="AC976" t="str">
        <v>Vadodara</v>
      </c>
      <c r="AD976" t="str">
        <v>Gujarat</v>
      </c>
      <c r="AE976" t="str">
        <v>West</v>
      </c>
      <c r="AF976" t="str">
        <v>Furniture</v>
      </c>
      <c r="AG976" t="str">
        <v>Bed</v>
      </c>
      <c r="AH976">
        <v>5</v>
      </c>
      <c r="AI976">
        <v>4988.76</v>
      </c>
      <c r="AJ976">
        <v>24943.8</v>
      </c>
    </row>
    <row r="977" spans="1:36">
      <c r="A977" s="25">
        <v>45063</v>
      </c>
      <c r="B977" t="s">
        <v>1689</v>
      </c>
      <c r="C977" t="s">
        <v>1717</v>
      </c>
      <c r="D977" t="s">
        <v>1696</v>
      </c>
      <c r="E977" t="s">
        <v>1674</v>
      </c>
      <c r="F977" t="s">
        <v>101</v>
      </c>
      <c r="G977" t="s">
        <v>1675</v>
      </c>
      <c r="H977">
        <v>6</v>
      </c>
      <c r="I977">
        <v>4072.51</v>
      </c>
      <c r="J977">
        <v>24435.06</v>
      </c>
      <c r="AA977">
        <v>45063</v>
      </c>
      <c r="AB977" t="str">
        <v>Ishita</v>
      </c>
      <c r="AC977" t="str">
        <v>Vadodara</v>
      </c>
      <c r="AD977" t="str">
        <v>Gujarat</v>
      </c>
      <c r="AE977" t="str">
        <v>West</v>
      </c>
      <c r="AF977" t="str">
        <v>Furniture</v>
      </c>
      <c r="AG977" t="str">
        <v>Table</v>
      </c>
      <c r="AH977">
        <v>6</v>
      </c>
      <c r="AI977">
        <v>4072.51</v>
      </c>
      <c r="AJ977">
        <v>24435.06</v>
      </c>
    </row>
    <row r="978" spans="1:36">
      <c r="A978" s="25">
        <v>45141</v>
      </c>
      <c r="B978" t="s">
        <v>1700</v>
      </c>
      <c r="C978" t="s">
        <v>1717</v>
      </c>
      <c r="D978" t="s">
        <v>1696</v>
      </c>
      <c r="E978" t="s">
        <v>1674</v>
      </c>
      <c r="F978" t="s">
        <v>101</v>
      </c>
      <c r="G978" t="s">
        <v>1715</v>
      </c>
      <c r="H978">
        <v>5</v>
      </c>
      <c r="I978">
        <v>1530.16</v>
      </c>
      <c r="J978">
        <v>7650.8</v>
      </c>
      <c r="AA978">
        <v>45141</v>
      </c>
      <c r="AB978" t="str">
        <v>Ananya</v>
      </c>
      <c r="AC978" t="str">
        <v>Vadodara</v>
      </c>
      <c r="AD978" t="str">
        <v>Gujarat</v>
      </c>
      <c r="AE978" t="str">
        <v>West</v>
      </c>
      <c r="AF978" t="str">
        <v>Furniture</v>
      </c>
      <c r="AG978" t="str">
        <v>Sofa</v>
      </c>
      <c r="AH978">
        <v>5</v>
      </c>
      <c r="AI978">
        <v>1530.16</v>
      </c>
      <c r="AJ978">
        <v>7650.8</v>
      </c>
    </row>
    <row r="979" spans="1:36">
      <c r="A979" s="25">
        <v>44961</v>
      </c>
      <c r="B979" t="s">
        <v>1692</v>
      </c>
      <c r="C979" t="s">
        <v>1717</v>
      </c>
      <c r="D979" t="s">
        <v>1696</v>
      </c>
      <c r="E979" t="s">
        <v>1674</v>
      </c>
      <c r="F979" t="s">
        <v>101</v>
      </c>
      <c r="G979" t="s">
        <v>1675</v>
      </c>
      <c r="H979">
        <v>2</v>
      </c>
      <c r="I979">
        <v>1252.3</v>
      </c>
      <c r="J979">
        <v>2504.6</v>
      </c>
      <c r="AA979">
        <v>44961</v>
      </c>
      <c r="AB979" t="str">
        <v>Aarav</v>
      </c>
      <c r="AC979" t="str">
        <v>Vadodara</v>
      </c>
      <c r="AD979" t="str">
        <v>Gujarat</v>
      </c>
      <c r="AE979" t="str">
        <v>West</v>
      </c>
      <c r="AF979" t="str">
        <v>Furniture</v>
      </c>
      <c r="AG979" t="str">
        <v>Table</v>
      </c>
      <c r="AH979">
        <v>2</v>
      </c>
      <c r="AI979">
        <v>1252.3</v>
      </c>
      <c r="AJ979">
        <v>2504.6</v>
      </c>
    </row>
    <row r="980" spans="1:36">
      <c r="A980" s="25">
        <v>44945</v>
      </c>
      <c r="B980" t="s">
        <v>1681</v>
      </c>
      <c r="C980" t="s">
        <v>1717</v>
      </c>
      <c r="D980" t="s">
        <v>1696</v>
      </c>
      <c r="E980" t="s">
        <v>1674</v>
      </c>
      <c r="F980" t="s">
        <v>1687</v>
      </c>
      <c r="G980" t="s">
        <v>1704</v>
      </c>
      <c r="H980">
        <v>13</v>
      </c>
      <c r="I980">
        <v>4719.96</v>
      </c>
      <c r="J980">
        <v>61359.48</v>
      </c>
      <c r="AA980">
        <v>44945</v>
      </c>
      <c r="AB980" t="str">
        <v>Nishant</v>
      </c>
      <c r="AC980" t="str">
        <v>Vadodara</v>
      </c>
      <c r="AD980" t="str">
        <v>Gujarat</v>
      </c>
      <c r="AE980" t="str">
        <v>West</v>
      </c>
      <c r="AF980" t="str">
        <v>Groceries</v>
      </c>
      <c r="AG980" t="str">
        <v>Rice</v>
      </c>
      <c r="AH980">
        <v>13</v>
      </c>
      <c r="AI980">
        <v>4719.96</v>
      </c>
      <c r="AJ980">
        <v>61359.48</v>
      </c>
    </row>
    <row r="981" spans="1:36">
      <c r="A981" s="25">
        <v>44956</v>
      </c>
      <c r="B981" t="s">
        <v>1681</v>
      </c>
      <c r="C981" t="s">
        <v>1717</v>
      </c>
      <c r="D981" t="s">
        <v>1696</v>
      </c>
      <c r="E981" t="s">
        <v>1674</v>
      </c>
      <c r="F981" t="s">
        <v>1687</v>
      </c>
      <c r="G981" t="s">
        <v>1704</v>
      </c>
      <c r="H981">
        <v>10</v>
      </c>
      <c r="I981">
        <v>4939.99</v>
      </c>
      <c r="J981">
        <v>49399.9</v>
      </c>
      <c r="AA981">
        <v>44956</v>
      </c>
      <c r="AB981" t="str">
        <v>Nishant</v>
      </c>
      <c r="AC981" t="str">
        <v>Vadodara</v>
      </c>
      <c r="AD981" t="str">
        <v>Gujarat</v>
      </c>
      <c r="AE981" t="str">
        <v>West</v>
      </c>
      <c r="AF981" t="str">
        <v>Groceries</v>
      </c>
      <c r="AG981" t="str">
        <v>Rice</v>
      </c>
      <c r="AH981">
        <v>10</v>
      </c>
      <c r="AI981">
        <v>4939.99</v>
      </c>
      <c r="AJ981">
        <v>49399.9</v>
      </c>
    </row>
    <row r="982" spans="1:36">
      <c r="A982" s="25">
        <v>44948</v>
      </c>
      <c r="B982" t="s">
        <v>1698</v>
      </c>
      <c r="C982" t="s">
        <v>1717</v>
      </c>
      <c r="D982" t="s">
        <v>1696</v>
      </c>
      <c r="E982" t="s">
        <v>1674</v>
      </c>
      <c r="F982" t="s">
        <v>1687</v>
      </c>
      <c r="G982" t="s">
        <v>1708</v>
      </c>
      <c r="H982">
        <v>13</v>
      </c>
      <c r="I982">
        <v>3071.93</v>
      </c>
      <c r="J982">
        <v>39935.089999999997</v>
      </c>
      <c r="AA982">
        <v>44948</v>
      </c>
      <c r="AB982" t="str">
        <v>Aryan</v>
      </c>
      <c r="AC982" t="str">
        <v>Vadodara</v>
      </c>
      <c r="AD982" t="str">
        <v>Gujarat</v>
      </c>
      <c r="AE982" t="str">
        <v>West</v>
      </c>
      <c r="AF982" t="str">
        <v>Groceries</v>
      </c>
      <c r="AG982" t="str">
        <v>Sugar</v>
      </c>
      <c r="AH982">
        <v>13</v>
      </c>
      <c r="AI982">
        <v>3071.93</v>
      </c>
      <c r="AJ982">
        <v>39935.089999999997</v>
      </c>
    </row>
    <row r="983" spans="1:36">
      <c r="A983" s="25">
        <v>45207</v>
      </c>
      <c r="B983" t="s">
        <v>1676</v>
      </c>
      <c r="C983" t="s">
        <v>1717</v>
      </c>
      <c r="D983" t="s">
        <v>1696</v>
      </c>
      <c r="E983" t="s">
        <v>1674</v>
      </c>
      <c r="F983" t="s">
        <v>1687</v>
      </c>
      <c r="G983" t="s">
        <v>1710</v>
      </c>
      <c r="H983">
        <v>16</v>
      </c>
      <c r="I983">
        <v>2347.21</v>
      </c>
      <c r="J983">
        <v>37555.360000000001</v>
      </c>
      <c r="AA983">
        <v>45207</v>
      </c>
      <c r="AB983" t="str">
        <v>Vihaan</v>
      </c>
      <c r="AC983" t="str">
        <v>Vadodara</v>
      </c>
      <c r="AD983" t="str">
        <v>Gujarat</v>
      </c>
      <c r="AE983" t="str">
        <v>West</v>
      </c>
      <c r="AF983" t="str">
        <v>Groceries</v>
      </c>
      <c r="AG983" t="str">
        <v>Oil</v>
      </c>
      <c r="AH983">
        <v>16</v>
      </c>
      <c r="AI983">
        <v>2347.21</v>
      </c>
      <c r="AJ983">
        <v>37555.360000000001</v>
      </c>
    </row>
    <row r="984" spans="1:36">
      <c r="A984" s="25">
        <v>45269</v>
      </c>
      <c r="B984" t="s">
        <v>1705</v>
      </c>
      <c r="C984" t="s">
        <v>1717</v>
      </c>
      <c r="D984" t="s">
        <v>1696</v>
      </c>
      <c r="E984" t="s">
        <v>1674</v>
      </c>
      <c r="F984" t="s">
        <v>1687</v>
      </c>
      <c r="G984" t="s">
        <v>1688</v>
      </c>
      <c r="H984">
        <v>9</v>
      </c>
      <c r="I984">
        <v>3560.8</v>
      </c>
      <c r="J984">
        <v>32047.200000000001</v>
      </c>
      <c r="AA984">
        <v>45269</v>
      </c>
      <c r="AB984" t="str">
        <v>Kabir</v>
      </c>
      <c r="AC984" t="str">
        <v>Vadodara</v>
      </c>
      <c r="AD984" t="str">
        <v>Gujarat</v>
      </c>
      <c r="AE984" t="str">
        <v>West</v>
      </c>
      <c r="AF984" t="str">
        <v>Groceries</v>
      </c>
      <c r="AG984" t="str">
        <v>Lentils</v>
      </c>
      <c r="AH984">
        <v>9</v>
      </c>
      <c r="AI984">
        <v>3560.8</v>
      </c>
      <c r="AJ984">
        <v>32047.200000000001</v>
      </c>
    </row>
    <row r="985" spans="1:36">
      <c r="A985" s="25">
        <v>45229</v>
      </c>
      <c r="B985" t="s">
        <v>1681</v>
      </c>
      <c r="C985" t="s">
        <v>1717</v>
      </c>
      <c r="D985" t="s">
        <v>1696</v>
      </c>
      <c r="E985" t="s">
        <v>1674</v>
      </c>
      <c r="F985" t="s">
        <v>1687</v>
      </c>
      <c r="G985" t="s">
        <v>1710</v>
      </c>
      <c r="H985">
        <v>5</v>
      </c>
      <c r="I985">
        <v>4180.57</v>
      </c>
      <c r="J985">
        <v>20902.849999999999</v>
      </c>
      <c r="AA985">
        <v>45229</v>
      </c>
      <c r="AB985" t="str">
        <v>Nishant</v>
      </c>
      <c r="AC985" t="str">
        <v>Vadodara</v>
      </c>
      <c r="AD985" t="str">
        <v>Gujarat</v>
      </c>
      <c r="AE985" t="str">
        <v>West</v>
      </c>
      <c r="AF985" t="str">
        <v>Groceries</v>
      </c>
      <c r="AG985" t="str">
        <v>Oil</v>
      </c>
      <c r="AH985">
        <v>5</v>
      </c>
      <c r="AI985">
        <v>4180.57</v>
      </c>
      <c r="AJ985">
        <v>20902.849999999999</v>
      </c>
    </row>
    <row r="986" spans="1:36">
      <c r="A986" s="25">
        <v>45158</v>
      </c>
      <c r="B986" t="s">
        <v>1689</v>
      </c>
      <c r="C986" t="s">
        <v>1717</v>
      </c>
      <c r="D986" t="s">
        <v>1696</v>
      </c>
      <c r="E986" t="s">
        <v>1674</v>
      </c>
      <c r="F986" t="s">
        <v>1687</v>
      </c>
      <c r="G986" t="s">
        <v>1710</v>
      </c>
      <c r="H986">
        <v>9</v>
      </c>
      <c r="I986">
        <v>1558.74</v>
      </c>
      <c r="J986">
        <v>14028.66</v>
      </c>
      <c r="AA986">
        <v>45158</v>
      </c>
      <c r="AB986" t="str">
        <v>Ishita</v>
      </c>
      <c r="AC986" t="str">
        <v>Vadodara</v>
      </c>
      <c r="AD986" t="str">
        <v>Gujarat</v>
      </c>
      <c r="AE986" t="str">
        <v>West</v>
      </c>
      <c r="AF986" t="str">
        <v>Groceries</v>
      </c>
      <c r="AG986" t="str">
        <v>Oil</v>
      </c>
      <c r="AH986">
        <v>9</v>
      </c>
      <c r="AI986">
        <v>1558.74</v>
      </c>
      <c r="AJ986">
        <v>14028.66</v>
      </c>
    </row>
    <row r="987" spans="1:36">
      <c r="A987" s="25">
        <v>45162</v>
      </c>
      <c r="B987" t="s">
        <v>1694</v>
      </c>
      <c r="C987" t="s">
        <v>1717</v>
      </c>
      <c r="D987" t="s">
        <v>1696</v>
      </c>
      <c r="E987" t="s">
        <v>1674</v>
      </c>
      <c r="F987" t="s">
        <v>1687</v>
      </c>
      <c r="G987" t="s">
        <v>1688</v>
      </c>
      <c r="H987">
        <v>10</v>
      </c>
      <c r="I987">
        <v>1167.21</v>
      </c>
      <c r="J987">
        <v>11672.1</v>
      </c>
      <c r="AA987">
        <v>45162</v>
      </c>
      <c r="AB987" t="str">
        <v>Riya</v>
      </c>
      <c r="AC987" t="str">
        <v>Vadodara</v>
      </c>
      <c r="AD987" t="str">
        <v>Gujarat</v>
      </c>
      <c r="AE987" t="str">
        <v>West</v>
      </c>
      <c r="AF987" t="str">
        <v>Groceries</v>
      </c>
      <c r="AG987" t="str">
        <v>Lentils</v>
      </c>
      <c r="AH987">
        <v>10</v>
      </c>
      <c r="AI987">
        <v>1167.21</v>
      </c>
      <c r="AJ987">
        <v>11672.1</v>
      </c>
    </row>
    <row r="988" spans="1:36">
      <c r="A988" s="25">
        <v>44931</v>
      </c>
      <c r="B988" t="s">
        <v>1698</v>
      </c>
      <c r="C988" t="s">
        <v>1717</v>
      </c>
      <c r="D988" t="s">
        <v>1696</v>
      </c>
      <c r="E988" t="s">
        <v>1674</v>
      </c>
      <c r="F988" t="s">
        <v>1687</v>
      </c>
      <c r="G988" t="s">
        <v>1710</v>
      </c>
      <c r="H988">
        <v>3</v>
      </c>
      <c r="I988">
        <v>2393.7199999999998</v>
      </c>
      <c r="J988">
        <v>7181.16</v>
      </c>
      <c r="AA988">
        <v>44931</v>
      </c>
      <c r="AB988" t="str">
        <v>Aryan</v>
      </c>
      <c r="AC988" t="str">
        <v>Vadodara</v>
      </c>
      <c r="AD988" t="str">
        <v>Gujarat</v>
      </c>
      <c r="AE988" t="str">
        <v>West</v>
      </c>
      <c r="AF988" t="str">
        <v>Groceries</v>
      </c>
      <c r="AG988" t="str">
        <v>Oil</v>
      </c>
      <c r="AH988">
        <v>3</v>
      </c>
      <c r="AI988">
        <v>2393.7199999999998</v>
      </c>
      <c r="AJ988">
        <v>7181.16</v>
      </c>
    </row>
    <row r="989" spans="1:36">
      <c r="A989" s="25">
        <v>45051</v>
      </c>
      <c r="B989" t="s">
        <v>1689</v>
      </c>
      <c r="C989" t="s">
        <v>1717</v>
      </c>
      <c r="D989" t="s">
        <v>1696</v>
      </c>
      <c r="E989" t="s">
        <v>1674</v>
      </c>
      <c r="F989" t="s">
        <v>1687</v>
      </c>
      <c r="G989" t="s">
        <v>1704</v>
      </c>
      <c r="H989">
        <v>5</v>
      </c>
      <c r="I989">
        <v>1313.4</v>
      </c>
      <c r="J989">
        <v>6567</v>
      </c>
      <c r="AA989">
        <v>45051</v>
      </c>
      <c r="AB989" t="str">
        <v>Ishita</v>
      </c>
      <c r="AC989" t="str">
        <v>Vadodara</v>
      </c>
      <c r="AD989" t="str">
        <v>Gujarat</v>
      </c>
      <c r="AE989" t="str">
        <v>West</v>
      </c>
      <c r="AF989" t="str">
        <v>Groceries</v>
      </c>
      <c r="AG989" t="str">
        <v>Rice</v>
      </c>
      <c r="AH989">
        <v>5</v>
      </c>
      <c r="AI989">
        <v>1313.4</v>
      </c>
      <c r="AJ989">
        <v>6567</v>
      </c>
    </row>
    <row r="990" spans="1:36">
      <c r="A990" s="25">
        <v>45087</v>
      </c>
      <c r="B990" t="s">
        <v>1681</v>
      </c>
      <c r="C990" t="s">
        <v>1717</v>
      </c>
      <c r="D990" t="s">
        <v>1696</v>
      </c>
      <c r="E990" t="s">
        <v>1674</v>
      </c>
      <c r="F990" t="s">
        <v>1687</v>
      </c>
      <c r="G990" t="s">
        <v>1688</v>
      </c>
      <c r="H990">
        <v>5</v>
      </c>
      <c r="I990">
        <v>1018.53</v>
      </c>
      <c r="J990">
        <v>5092.6499999999996</v>
      </c>
      <c r="AA990">
        <v>45087</v>
      </c>
      <c r="AB990" t="str">
        <v>Nishant</v>
      </c>
      <c r="AC990" t="str">
        <v>Vadodara</v>
      </c>
      <c r="AD990" t="str">
        <v>Gujarat</v>
      </c>
      <c r="AE990" t="str">
        <v>West</v>
      </c>
      <c r="AF990" t="str">
        <v>Groceries</v>
      </c>
      <c r="AG990" t="str">
        <v>Lentils</v>
      </c>
      <c r="AH990">
        <v>5</v>
      </c>
      <c r="AI990">
        <v>1018.53</v>
      </c>
      <c r="AJ990">
        <v>5092.6499999999996</v>
      </c>
    </row>
    <row r="991" spans="1:36">
      <c r="A991" s="25">
        <v>45238</v>
      </c>
      <c r="B991" t="s">
        <v>1689</v>
      </c>
      <c r="C991" t="s">
        <v>1717</v>
      </c>
      <c r="D991" t="s">
        <v>1696</v>
      </c>
      <c r="E991" t="s">
        <v>1674</v>
      </c>
      <c r="F991" t="s">
        <v>114</v>
      </c>
      <c r="G991" t="s">
        <v>1680</v>
      </c>
      <c r="H991">
        <v>20</v>
      </c>
      <c r="I991">
        <v>3286.69</v>
      </c>
      <c r="J991">
        <v>65733.8</v>
      </c>
      <c r="AA991">
        <v>45238</v>
      </c>
      <c r="AB991" t="str">
        <v>Ishita</v>
      </c>
      <c r="AC991" t="str">
        <v>Vadodara</v>
      </c>
      <c r="AD991" t="str">
        <v>Gujarat</v>
      </c>
      <c r="AE991" t="str">
        <v>West</v>
      </c>
      <c r="AF991" t="str">
        <v>Stationery</v>
      </c>
      <c r="AG991" t="str">
        <v>Ruler</v>
      </c>
      <c r="AH991">
        <v>20</v>
      </c>
      <c r="AI991">
        <v>3286.69</v>
      </c>
      <c r="AJ991">
        <v>65733.8</v>
      </c>
    </row>
    <row r="992" spans="1:36">
      <c r="A992" s="25">
        <v>45079</v>
      </c>
      <c r="B992" t="s">
        <v>1689</v>
      </c>
      <c r="C992" t="s">
        <v>1717</v>
      </c>
      <c r="D992" t="s">
        <v>1696</v>
      </c>
      <c r="E992" t="s">
        <v>1674</v>
      </c>
      <c r="F992" t="s">
        <v>114</v>
      </c>
      <c r="G992" t="s">
        <v>1712</v>
      </c>
      <c r="H992">
        <v>16</v>
      </c>
      <c r="I992">
        <v>4096.74</v>
      </c>
      <c r="J992">
        <v>65547.839999999997</v>
      </c>
      <c r="AA992">
        <v>45079</v>
      </c>
      <c r="AB992" t="str">
        <v>Ishita</v>
      </c>
      <c r="AC992" t="str">
        <v>Vadodara</v>
      </c>
      <c r="AD992" t="str">
        <v>Gujarat</v>
      </c>
      <c r="AE992" t="str">
        <v>West</v>
      </c>
      <c r="AF992" t="str">
        <v>Stationery</v>
      </c>
      <c r="AG992" t="str">
        <v>Pen</v>
      </c>
      <c r="AH992">
        <v>16</v>
      </c>
      <c r="AI992">
        <v>4096.74</v>
      </c>
      <c r="AJ992">
        <v>65547.839999999997</v>
      </c>
    </row>
    <row r="993" spans="1:36">
      <c r="A993" s="25">
        <v>45034</v>
      </c>
      <c r="B993" t="s">
        <v>1700</v>
      </c>
      <c r="C993" t="s">
        <v>1717</v>
      </c>
      <c r="D993" t="s">
        <v>1696</v>
      </c>
      <c r="E993" t="s">
        <v>1674</v>
      </c>
      <c r="F993" t="s">
        <v>114</v>
      </c>
      <c r="G993" t="s">
        <v>1718</v>
      </c>
      <c r="H993">
        <v>20</v>
      </c>
      <c r="I993">
        <v>3195.53</v>
      </c>
      <c r="J993">
        <v>63910.6</v>
      </c>
      <c r="AA993">
        <v>45034</v>
      </c>
      <c r="AB993" t="str">
        <v>Ananya</v>
      </c>
      <c r="AC993" t="str">
        <v>Vadodara</v>
      </c>
      <c r="AD993" t="str">
        <v>Gujarat</v>
      </c>
      <c r="AE993" t="str">
        <v>West</v>
      </c>
      <c r="AF993" t="str">
        <v>Stationery</v>
      </c>
      <c r="AG993" t="str">
        <v>Notebook</v>
      </c>
      <c r="AH993">
        <v>20</v>
      </c>
      <c r="AI993">
        <v>3195.53</v>
      </c>
      <c r="AJ993">
        <v>63910.6</v>
      </c>
    </row>
    <row r="994" spans="1:36">
      <c r="A994" s="25">
        <v>44971</v>
      </c>
      <c r="B994" t="s">
        <v>1698</v>
      </c>
      <c r="C994" t="s">
        <v>1717</v>
      </c>
      <c r="D994" t="s">
        <v>1696</v>
      </c>
      <c r="E994" t="s">
        <v>1674</v>
      </c>
      <c r="F994" t="s">
        <v>114</v>
      </c>
      <c r="G994" t="s">
        <v>1691</v>
      </c>
      <c r="H994">
        <v>15</v>
      </c>
      <c r="I994">
        <v>4093.93</v>
      </c>
      <c r="J994">
        <v>61408.95</v>
      </c>
      <c r="AA994">
        <v>44971</v>
      </c>
      <c r="AB994" t="str">
        <v>Aryan</v>
      </c>
      <c r="AC994" t="str">
        <v>Vadodara</v>
      </c>
      <c r="AD994" t="str">
        <v>Gujarat</v>
      </c>
      <c r="AE994" t="str">
        <v>West</v>
      </c>
      <c r="AF994" t="str">
        <v>Stationery</v>
      </c>
      <c r="AG994" t="str">
        <v>Eraser</v>
      </c>
      <c r="AH994">
        <v>15</v>
      </c>
      <c r="AI994">
        <v>4093.93</v>
      </c>
      <c r="AJ994">
        <v>61408.95</v>
      </c>
    </row>
    <row r="995" spans="1:36">
      <c r="A995" s="25">
        <v>45225</v>
      </c>
      <c r="B995" t="s">
        <v>1705</v>
      </c>
      <c r="C995" t="s">
        <v>1717</v>
      </c>
      <c r="D995" t="s">
        <v>1696</v>
      </c>
      <c r="E995" t="s">
        <v>1674</v>
      </c>
      <c r="F995" t="s">
        <v>114</v>
      </c>
      <c r="G995" t="s">
        <v>1691</v>
      </c>
      <c r="H995">
        <v>16</v>
      </c>
      <c r="I995">
        <v>2329.86</v>
      </c>
      <c r="J995">
        <v>37277.760000000002</v>
      </c>
      <c r="AA995">
        <v>45225</v>
      </c>
      <c r="AB995" t="str">
        <v>Kabir</v>
      </c>
      <c r="AC995" t="str">
        <v>Vadodara</v>
      </c>
      <c r="AD995" t="str">
        <v>Gujarat</v>
      </c>
      <c r="AE995" t="str">
        <v>West</v>
      </c>
      <c r="AF995" t="str">
        <v>Stationery</v>
      </c>
      <c r="AG995" t="str">
        <v>Eraser</v>
      </c>
      <c r="AH995">
        <v>16</v>
      </c>
      <c r="AI995">
        <v>2329.86</v>
      </c>
      <c r="AJ995">
        <v>37277.760000000002</v>
      </c>
    </row>
    <row r="996" spans="1:36">
      <c r="A996" s="25">
        <v>45049</v>
      </c>
      <c r="B996" t="s">
        <v>1705</v>
      </c>
      <c r="C996" t="s">
        <v>1717</v>
      </c>
      <c r="D996" t="s">
        <v>1696</v>
      </c>
      <c r="E996" t="s">
        <v>1674</v>
      </c>
      <c r="F996" t="s">
        <v>114</v>
      </c>
      <c r="G996" t="s">
        <v>1680</v>
      </c>
      <c r="H996">
        <v>18</v>
      </c>
      <c r="I996">
        <v>1310.78</v>
      </c>
      <c r="J996">
        <v>23594.04</v>
      </c>
      <c r="AA996">
        <v>45049</v>
      </c>
      <c r="AB996" t="str">
        <v>Kabir</v>
      </c>
      <c r="AC996" t="str">
        <v>Vadodara</v>
      </c>
      <c r="AD996" t="str">
        <v>Gujarat</v>
      </c>
      <c r="AE996" t="str">
        <v>West</v>
      </c>
      <c r="AF996" t="str">
        <v>Stationery</v>
      </c>
      <c r="AG996" t="str">
        <v>Ruler</v>
      </c>
      <c r="AH996">
        <v>18</v>
      </c>
      <c r="AI996">
        <v>1310.78</v>
      </c>
      <c r="AJ996">
        <v>23594.04</v>
      </c>
    </row>
    <row r="997" spans="1:36">
      <c r="A997" s="25">
        <v>44938</v>
      </c>
      <c r="B997" t="s">
        <v>1698</v>
      </c>
      <c r="C997" t="s">
        <v>1717</v>
      </c>
      <c r="D997" t="s">
        <v>1696</v>
      </c>
      <c r="E997" t="s">
        <v>1674</v>
      </c>
      <c r="F997" t="s">
        <v>114</v>
      </c>
      <c r="G997" t="s">
        <v>1680</v>
      </c>
      <c r="H997">
        <v>6</v>
      </c>
      <c r="I997">
        <v>3295.29</v>
      </c>
      <c r="J997">
        <v>19771.740000000002</v>
      </c>
      <c r="AA997">
        <v>44938</v>
      </c>
      <c r="AB997" t="str">
        <v>Aryan</v>
      </c>
      <c r="AC997" t="str">
        <v>Vadodara</v>
      </c>
      <c r="AD997" t="str">
        <v>Gujarat</v>
      </c>
      <c r="AE997" t="str">
        <v>West</v>
      </c>
      <c r="AF997" t="str">
        <v>Stationery</v>
      </c>
      <c r="AG997" t="str">
        <v>Ruler</v>
      </c>
      <c r="AH997">
        <v>6</v>
      </c>
      <c r="AI997">
        <v>3295.29</v>
      </c>
      <c r="AJ997">
        <v>19771.740000000002</v>
      </c>
    </row>
    <row r="998" spans="1:36">
      <c r="A998" s="25">
        <v>45221</v>
      </c>
      <c r="B998" t="s">
        <v>1681</v>
      </c>
      <c r="C998" t="s">
        <v>1717</v>
      </c>
      <c r="D998" t="s">
        <v>1696</v>
      </c>
      <c r="E998" t="s">
        <v>1674</v>
      </c>
      <c r="F998" t="s">
        <v>114</v>
      </c>
      <c r="G998" t="s">
        <v>1712</v>
      </c>
      <c r="H998">
        <v>2</v>
      </c>
      <c r="I998">
        <v>4547.16</v>
      </c>
      <c r="J998">
        <v>9094.32</v>
      </c>
      <c r="AA998">
        <v>45221</v>
      </c>
      <c r="AB998" t="str">
        <v>Nishant</v>
      </c>
      <c r="AC998" t="str">
        <v>Vadodara</v>
      </c>
      <c r="AD998" t="str">
        <v>Gujarat</v>
      </c>
      <c r="AE998" t="str">
        <v>West</v>
      </c>
      <c r="AF998" t="str">
        <v>Stationery</v>
      </c>
      <c r="AG998" t="str">
        <v>Pen</v>
      </c>
      <c r="AH998">
        <v>2</v>
      </c>
      <c r="AI998">
        <v>4547.16</v>
      </c>
      <c r="AJ998">
        <v>9094.32</v>
      </c>
    </row>
    <row r="999" spans="1:36">
      <c r="A999" s="25">
        <v>44965</v>
      </c>
      <c r="B999" t="s">
        <v>1698</v>
      </c>
      <c r="C999" t="s">
        <v>1717</v>
      </c>
      <c r="D999" t="s">
        <v>1696</v>
      </c>
      <c r="E999" t="s">
        <v>1674</v>
      </c>
      <c r="F999" t="s">
        <v>114</v>
      </c>
      <c r="G999" t="s">
        <v>1691</v>
      </c>
      <c r="H999">
        <v>3</v>
      </c>
      <c r="I999">
        <v>2502.81</v>
      </c>
      <c r="J999">
        <v>7508.43</v>
      </c>
      <c r="AA999">
        <v>44965</v>
      </c>
      <c r="AB999" t="str">
        <v>Aryan</v>
      </c>
      <c r="AC999" t="str">
        <v>Vadodara</v>
      </c>
      <c r="AD999" t="str">
        <v>Gujarat</v>
      </c>
      <c r="AE999" t="str">
        <v>West</v>
      </c>
      <c r="AF999" t="str">
        <v>Stationery</v>
      </c>
      <c r="AG999" t="str">
        <v>Eraser</v>
      </c>
      <c r="AH999">
        <v>3</v>
      </c>
      <c r="AI999">
        <v>2502.81</v>
      </c>
      <c r="AJ999">
        <v>7508.43</v>
      </c>
    </row>
    <row r="1000" spans="1:36">
      <c r="A1000" s="25">
        <v>44983</v>
      </c>
      <c r="B1000" t="s">
        <v>1698</v>
      </c>
      <c r="C1000" t="s">
        <v>1717</v>
      </c>
      <c r="D1000" t="s">
        <v>1696</v>
      </c>
      <c r="E1000" t="s">
        <v>1674</v>
      </c>
      <c r="F1000" t="s">
        <v>114</v>
      </c>
      <c r="G1000" t="s">
        <v>1680</v>
      </c>
      <c r="H1000">
        <v>7</v>
      </c>
      <c r="I1000">
        <v>500.63</v>
      </c>
      <c r="J1000">
        <v>3504.41</v>
      </c>
      <c r="AA1000">
        <v>44983</v>
      </c>
      <c r="AB1000" t="str">
        <v>Aryan</v>
      </c>
      <c r="AC1000" t="str">
        <v>Vadodara</v>
      </c>
      <c r="AD1000" t="str">
        <v>Gujarat</v>
      </c>
      <c r="AE1000" t="str">
        <v>West</v>
      </c>
      <c r="AF1000" t="str">
        <v>Stationery</v>
      </c>
      <c r="AG1000" t="str">
        <v>Ruler</v>
      </c>
      <c r="AH1000">
        <v>7</v>
      </c>
      <c r="AI1000">
        <v>500.63</v>
      </c>
      <c r="AJ1000">
        <v>3504.41</v>
      </c>
    </row>
    <row r="1001" spans="1:36">
      <c r="A1001" s="25">
        <v>45163</v>
      </c>
      <c r="B1001" t="s">
        <v>1686</v>
      </c>
      <c r="C1001" t="s">
        <v>1717</v>
      </c>
      <c r="D1001" t="s">
        <v>1696</v>
      </c>
      <c r="E1001" t="s">
        <v>1674</v>
      </c>
      <c r="F1001" t="s">
        <v>114</v>
      </c>
      <c r="G1001" t="s">
        <v>1718</v>
      </c>
      <c r="H1001">
        <v>1</v>
      </c>
      <c r="I1001">
        <v>1678.18</v>
      </c>
      <c r="J1001">
        <v>1678.18</v>
      </c>
      <c r="AA1001">
        <v>45163</v>
      </c>
      <c r="AB1001" t="str">
        <v>Aditi</v>
      </c>
      <c r="AC1001" t="str">
        <v>Vadodara</v>
      </c>
      <c r="AD1001" t="str">
        <v>Gujarat</v>
      </c>
      <c r="AE1001" t="str">
        <v>West</v>
      </c>
      <c r="AF1001" t="str">
        <v>Stationery</v>
      </c>
      <c r="AG1001" t="str">
        <v>Notebook</v>
      </c>
      <c r="AH1001">
        <v>1</v>
      </c>
      <c r="AI1001">
        <v>1678.18</v>
      </c>
      <c r="AJ1001">
        <v>1678.18</v>
      </c>
    </row>
  </sheetData>
  <sortState xmlns:xlrd2="http://schemas.microsoft.com/office/spreadsheetml/2017/richdata2" ref="A2:J1001">
    <sortCondition ref="C2:C1001"/>
    <sortCondition ref="F2:F1001"/>
    <sortCondition descending="1" ref="J2:J1001"/>
  </sortState>
  <dataValidations count="1">
    <dataValidation type="list" allowBlank="1" showInputMessage="1" showErrorMessage="1" sqref="M2:N2" xr:uid="{1408CEA4-EEF6-4532-9D36-814CE4933F4D}">
      <formula1>$L$2:$L$6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39284-9816-45C4-9A05-7C932BB662D2}">
  <dimension ref="A1:L13"/>
  <sheetViews>
    <sheetView workbookViewId="0">
      <selection activeCell="L4" sqref="L4"/>
    </sheetView>
  </sheetViews>
  <sheetFormatPr defaultRowHeight="14.4"/>
  <cols>
    <col min="1" max="1" width="11.5546875" bestFit="1" customWidth="1"/>
    <col min="2" max="2" width="12" bestFit="1" customWidth="1"/>
    <col min="3" max="3" width="11.109375" bestFit="1" customWidth="1"/>
    <col min="4" max="4" width="11.33203125" bestFit="1" customWidth="1"/>
    <col min="5" max="5" width="11.21875" bestFit="1" customWidth="1"/>
    <col min="8" max="8" width="11.5546875" bestFit="1" customWidth="1"/>
    <col min="9" max="9" width="11" bestFit="1" customWidth="1"/>
    <col min="11" max="11" width="11.5546875" bestFit="1" customWidth="1"/>
    <col min="12" max="12" width="11" bestFit="1" customWidth="1"/>
  </cols>
  <sheetData>
    <row r="1" spans="1:12">
      <c r="A1" s="20" t="s">
        <v>9</v>
      </c>
      <c r="B1" s="20" t="s">
        <v>10</v>
      </c>
      <c r="C1" s="20" t="s">
        <v>11</v>
      </c>
      <c r="D1" s="26" t="s">
        <v>12</v>
      </c>
      <c r="E1" s="27" t="s">
        <v>13</v>
      </c>
    </row>
    <row r="2" spans="1:12">
      <c r="A2" s="4" t="s">
        <v>14</v>
      </c>
      <c r="B2" s="4" t="s">
        <v>15</v>
      </c>
      <c r="C2" s="4" t="s">
        <v>16</v>
      </c>
      <c r="D2" s="28">
        <v>41954</v>
      </c>
      <c r="E2" s="29">
        <v>43831</v>
      </c>
    </row>
    <row r="3" spans="1:12">
      <c r="A3" s="4" t="s">
        <v>17</v>
      </c>
      <c r="B3" s="4" t="s">
        <v>18</v>
      </c>
      <c r="C3" s="4" t="s">
        <v>19</v>
      </c>
      <c r="D3" s="28">
        <v>49855</v>
      </c>
      <c r="E3" s="29">
        <v>43832</v>
      </c>
    </row>
    <row r="4" spans="1:12">
      <c r="A4" s="4" t="s">
        <v>20</v>
      </c>
      <c r="B4" s="4" t="s">
        <v>21</v>
      </c>
      <c r="C4" s="4" t="s">
        <v>22</v>
      </c>
      <c r="D4" s="28">
        <v>94210</v>
      </c>
      <c r="E4" s="29">
        <v>43833</v>
      </c>
      <c r="H4" s="20" t="s">
        <v>9</v>
      </c>
      <c r="I4" t="s">
        <v>23</v>
      </c>
      <c r="K4" s="20" t="s">
        <v>9</v>
      </c>
      <c r="L4" t="s">
        <v>14</v>
      </c>
    </row>
    <row r="5" spans="1:12">
      <c r="A5" s="4" t="s">
        <v>23</v>
      </c>
      <c r="B5" s="4" t="s">
        <v>24</v>
      </c>
      <c r="C5" s="4" t="s">
        <v>16</v>
      </c>
      <c r="D5" s="28">
        <v>74689</v>
      </c>
      <c r="E5" s="29">
        <v>43834</v>
      </c>
      <c r="H5" s="20" t="s">
        <v>10</v>
      </c>
      <c r="I5" t="str">
        <f>VLOOKUP($I$4,$A$2:$E$13,ROW()-3,0)</f>
        <v>Employee_4</v>
      </c>
      <c r="K5" s="20" t="s">
        <v>10</v>
      </c>
      <c r="L5" t="str">
        <f>VLOOKUP($L$4,$A$2:$E$13,ROW()-3,0)</f>
        <v>Employee_1</v>
      </c>
    </row>
    <row r="6" spans="1:12">
      <c r="A6" s="4" t="s">
        <v>25</v>
      </c>
      <c r="B6" s="4" t="s">
        <v>26</v>
      </c>
      <c r="C6" s="4" t="s">
        <v>19</v>
      </c>
      <c r="D6" s="28">
        <v>90652</v>
      </c>
      <c r="E6" s="29">
        <v>43835</v>
      </c>
      <c r="H6" s="20" t="s">
        <v>11</v>
      </c>
      <c r="I6" t="str">
        <f t="shared" ref="I6:I8" si="0">VLOOKUP($I$4,$A$2:$E$13,ROW()-3,0)</f>
        <v>Finance</v>
      </c>
      <c r="K6" s="20" t="s">
        <v>11</v>
      </c>
      <c r="L6" t="str">
        <f t="shared" ref="L6:L8" si="1">VLOOKUP($L$4,$A$2:$E$13,ROW()-3,0)</f>
        <v>Finance</v>
      </c>
    </row>
    <row r="7" spans="1:12">
      <c r="A7" s="4" t="s">
        <v>27</v>
      </c>
      <c r="B7" s="4" t="s">
        <v>21</v>
      </c>
      <c r="C7" s="4" t="s">
        <v>19</v>
      </c>
      <c r="D7" s="28">
        <v>74820</v>
      </c>
      <c r="E7" s="29">
        <v>43836</v>
      </c>
      <c r="H7" s="26" t="s">
        <v>12</v>
      </c>
      <c r="I7">
        <f t="shared" si="0"/>
        <v>74689</v>
      </c>
      <c r="K7" s="26" t="s">
        <v>12</v>
      </c>
      <c r="L7">
        <f t="shared" si="1"/>
        <v>41954</v>
      </c>
    </row>
    <row r="8" spans="1:12">
      <c r="A8" s="4" t="s">
        <v>28</v>
      </c>
      <c r="B8" s="4" t="s">
        <v>29</v>
      </c>
      <c r="C8" s="4" t="s">
        <v>22</v>
      </c>
      <c r="D8" s="28">
        <v>85206</v>
      </c>
      <c r="E8" s="29">
        <v>43837</v>
      </c>
      <c r="H8" s="27" t="s">
        <v>13</v>
      </c>
      <c r="I8" s="25">
        <f t="shared" si="0"/>
        <v>43834</v>
      </c>
      <c r="K8" s="27" t="s">
        <v>13</v>
      </c>
      <c r="L8" s="25">
        <f t="shared" si="1"/>
        <v>43831</v>
      </c>
    </row>
    <row r="9" spans="1:12">
      <c r="A9" s="4" t="s">
        <v>30</v>
      </c>
      <c r="B9" s="4" t="s">
        <v>31</v>
      </c>
      <c r="C9" s="4" t="s">
        <v>16</v>
      </c>
      <c r="D9" s="28">
        <v>30924</v>
      </c>
      <c r="E9" s="29">
        <v>43838</v>
      </c>
    </row>
    <row r="10" spans="1:12">
      <c r="A10" s="4" t="s">
        <v>32</v>
      </c>
      <c r="B10" s="4" t="s">
        <v>33</v>
      </c>
      <c r="C10" s="4" t="s">
        <v>19</v>
      </c>
      <c r="D10" s="28">
        <v>57737</v>
      </c>
      <c r="E10" s="29">
        <v>43839</v>
      </c>
    </row>
    <row r="11" spans="1:12">
      <c r="A11" s="4" t="s">
        <v>34</v>
      </c>
      <c r="B11" s="4" t="s">
        <v>35</v>
      </c>
      <c r="C11" s="4" t="s">
        <v>22</v>
      </c>
      <c r="D11" s="28">
        <v>36000</v>
      </c>
      <c r="E11" s="29">
        <v>43840</v>
      </c>
    </row>
    <row r="12" spans="1:12">
      <c r="A12" s="4" t="s">
        <v>36</v>
      </c>
      <c r="B12" s="4" t="s">
        <v>37</v>
      </c>
      <c r="C12" s="4" t="s">
        <v>22</v>
      </c>
      <c r="D12" s="28">
        <v>96371</v>
      </c>
      <c r="E12" s="29">
        <v>43841</v>
      </c>
    </row>
    <row r="13" spans="1:12">
      <c r="A13" s="4" t="s">
        <v>38</v>
      </c>
      <c r="B13" s="4" t="s">
        <v>39</v>
      </c>
      <c r="C13" s="4" t="s">
        <v>19</v>
      </c>
      <c r="D13" s="28">
        <v>85028</v>
      </c>
      <c r="E13" s="29">
        <v>43842</v>
      </c>
    </row>
  </sheetData>
  <conditionalFormatting sqref="A2:E13">
    <cfRule type="expression" dxfId="2" priority="1">
      <formula>$C2=$F$2</formula>
    </cfRule>
  </conditionalFormatting>
  <dataValidations count="1">
    <dataValidation type="list" allowBlank="1" showInputMessage="1" showErrorMessage="1" sqref="I4 L4" xr:uid="{A7EBCE57-1F6A-4779-9F30-93E6E0D5E00C}">
      <formula1>$A$2:$A$13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116EE-43FD-45F6-B2F7-7FC46089B694}">
  <dimension ref="A1:L13"/>
  <sheetViews>
    <sheetView workbookViewId="0">
      <selection activeCell="F5" sqref="F5"/>
    </sheetView>
  </sheetViews>
  <sheetFormatPr defaultRowHeight="14.4"/>
  <cols>
    <col min="1" max="1" width="11.5546875" bestFit="1" customWidth="1"/>
    <col min="2" max="2" width="12" bestFit="1" customWidth="1"/>
    <col min="3" max="3" width="11.109375" bestFit="1" customWidth="1"/>
    <col min="4" max="4" width="11.33203125" bestFit="1" customWidth="1"/>
    <col min="5" max="5" width="11.21875" bestFit="1" customWidth="1"/>
  </cols>
  <sheetData>
    <row r="1" spans="1:12">
      <c r="A1" s="20" t="s">
        <v>9</v>
      </c>
      <c r="B1" s="20" t="s">
        <v>10</v>
      </c>
      <c r="C1" s="20" t="s">
        <v>11</v>
      </c>
      <c r="D1" s="26" t="s">
        <v>12</v>
      </c>
      <c r="E1" s="27" t="s">
        <v>13</v>
      </c>
      <c r="F1" s="21" t="s">
        <v>1720</v>
      </c>
    </row>
    <row r="2" spans="1:12">
      <c r="A2" s="4" t="s">
        <v>14</v>
      </c>
      <c r="B2" s="4" t="s">
        <v>15</v>
      </c>
      <c r="C2" s="4" t="s">
        <v>16</v>
      </c>
      <c r="D2" s="28">
        <v>41954</v>
      </c>
      <c r="E2" s="29">
        <v>43831</v>
      </c>
      <c r="F2" s="4" t="str">
        <f t="shared" ref="F2:F13" si="0">VLOOKUP(D2,Emp_type,2,1)</f>
        <v>Grade 5</v>
      </c>
      <c r="K2" s="30" t="s">
        <v>12</v>
      </c>
      <c r="L2" s="30" t="s">
        <v>1720</v>
      </c>
    </row>
    <row r="3" spans="1:12">
      <c r="A3" s="4" t="s">
        <v>17</v>
      </c>
      <c r="B3" s="4" t="s">
        <v>18</v>
      </c>
      <c r="C3" s="4" t="s">
        <v>19</v>
      </c>
      <c r="D3" s="28">
        <v>49855</v>
      </c>
      <c r="E3" s="29">
        <v>43832</v>
      </c>
      <c r="F3" s="4" t="str">
        <f t="shared" si="0"/>
        <v>Grade 4</v>
      </c>
      <c r="K3" s="31">
        <v>15000</v>
      </c>
      <c r="L3" s="31" t="s">
        <v>1721</v>
      </c>
    </row>
    <row r="4" spans="1:12">
      <c r="A4" s="4" t="s">
        <v>20</v>
      </c>
      <c r="B4" s="4" t="s">
        <v>21</v>
      </c>
      <c r="C4" s="4" t="s">
        <v>22</v>
      </c>
      <c r="D4" s="28">
        <v>94210</v>
      </c>
      <c r="E4" s="29">
        <v>43833</v>
      </c>
      <c r="F4" s="4" t="str">
        <f t="shared" si="0"/>
        <v>Grade 1</v>
      </c>
      <c r="K4" s="31">
        <v>30000</v>
      </c>
      <c r="L4" s="31" t="s">
        <v>1722</v>
      </c>
    </row>
    <row r="5" spans="1:12">
      <c r="A5" s="4" t="s">
        <v>23</v>
      </c>
      <c r="B5" s="4" t="s">
        <v>24</v>
      </c>
      <c r="C5" s="4" t="s">
        <v>16</v>
      </c>
      <c r="D5" s="28">
        <v>74689</v>
      </c>
      <c r="E5" s="29">
        <v>43834</v>
      </c>
      <c r="F5" s="4" t="str">
        <f t="shared" si="0"/>
        <v>Grade 3</v>
      </c>
      <c r="K5" s="31">
        <v>45000</v>
      </c>
      <c r="L5" s="31" t="s">
        <v>1723</v>
      </c>
    </row>
    <row r="6" spans="1:12">
      <c r="A6" s="4" t="s">
        <v>25</v>
      </c>
      <c r="B6" s="4" t="s">
        <v>26</v>
      </c>
      <c r="C6" s="4" t="s">
        <v>19</v>
      </c>
      <c r="D6" s="28">
        <v>90652</v>
      </c>
      <c r="E6" s="29">
        <v>43835</v>
      </c>
      <c r="F6" s="4" t="str">
        <f t="shared" si="0"/>
        <v>Grade 1</v>
      </c>
      <c r="K6" s="31">
        <v>60000</v>
      </c>
      <c r="L6" s="31" t="s">
        <v>1724</v>
      </c>
    </row>
    <row r="7" spans="1:12">
      <c r="A7" s="4" t="s">
        <v>27</v>
      </c>
      <c r="B7" s="4" t="s">
        <v>21</v>
      </c>
      <c r="C7" s="4" t="s">
        <v>19</v>
      </c>
      <c r="D7" s="28">
        <v>74820</v>
      </c>
      <c r="E7" s="29">
        <v>43836</v>
      </c>
      <c r="F7" s="4" t="str">
        <f t="shared" si="0"/>
        <v>Grade 3</v>
      </c>
      <c r="K7" s="31">
        <v>75000</v>
      </c>
      <c r="L7" s="31" t="s">
        <v>1725</v>
      </c>
    </row>
    <row r="8" spans="1:12">
      <c r="A8" s="4" t="s">
        <v>28</v>
      </c>
      <c r="B8" s="4" t="s">
        <v>29</v>
      </c>
      <c r="C8" s="4" t="s">
        <v>22</v>
      </c>
      <c r="D8" s="28">
        <v>85206</v>
      </c>
      <c r="E8" s="29">
        <v>43837</v>
      </c>
      <c r="F8" s="4" t="str">
        <f t="shared" si="0"/>
        <v>Grade 2</v>
      </c>
      <c r="K8" s="31">
        <v>90000</v>
      </c>
      <c r="L8" s="31" t="s">
        <v>1726</v>
      </c>
    </row>
    <row r="9" spans="1:12">
      <c r="A9" s="4" t="s">
        <v>30</v>
      </c>
      <c r="B9" s="4" t="s">
        <v>31</v>
      </c>
      <c r="C9" s="4" t="s">
        <v>16</v>
      </c>
      <c r="D9" s="28">
        <v>30924</v>
      </c>
      <c r="E9" s="29">
        <v>43838</v>
      </c>
      <c r="F9" s="4" t="str">
        <f t="shared" si="0"/>
        <v>Grade 5</v>
      </c>
    </row>
    <row r="10" spans="1:12">
      <c r="A10" s="4" t="s">
        <v>32</v>
      </c>
      <c r="B10" s="4" t="s">
        <v>33</v>
      </c>
      <c r="C10" s="4" t="s">
        <v>19</v>
      </c>
      <c r="D10" s="28">
        <v>57737</v>
      </c>
      <c r="E10" s="29">
        <v>43839</v>
      </c>
      <c r="F10" s="4" t="str">
        <f t="shared" si="0"/>
        <v>Grade 4</v>
      </c>
    </row>
    <row r="11" spans="1:12">
      <c r="A11" s="4" t="s">
        <v>34</v>
      </c>
      <c r="B11" s="4" t="s">
        <v>35</v>
      </c>
      <c r="C11" s="4" t="s">
        <v>22</v>
      </c>
      <c r="D11" s="28">
        <v>36000</v>
      </c>
      <c r="E11" s="29">
        <v>43840</v>
      </c>
      <c r="F11" s="4" t="str">
        <f t="shared" si="0"/>
        <v>Grade 5</v>
      </c>
    </row>
    <row r="12" spans="1:12">
      <c r="A12" s="4" t="s">
        <v>36</v>
      </c>
      <c r="B12" s="4" t="s">
        <v>37</v>
      </c>
      <c r="C12" s="4" t="s">
        <v>22</v>
      </c>
      <c r="D12" s="28">
        <v>96371</v>
      </c>
      <c r="E12" s="29">
        <v>43841</v>
      </c>
      <c r="F12" s="4" t="str">
        <f t="shared" si="0"/>
        <v>Grade 1</v>
      </c>
    </row>
    <row r="13" spans="1:12">
      <c r="A13" s="4" t="s">
        <v>38</v>
      </c>
      <c r="B13" s="4" t="s">
        <v>39</v>
      </c>
      <c r="C13" s="4" t="s">
        <v>19</v>
      </c>
      <c r="D13" s="28">
        <v>85028</v>
      </c>
      <c r="E13" s="29">
        <v>43842</v>
      </c>
      <c r="F13" s="4" t="str">
        <f t="shared" si="0"/>
        <v>Grade 2</v>
      </c>
    </row>
  </sheetData>
  <conditionalFormatting sqref="A2:E13">
    <cfRule type="expression" dxfId="1" priority="1">
      <formula>$C2=#REF!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90B07-74F3-44B4-8A39-695CB7A22FB5}">
  <dimension ref="A1:I13"/>
  <sheetViews>
    <sheetView workbookViewId="0">
      <selection activeCell="I6" sqref="I6"/>
    </sheetView>
  </sheetViews>
  <sheetFormatPr defaultRowHeight="14.4"/>
  <cols>
    <col min="1" max="1" width="11.5546875" bestFit="1" customWidth="1"/>
    <col min="2" max="2" width="12" bestFit="1" customWidth="1"/>
    <col min="3" max="3" width="11.109375" bestFit="1" customWidth="1"/>
    <col min="4" max="4" width="11.33203125" bestFit="1" customWidth="1"/>
    <col min="5" max="5" width="11.21875" bestFit="1" customWidth="1"/>
    <col min="8" max="8" width="11.5546875" bestFit="1" customWidth="1"/>
    <col min="9" max="9" width="11" bestFit="1" customWidth="1"/>
  </cols>
  <sheetData>
    <row r="1" spans="1:9">
      <c r="A1" s="20" t="s">
        <v>9</v>
      </c>
      <c r="B1" s="20" t="s">
        <v>10</v>
      </c>
      <c r="C1" s="20" t="s">
        <v>11</v>
      </c>
      <c r="D1" s="26" t="s">
        <v>12</v>
      </c>
      <c r="E1" s="27" t="s">
        <v>13</v>
      </c>
    </row>
    <row r="2" spans="1:9">
      <c r="A2" s="4" t="s">
        <v>14</v>
      </c>
      <c r="B2" s="4" t="s">
        <v>15</v>
      </c>
      <c r="C2" s="4" t="s">
        <v>16</v>
      </c>
      <c r="D2" s="28">
        <v>41954</v>
      </c>
      <c r="E2" s="29">
        <v>43831</v>
      </c>
    </row>
    <row r="3" spans="1:9">
      <c r="A3" s="4" t="s">
        <v>17</v>
      </c>
      <c r="B3" s="4" t="s">
        <v>18</v>
      </c>
      <c r="C3" s="4" t="s">
        <v>19</v>
      </c>
      <c r="D3" s="28">
        <v>49855</v>
      </c>
      <c r="E3" s="29">
        <v>43832</v>
      </c>
      <c r="H3" s="20" t="s">
        <v>9</v>
      </c>
      <c r="I3" t="s">
        <v>17</v>
      </c>
    </row>
    <row r="4" spans="1:9">
      <c r="A4" s="4" t="s">
        <v>20</v>
      </c>
      <c r="B4" s="4" t="s">
        <v>21</v>
      </c>
      <c r="C4" s="4" t="s">
        <v>22</v>
      </c>
      <c r="D4" s="28">
        <v>94210</v>
      </c>
      <c r="E4" s="29">
        <v>43833</v>
      </c>
      <c r="H4" s="20" t="s">
        <v>11</v>
      </c>
      <c r="I4" s="25" t="str">
        <f>VLOOKUP($I$3,$A$2:$E$13,MATCH(H4,A1:E1,0),0)</f>
        <v>Operations</v>
      </c>
    </row>
    <row r="5" spans="1:9">
      <c r="A5" s="4" t="s">
        <v>23</v>
      </c>
      <c r="B5" s="4" t="s">
        <v>24</v>
      </c>
      <c r="C5" s="4" t="s">
        <v>16</v>
      </c>
      <c r="D5" s="28">
        <v>74689</v>
      </c>
      <c r="E5" s="29">
        <v>43834</v>
      </c>
    </row>
    <row r="6" spans="1:9">
      <c r="A6" s="4" t="s">
        <v>25</v>
      </c>
      <c r="B6" s="4" t="s">
        <v>26</v>
      </c>
      <c r="C6" s="4" t="s">
        <v>19</v>
      </c>
      <c r="D6" s="28">
        <v>90652</v>
      </c>
      <c r="E6" s="29">
        <v>43835</v>
      </c>
      <c r="H6" s="20" t="s">
        <v>9</v>
      </c>
      <c r="I6" t="s">
        <v>14</v>
      </c>
    </row>
    <row r="7" spans="1:9">
      <c r="A7" s="4" t="s">
        <v>27</v>
      </c>
      <c r="B7" s="4" t="s">
        <v>21</v>
      </c>
      <c r="C7" s="4" t="s">
        <v>19</v>
      </c>
      <c r="D7" s="28">
        <v>74820</v>
      </c>
      <c r="E7" s="29">
        <v>43836</v>
      </c>
      <c r="H7" s="20" t="s">
        <v>11</v>
      </c>
      <c r="I7" t="str">
        <f>VLOOKUP($I$6,$A$2:$E$13,MATCH(H7,A1:E1,0),0)</f>
        <v>Finance</v>
      </c>
    </row>
    <row r="8" spans="1:9">
      <c r="A8" s="4" t="s">
        <v>28</v>
      </c>
      <c r="B8" s="4" t="s">
        <v>29</v>
      </c>
      <c r="C8" s="4" t="s">
        <v>22</v>
      </c>
      <c r="D8" s="28">
        <v>85206</v>
      </c>
      <c r="E8" s="29">
        <v>43837</v>
      </c>
    </row>
    <row r="9" spans="1:9">
      <c r="A9" s="4" t="s">
        <v>30</v>
      </c>
      <c r="B9" s="4" t="s">
        <v>31</v>
      </c>
      <c r="C9" s="4" t="s">
        <v>16</v>
      </c>
      <c r="D9" s="28">
        <v>30924</v>
      </c>
      <c r="E9" s="29">
        <v>43838</v>
      </c>
    </row>
    <row r="10" spans="1:9">
      <c r="A10" s="4" t="s">
        <v>32</v>
      </c>
      <c r="B10" s="4" t="s">
        <v>33</v>
      </c>
      <c r="C10" s="4" t="s">
        <v>19</v>
      </c>
      <c r="D10" s="28">
        <v>57737</v>
      </c>
      <c r="E10" s="29">
        <v>43839</v>
      </c>
    </row>
    <row r="11" spans="1:9">
      <c r="A11" s="4" t="s">
        <v>34</v>
      </c>
      <c r="B11" s="4" t="s">
        <v>35</v>
      </c>
      <c r="C11" s="4" t="s">
        <v>22</v>
      </c>
      <c r="D11" s="28">
        <v>36000</v>
      </c>
      <c r="E11" s="29">
        <v>43840</v>
      </c>
    </row>
    <row r="12" spans="1:9">
      <c r="A12" s="4" t="s">
        <v>36</v>
      </c>
      <c r="B12" s="4" t="s">
        <v>37</v>
      </c>
      <c r="C12" s="4" t="s">
        <v>22</v>
      </c>
      <c r="D12" s="28">
        <v>96371</v>
      </c>
      <c r="E12" s="29">
        <v>43841</v>
      </c>
    </row>
    <row r="13" spans="1:9">
      <c r="A13" s="4" t="s">
        <v>38</v>
      </c>
      <c r="B13" s="4" t="s">
        <v>39</v>
      </c>
      <c r="C13" s="4" t="s">
        <v>19</v>
      </c>
      <c r="D13" s="28">
        <v>85028</v>
      </c>
      <c r="E13" s="29">
        <v>43842</v>
      </c>
    </row>
  </sheetData>
  <conditionalFormatting sqref="A2:E13">
    <cfRule type="expression" dxfId="0" priority="1">
      <formula>$C2=$F$2</formula>
    </cfRule>
  </conditionalFormatting>
  <dataValidations count="2">
    <dataValidation type="list" allowBlank="1" showInputMessage="1" showErrorMessage="1" sqref="I3 I6" xr:uid="{5364C63A-9C54-4C50-90F7-094AF219C83D}">
      <formula1>$A$2:$A$13</formula1>
    </dataValidation>
    <dataValidation type="list" allowBlank="1" showInputMessage="1" showErrorMessage="1" sqref="H4 H7" xr:uid="{F85325C2-80A3-42BA-B873-CDD6C443401C}">
      <formula1>$B$1:$E$1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EE300-666B-4B90-8B0E-E9D8568AF1A2}">
  <dimension ref="A1:J13"/>
  <sheetViews>
    <sheetView workbookViewId="0">
      <selection activeCell="D7" sqref="D7"/>
    </sheetView>
  </sheetViews>
  <sheetFormatPr defaultRowHeight="14.4"/>
  <cols>
    <col min="1" max="1" width="16.109375" bestFit="1" customWidth="1"/>
    <col min="2" max="2" width="26.88671875" bestFit="1" customWidth="1"/>
    <col min="3" max="3" width="27.77734375" bestFit="1" customWidth="1"/>
    <col min="4" max="4" width="26.21875" bestFit="1" customWidth="1"/>
    <col min="5" max="5" width="28.109375" bestFit="1" customWidth="1"/>
    <col min="6" max="6" width="25.5546875" bestFit="1" customWidth="1"/>
    <col min="7" max="7" width="25.44140625" bestFit="1" customWidth="1"/>
    <col min="8" max="8" width="26.6640625" bestFit="1" customWidth="1"/>
    <col min="9" max="9" width="26.21875" bestFit="1" customWidth="1"/>
    <col min="10" max="10" width="26.88671875" bestFit="1" customWidth="1"/>
  </cols>
  <sheetData>
    <row r="1" spans="1:10">
      <c r="A1" s="10" t="s">
        <v>1727</v>
      </c>
      <c r="B1" s="10" t="s">
        <v>1728</v>
      </c>
      <c r="C1" s="10" t="s">
        <v>1729</v>
      </c>
      <c r="D1" s="10" t="s">
        <v>1730</v>
      </c>
      <c r="E1" s="10" t="s">
        <v>1731</v>
      </c>
      <c r="F1" s="10" t="s">
        <v>1732</v>
      </c>
      <c r="G1" s="10" t="s">
        <v>1733</v>
      </c>
      <c r="H1" s="10" t="s">
        <v>1734</v>
      </c>
      <c r="I1" s="10" t="s">
        <v>1735</v>
      </c>
      <c r="J1" s="10" t="s">
        <v>1736</v>
      </c>
    </row>
    <row r="2" spans="1:10">
      <c r="A2" t="s">
        <v>1737</v>
      </c>
      <c r="B2" t="s">
        <v>1738</v>
      </c>
      <c r="C2" t="s">
        <v>1739</v>
      </c>
      <c r="D2" t="s">
        <v>1740</v>
      </c>
      <c r="E2" t="s">
        <v>1741</v>
      </c>
      <c r="F2" t="s">
        <v>1742</v>
      </c>
      <c r="G2" t="s">
        <v>1743</v>
      </c>
      <c r="H2" t="s">
        <v>1744</v>
      </c>
      <c r="I2" t="s">
        <v>1745</v>
      </c>
      <c r="J2" t="s">
        <v>1738</v>
      </c>
    </row>
    <row r="3" spans="1:10">
      <c r="A3" t="s">
        <v>1746</v>
      </c>
      <c r="B3" t="s">
        <v>1747</v>
      </c>
      <c r="C3" t="s">
        <v>1748</v>
      </c>
      <c r="D3" t="s">
        <v>1749</v>
      </c>
      <c r="E3" t="s">
        <v>1750</v>
      </c>
      <c r="F3" t="s">
        <v>1742</v>
      </c>
      <c r="G3" t="s">
        <v>1751</v>
      </c>
      <c r="H3" t="s">
        <v>1752</v>
      </c>
      <c r="I3" t="s">
        <v>1753</v>
      </c>
      <c r="J3" t="s">
        <v>1747</v>
      </c>
    </row>
    <row r="4" spans="1:10">
      <c r="A4" t="s">
        <v>1754</v>
      </c>
      <c r="B4" t="s">
        <v>1755</v>
      </c>
      <c r="C4" t="s">
        <v>1756</v>
      </c>
      <c r="D4" t="s">
        <v>1757</v>
      </c>
      <c r="E4" t="s">
        <v>1758</v>
      </c>
      <c r="F4" t="s">
        <v>1742</v>
      </c>
      <c r="G4" t="s">
        <v>1759</v>
      </c>
      <c r="H4" t="s">
        <v>1760</v>
      </c>
      <c r="I4" t="s">
        <v>1761</v>
      </c>
      <c r="J4" t="s">
        <v>1755</v>
      </c>
    </row>
    <row r="5" spans="1:10">
      <c r="A5" t="s">
        <v>1762</v>
      </c>
      <c r="B5" t="s">
        <v>1763</v>
      </c>
      <c r="C5" t="s">
        <v>1764</v>
      </c>
      <c r="D5" t="s">
        <v>1765</v>
      </c>
      <c r="E5" t="s">
        <v>1766</v>
      </c>
      <c r="F5" t="s">
        <v>1742</v>
      </c>
      <c r="G5" t="s">
        <v>1767</v>
      </c>
      <c r="H5" t="s">
        <v>1768</v>
      </c>
      <c r="I5" t="s">
        <v>1769</v>
      </c>
      <c r="J5" t="s">
        <v>1763</v>
      </c>
    </row>
    <row r="6" spans="1:10">
      <c r="A6" t="s">
        <v>1770</v>
      </c>
      <c r="B6" t="s">
        <v>1771</v>
      </c>
      <c r="C6" t="s">
        <v>1772</v>
      </c>
      <c r="D6" t="s">
        <v>1773</v>
      </c>
      <c r="E6" t="s">
        <v>1774</v>
      </c>
      <c r="F6" t="s">
        <v>1742</v>
      </c>
      <c r="G6" t="s">
        <v>1775</v>
      </c>
      <c r="H6" t="s">
        <v>1776</v>
      </c>
      <c r="I6" t="s">
        <v>1777</v>
      </c>
      <c r="J6" t="s">
        <v>1771</v>
      </c>
    </row>
    <row r="7" spans="1:10">
      <c r="A7" t="s">
        <v>1778</v>
      </c>
      <c r="B7" t="s">
        <v>1779</v>
      </c>
      <c r="C7" t="s">
        <v>1780</v>
      </c>
      <c r="D7" t="s">
        <v>1781</v>
      </c>
      <c r="E7" t="s">
        <v>1782</v>
      </c>
      <c r="F7" t="s">
        <v>1742</v>
      </c>
      <c r="G7" t="s">
        <v>1783</v>
      </c>
      <c r="H7" t="s">
        <v>1784</v>
      </c>
      <c r="I7" t="s">
        <v>1785</v>
      </c>
      <c r="J7" t="s">
        <v>1779</v>
      </c>
    </row>
    <row r="8" spans="1:10">
      <c r="A8" t="s">
        <v>1786</v>
      </c>
      <c r="B8" t="s">
        <v>1787</v>
      </c>
      <c r="C8" t="s">
        <v>1788</v>
      </c>
      <c r="D8" t="s">
        <v>1789</v>
      </c>
      <c r="E8" t="s">
        <v>1790</v>
      </c>
      <c r="F8" t="s">
        <v>1742</v>
      </c>
      <c r="G8" t="s">
        <v>1791</v>
      </c>
      <c r="H8" t="s">
        <v>1792</v>
      </c>
      <c r="I8" t="s">
        <v>1793</v>
      </c>
      <c r="J8" t="s">
        <v>1787</v>
      </c>
    </row>
    <row r="9" spans="1:10">
      <c r="A9" t="s">
        <v>1794</v>
      </c>
      <c r="B9" t="s">
        <v>1795</v>
      </c>
      <c r="C9" t="s">
        <v>1796</v>
      </c>
      <c r="D9" t="s">
        <v>1797</v>
      </c>
      <c r="E9" t="s">
        <v>1798</v>
      </c>
      <c r="F9" t="s">
        <v>1742</v>
      </c>
      <c r="G9" t="s">
        <v>1799</v>
      </c>
      <c r="H9" t="s">
        <v>1800</v>
      </c>
      <c r="I9" t="s">
        <v>1801</v>
      </c>
      <c r="J9" t="s">
        <v>1795</v>
      </c>
    </row>
    <row r="12" spans="1:10">
      <c r="B12" s="10" t="s">
        <v>1727</v>
      </c>
      <c r="C12" s="10" t="s">
        <v>1729</v>
      </c>
      <c r="E12" s="10" t="s">
        <v>1727</v>
      </c>
      <c r="F12" s="10" t="s">
        <v>1729</v>
      </c>
    </row>
    <row r="13" spans="1:10">
      <c r="B13" t="s">
        <v>1754</v>
      </c>
      <c r="C13" t="str">
        <f>INDEX(A1:J9,MATCH(B13,A1:A9,0),MATCH(C12,A1:J1,0))</f>
        <v>English (Mr. Brown)</v>
      </c>
      <c r="E13" t="s">
        <v>1746</v>
      </c>
      <c r="F13" t="str">
        <f>INDEX(A1:J9,MATCH(E13,A1:A9,0),MATCH(F12,A1:J1,0))</f>
        <v>Science (Mrs. Lee)</v>
      </c>
    </row>
  </sheetData>
  <dataValidations count="2">
    <dataValidation type="list" allowBlank="1" showInputMessage="1" showErrorMessage="1" sqref="B13 E13" xr:uid="{5343B02A-281C-4B38-B406-8A00E9D28640}">
      <formula1>$A$2:$A$9</formula1>
    </dataValidation>
    <dataValidation type="list" allowBlank="1" showInputMessage="1" showErrorMessage="1" sqref="C12 F12" xr:uid="{16745D50-A71B-4F58-93DB-178E24B49AC2}">
      <formula1>$B$1:$J$1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900BD-8A51-4ACB-B0FE-3B2EB68270D0}">
  <dimension ref="A1:W1001"/>
  <sheetViews>
    <sheetView topLeftCell="A71" workbookViewId="0">
      <selection activeCell="N73" sqref="N73:N87"/>
    </sheetView>
  </sheetViews>
  <sheetFormatPr defaultRowHeight="14.4"/>
  <cols>
    <col min="1" max="1" width="10.5546875" bestFit="1" customWidth="1"/>
    <col min="2" max="2" width="14.6640625" bestFit="1" customWidth="1"/>
    <col min="3" max="3" width="10.6640625" bestFit="1" customWidth="1"/>
    <col min="4" max="4" width="11.44140625" bestFit="1" customWidth="1"/>
    <col min="5" max="5" width="6.77734375" bestFit="1" customWidth="1"/>
    <col min="6" max="6" width="15.77734375" bestFit="1" customWidth="1"/>
    <col min="7" max="7" width="13.21875" bestFit="1" customWidth="1"/>
    <col min="8" max="8" width="8.33203125" bestFit="1" customWidth="1"/>
    <col min="9" max="9" width="12.33203125" bestFit="1" customWidth="1"/>
    <col min="10" max="10" width="12.5546875" bestFit="1" customWidth="1"/>
    <col min="12" max="12" width="13.21875" bestFit="1" customWidth="1"/>
    <col min="13" max="13" width="12" bestFit="1" customWidth="1"/>
    <col min="14" max="14" width="10.21875" bestFit="1" customWidth="1"/>
    <col min="15" max="15" width="15.77734375" bestFit="1" customWidth="1"/>
    <col min="16" max="16" width="8.77734375" bestFit="1" customWidth="1"/>
    <col min="17" max="17" width="9.88671875" bestFit="1" customWidth="1"/>
    <col min="19" max="19" width="6.77734375" bestFit="1" customWidth="1"/>
    <col min="21" max="21" width="13.21875" bestFit="1" customWidth="1"/>
    <col min="23" max="23" width="10.6640625" bestFit="1" customWidth="1"/>
  </cols>
  <sheetData>
    <row r="1" spans="1:23">
      <c r="A1" s="24" t="s">
        <v>1662</v>
      </c>
      <c r="B1" s="8" t="s">
        <v>1669</v>
      </c>
      <c r="C1" s="8" t="s">
        <v>1665</v>
      </c>
      <c r="D1" s="8" t="s">
        <v>1664</v>
      </c>
      <c r="E1" s="8" t="s">
        <v>1663</v>
      </c>
      <c r="F1" s="8" t="s">
        <v>1670</v>
      </c>
      <c r="G1" s="8" t="s">
        <v>80</v>
      </c>
      <c r="H1" s="8" t="s">
        <v>1666</v>
      </c>
      <c r="I1" s="8" t="s">
        <v>1667</v>
      </c>
      <c r="J1" s="8" t="s">
        <v>1668</v>
      </c>
      <c r="L1" s="8" t="s">
        <v>1664</v>
      </c>
      <c r="O1" s="8" t="s">
        <v>1670</v>
      </c>
      <c r="S1" s="8" t="s">
        <v>1663</v>
      </c>
      <c r="U1" s="8" t="s">
        <v>80</v>
      </c>
      <c r="W1" s="8" t="s">
        <v>1665</v>
      </c>
    </row>
    <row r="2" spans="1:23">
      <c r="A2" s="25">
        <v>45102</v>
      </c>
      <c r="B2" t="s">
        <v>1671</v>
      </c>
      <c r="C2" t="s">
        <v>1672</v>
      </c>
      <c r="D2" t="s">
        <v>1673</v>
      </c>
      <c r="E2" t="s">
        <v>1674</v>
      </c>
      <c r="F2" t="s">
        <v>101</v>
      </c>
      <c r="G2" t="s">
        <v>1675</v>
      </c>
      <c r="H2">
        <v>6</v>
      </c>
      <c r="I2">
        <v>4016.25</v>
      </c>
      <c r="J2">
        <v>24097.5</v>
      </c>
      <c r="L2" t="s">
        <v>1673</v>
      </c>
      <c r="M2">
        <f>COUNTIF(D:D,L2)</f>
        <v>207</v>
      </c>
      <c r="O2" t="s">
        <v>101</v>
      </c>
      <c r="S2" t="s">
        <v>1674</v>
      </c>
      <c r="U2" t="s">
        <v>1675</v>
      </c>
      <c r="W2" t="s">
        <v>1672</v>
      </c>
    </row>
    <row r="3" spans="1:23">
      <c r="A3" s="25">
        <v>45231</v>
      </c>
      <c r="B3" t="s">
        <v>1676</v>
      </c>
      <c r="C3" t="s">
        <v>1677</v>
      </c>
      <c r="D3" t="s">
        <v>1678</v>
      </c>
      <c r="E3" t="s">
        <v>1679</v>
      </c>
      <c r="F3" t="s">
        <v>114</v>
      </c>
      <c r="G3" t="s">
        <v>1680</v>
      </c>
      <c r="H3">
        <v>9</v>
      </c>
      <c r="I3">
        <v>3801.85</v>
      </c>
      <c r="J3">
        <v>34216.65</v>
      </c>
      <c r="L3" t="s">
        <v>1678</v>
      </c>
      <c r="M3">
        <f t="shared" ref="M3:M6" si="0">COUNTIF(D:D,L3)</f>
        <v>208</v>
      </c>
      <c r="O3" t="s">
        <v>114</v>
      </c>
      <c r="S3" t="s">
        <v>1679</v>
      </c>
      <c r="U3" t="s">
        <v>1680</v>
      </c>
      <c r="W3" t="s">
        <v>1677</v>
      </c>
    </row>
    <row r="4" spans="1:23">
      <c r="A4" s="25">
        <v>45022</v>
      </c>
      <c r="B4" t="s">
        <v>1681</v>
      </c>
      <c r="C4" t="s">
        <v>1682</v>
      </c>
      <c r="D4" t="s">
        <v>1683</v>
      </c>
      <c r="E4" t="s">
        <v>1679</v>
      </c>
      <c r="F4" t="s">
        <v>114</v>
      </c>
      <c r="G4" t="s">
        <v>1680</v>
      </c>
      <c r="H4">
        <v>11</v>
      </c>
      <c r="I4">
        <v>3594.07</v>
      </c>
      <c r="J4">
        <v>39534.769999999997</v>
      </c>
      <c r="L4" t="s">
        <v>1683</v>
      </c>
      <c r="M4">
        <f t="shared" si="0"/>
        <v>212</v>
      </c>
      <c r="O4" t="s">
        <v>97</v>
      </c>
      <c r="S4" t="s">
        <v>1703</v>
      </c>
      <c r="U4" t="s">
        <v>1685</v>
      </c>
      <c r="W4" t="s">
        <v>1682</v>
      </c>
    </row>
    <row r="5" spans="1:23">
      <c r="A5" s="25">
        <v>45214</v>
      </c>
      <c r="B5" t="s">
        <v>1676</v>
      </c>
      <c r="C5" t="s">
        <v>1684</v>
      </c>
      <c r="D5" t="s">
        <v>1678</v>
      </c>
      <c r="E5" t="s">
        <v>1679</v>
      </c>
      <c r="F5" t="s">
        <v>97</v>
      </c>
      <c r="G5" t="s">
        <v>1685</v>
      </c>
      <c r="H5">
        <v>9</v>
      </c>
      <c r="I5">
        <v>4487</v>
      </c>
      <c r="J5">
        <v>40383</v>
      </c>
      <c r="L5" t="s">
        <v>1696</v>
      </c>
      <c r="M5">
        <f t="shared" si="0"/>
        <v>180</v>
      </c>
      <c r="O5" t="s">
        <v>1687</v>
      </c>
      <c r="U5" t="s">
        <v>1688</v>
      </c>
      <c r="W5" t="s">
        <v>1684</v>
      </c>
    </row>
    <row r="6" spans="1:23">
      <c r="A6" s="25">
        <v>45145</v>
      </c>
      <c r="B6" t="s">
        <v>1686</v>
      </c>
      <c r="C6" t="s">
        <v>1135</v>
      </c>
      <c r="D6" t="s">
        <v>1673</v>
      </c>
      <c r="E6" t="s">
        <v>1674</v>
      </c>
      <c r="F6" t="s">
        <v>1687</v>
      </c>
      <c r="G6" t="s">
        <v>1688</v>
      </c>
      <c r="H6">
        <v>17</v>
      </c>
      <c r="I6">
        <v>1240.77</v>
      </c>
      <c r="J6">
        <v>21093.09</v>
      </c>
      <c r="L6" t="s">
        <v>1702</v>
      </c>
      <c r="M6">
        <f t="shared" si="0"/>
        <v>193</v>
      </c>
      <c r="O6" t="s">
        <v>89</v>
      </c>
      <c r="U6" t="s">
        <v>1691</v>
      </c>
      <c r="W6" t="s">
        <v>1135</v>
      </c>
    </row>
    <row r="7" spans="1:23">
      <c r="A7" s="25">
        <v>45283</v>
      </c>
      <c r="B7" t="s">
        <v>1689</v>
      </c>
      <c r="C7" t="s">
        <v>1690</v>
      </c>
      <c r="D7" t="s">
        <v>1678</v>
      </c>
      <c r="E7" t="s">
        <v>1679</v>
      </c>
      <c r="F7" t="s">
        <v>114</v>
      </c>
      <c r="G7" t="s">
        <v>1691</v>
      </c>
      <c r="H7">
        <v>7</v>
      </c>
      <c r="I7">
        <v>4772.29</v>
      </c>
      <c r="J7">
        <v>33406.03</v>
      </c>
      <c r="U7" t="s">
        <v>1105</v>
      </c>
      <c r="W7" t="s">
        <v>1690</v>
      </c>
    </row>
    <row r="8" spans="1:23">
      <c r="A8" s="25">
        <v>45047</v>
      </c>
      <c r="B8" t="s">
        <v>1692</v>
      </c>
      <c r="C8" t="s">
        <v>1693</v>
      </c>
      <c r="D8" t="s">
        <v>1683</v>
      </c>
      <c r="E8" t="s">
        <v>1679</v>
      </c>
      <c r="F8" t="s">
        <v>89</v>
      </c>
      <c r="G8" t="s">
        <v>1105</v>
      </c>
      <c r="H8">
        <v>5</v>
      </c>
      <c r="I8">
        <v>2196.9899999999998</v>
      </c>
      <c r="J8">
        <v>10984.95</v>
      </c>
      <c r="U8" t="s">
        <v>1106</v>
      </c>
      <c r="W8" t="s">
        <v>1693</v>
      </c>
    </row>
    <row r="9" spans="1:23">
      <c r="A9" s="25">
        <v>45283</v>
      </c>
      <c r="B9" t="s">
        <v>1694</v>
      </c>
      <c r="C9" t="s">
        <v>1695</v>
      </c>
      <c r="D9" t="s">
        <v>1696</v>
      </c>
      <c r="E9" t="s">
        <v>1674</v>
      </c>
      <c r="F9" t="s">
        <v>97</v>
      </c>
      <c r="G9" t="s">
        <v>1685</v>
      </c>
      <c r="H9">
        <v>5</v>
      </c>
      <c r="I9">
        <v>967.6</v>
      </c>
      <c r="J9">
        <v>4838</v>
      </c>
      <c r="L9" s="8" t="s">
        <v>1664</v>
      </c>
      <c r="M9" t="s">
        <v>101</v>
      </c>
      <c r="N9" t="s">
        <v>114</v>
      </c>
      <c r="O9" t="s">
        <v>97</v>
      </c>
      <c r="P9" t="s">
        <v>1687</v>
      </c>
      <c r="Q9" t="s">
        <v>89</v>
      </c>
      <c r="U9" t="s">
        <v>1697</v>
      </c>
      <c r="W9" t="s">
        <v>1695</v>
      </c>
    </row>
    <row r="10" spans="1:23">
      <c r="A10" s="25">
        <v>45222</v>
      </c>
      <c r="B10" t="s">
        <v>1676</v>
      </c>
      <c r="C10" t="s">
        <v>1684</v>
      </c>
      <c r="D10" t="s">
        <v>1678</v>
      </c>
      <c r="E10" t="s">
        <v>1679</v>
      </c>
      <c r="F10" t="s">
        <v>114</v>
      </c>
      <c r="G10" t="s">
        <v>1680</v>
      </c>
      <c r="H10">
        <v>18</v>
      </c>
      <c r="I10">
        <v>3128.59</v>
      </c>
      <c r="J10">
        <v>56314.62</v>
      </c>
      <c r="L10" t="s">
        <v>1673</v>
      </c>
      <c r="M10">
        <f>COUNTIFS($D:$D,$L10,$F:$F,M$9)</f>
        <v>44</v>
      </c>
      <c r="N10">
        <f t="shared" ref="N10:Q14" si="1">COUNTIFS($D:$D,$L10,$F:$F,N$9)</f>
        <v>41</v>
      </c>
      <c r="O10">
        <f t="shared" si="1"/>
        <v>49</v>
      </c>
      <c r="P10">
        <f t="shared" si="1"/>
        <v>34</v>
      </c>
      <c r="Q10">
        <f t="shared" si="1"/>
        <v>39</v>
      </c>
      <c r="U10" t="s">
        <v>1699</v>
      </c>
      <c r="W10" t="s">
        <v>1701</v>
      </c>
    </row>
    <row r="11" spans="1:23">
      <c r="A11" s="25">
        <v>45247</v>
      </c>
      <c r="B11" t="s">
        <v>1681</v>
      </c>
      <c r="C11" t="s">
        <v>1690</v>
      </c>
      <c r="D11" t="s">
        <v>1678</v>
      </c>
      <c r="E11" t="s">
        <v>1679</v>
      </c>
      <c r="F11" t="s">
        <v>101</v>
      </c>
      <c r="G11" t="s">
        <v>1675</v>
      </c>
      <c r="H11">
        <v>10</v>
      </c>
      <c r="I11">
        <v>2754.3</v>
      </c>
      <c r="J11">
        <v>27543</v>
      </c>
      <c r="L11" t="s">
        <v>1678</v>
      </c>
      <c r="M11">
        <f t="shared" ref="M11:M14" si="2">COUNTIFS($D:$D,$L11,$F:$F,M$9)</f>
        <v>41</v>
      </c>
      <c r="N11">
        <f t="shared" si="1"/>
        <v>33</v>
      </c>
      <c r="O11">
        <f t="shared" si="1"/>
        <v>45</v>
      </c>
      <c r="P11">
        <f t="shared" si="1"/>
        <v>43</v>
      </c>
      <c r="Q11">
        <f t="shared" si="1"/>
        <v>46</v>
      </c>
      <c r="U11" t="s">
        <v>1704</v>
      </c>
      <c r="W11" t="s">
        <v>1136</v>
      </c>
    </row>
    <row r="12" spans="1:23">
      <c r="A12" s="25">
        <v>44972</v>
      </c>
      <c r="B12" t="s">
        <v>1676</v>
      </c>
      <c r="C12" t="s">
        <v>1695</v>
      </c>
      <c r="D12" t="s">
        <v>1696</v>
      </c>
      <c r="E12" t="s">
        <v>1674</v>
      </c>
      <c r="F12" t="s">
        <v>89</v>
      </c>
      <c r="G12" t="s">
        <v>1106</v>
      </c>
      <c r="H12">
        <v>19</v>
      </c>
      <c r="I12">
        <v>4896.3100000000004</v>
      </c>
      <c r="J12">
        <v>93029.89</v>
      </c>
      <c r="L12" t="s">
        <v>1683</v>
      </c>
      <c r="M12">
        <f t="shared" si="2"/>
        <v>42</v>
      </c>
      <c r="N12">
        <f t="shared" si="1"/>
        <v>46</v>
      </c>
      <c r="O12">
        <f t="shared" si="1"/>
        <v>42</v>
      </c>
      <c r="P12">
        <f t="shared" si="1"/>
        <v>42</v>
      </c>
      <c r="Q12">
        <f t="shared" si="1"/>
        <v>40</v>
      </c>
      <c r="U12" t="s">
        <v>1708</v>
      </c>
      <c r="W12" t="s">
        <v>1137</v>
      </c>
    </row>
    <row r="13" spans="1:23">
      <c r="A13" s="25">
        <v>45037</v>
      </c>
      <c r="B13" t="s">
        <v>1692</v>
      </c>
      <c r="C13" t="s">
        <v>1693</v>
      </c>
      <c r="D13" t="s">
        <v>1683</v>
      </c>
      <c r="E13" t="s">
        <v>1679</v>
      </c>
      <c r="F13" t="s">
        <v>97</v>
      </c>
      <c r="G13" t="s">
        <v>1697</v>
      </c>
      <c r="H13">
        <v>19</v>
      </c>
      <c r="I13">
        <v>4562.0200000000004</v>
      </c>
      <c r="J13">
        <v>86678.38</v>
      </c>
      <c r="L13" t="s">
        <v>1696</v>
      </c>
      <c r="M13">
        <f t="shared" si="2"/>
        <v>32</v>
      </c>
      <c r="N13">
        <f t="shared" si="1"/>
        <v>35</v>
      </c>
      <c r="O13">
        <f t="shared" si="1"/>
        <v>41</v>
      </c>
      <c r="P13">
        <f t="shared" si="1"/>
        <v>36</v>
      </c>
      <c r="Q13">
        <f t="shared" si="1"/>
        <v>36</v>
      </c>
      <c r="U13" t="s">
        <v>1709</v>
      </c>
      <c r="W13" t="s">
        <v>1706</v>
      </c>
    </row>
    <row r="14" spans="1:23">
      <c r="A14" s="25">
        <v>44938</v>
      </c>
      <c r="B14" t="s">
        <v>1689</v>
      </c>
      <c r="C14" t="s">
        <v>1135</v>
      </c>
      <c r="D14" t="s">
        <v>1673</v>
      </c>
      <c r="E14" t="s">
        <v>1674</v>
      </c>
      <c r="F14" t="s">
        <v>114</v>
      </c>
      <c r="G14" t="s">
        <v>1691</v>
      </c>
      <c r="H14">
        <v>6</v>
      </c>
      <c r="I14">
        <v>4231.7700000000004</v>
      </c>
      <c r="J14">
        <v>25390.62</v>
      </c>
      <c r="L14" t="s">
        <v>1702</v>
      </c>
      <c r="M14">
        <f t="shared" si="2"/>
        <v>46</v>
      </c>
      <c r="N14">
        <f t="shared" si="1"/>
        <v>39</v>
      </c>
      <c r="O14">
        <f t="shared" si="1"/>
        <v>33</v>
      </c>
      <c r="P14">
        <f t="shared" si="1"/>
        <v>34</v>
      </c>
      <c r="Q14">
        <f t="shared" si="1"/>
        <v>41</v>
      </c>
      <c r="U14" t="s">
        <v>1710</v>
      </c>
      <c r="W14" t="s">
        <v>1707</v>
      </c>
    </row>
    <row r="15" spans="1:23">
      <c r="A15" s="25">
        <v>44952</v>
      </c>
      <c r="B15" t="s">
        <v>1698</v>
      </c>
      <c r="C15" t="s">
        <v>1695</v>
      </c>
      <c r="D15" t="s">
        <v>1696</v>
      </c>
      <c r="E15" t="s">
        <v>1674</v>
      </c>
      <c r="F15" t="s">
        <v>97</v>
      </c>
      <c r="G15" t="s">
        <v>1699</v>
      </c>
      <c r="H15">
        <v>20</v>
      </c>
      <c r="I15">
        <v>1027.53</v>
      </c>
      <c r="J15">
        <v>20550.599999999999</v>
      </c>
      <c r="U15" t="s">
        <v>1711</v>
      </c>
      <c r="W15" t="s">
        <v>1716</v>
      </c>
    </row>
    <row r="16" spans="1:23">
      <c r="A16" s="25">
        <v>45073</v>
      </c>
      <c r="B16" t="s">
        <v>1700</v>
      </c>
      <c r="C16" t="s">
        <v>1672</v>
      </c>
      <c r="D16" t="s">
        <v>1673</v>
      </c>
      <c r="E16" t="s">
        <v>1674</v>
      </c>
      <c r="F16" t="s">
        <v>97</v>
      </c>
      <c r="G16" t="s">
        <v>1697</v>
      </c>
      <c r="H16">
        <v>7</v>
      </c>
      <c r="I16">
        <v>1257.3399999999999</v>
      </c>
      <c r="J16">
        <v>8801.3799999999992</v>
      </c>
      <c r="L16" s="8" t="s">
        <v>1663</v>
      </c>
      <c r="U16" t="s">
        <v>1712</v>
      </c>
      <c r="W16" t="s">
        <v>1717</v>
      </c>
    </row>
    <row r="17" spans="1:21">
      <c r="A17" s="25">
        <v>45258</v>
      </c>
      <c r="B17" t="s">
        <v>1692</v>
      </c>
      <c r="C17" t="s">
        <v>1701</v>
      </c>
      <c r="D17" t="s">
        <v>1702</v>
      </c>
      <c r="E17" t="s">
        <v>1703</v>
      </c>
      <c r="F17" t="s">
        <v>97</v>
      </c>
      <c r="G17" t="s">
        <v>1699</v>
      </c>
      <c r="H17">
        <v>9</v>
      </c>
      <c r="I17">
        <v>2634.14</v>
      </c>
      <c r="J17">
        <v>23707.26</v>
      </c>
      <c r="L17" t="s">
        <v>1674</v>
      </c>
      <c r="M17">
        <f>SUMIF($E:$E,$L17,$H:$H)</f>
        <v>4073</v>
      </c>
      <c r="U17" t="s">
        <v>1713</v>
      </c>
    </row>
    <row r="18" spans="1:21">
      <c r="A18" s="25">
        <v>45079</v>
      </c>
      <c r="B18" t="s">
        <v>1686</v>
      </c>
      <c r="C18" t="s">
        <v>1136</v>
      </c>
      <c r="D18" t="s">
        <v>1673</v>
      </c>
      <c r="E18" t="s">
        <v>1674</v>
      </c>
      <c r="F18" t="s">
        <v>101</v>
      </c>
      <c r="G18" t="s">
        <v>1675</v>
      </c>
      <c r="H18">
        <v>11</v>
      </c>
      <c r="I18">
        <v>4509.49</v>
      </c>
      <c r="J18">
        <v>49604.39</v>
      </c>
      <c r="L18" t="s">
        <v>1679</v>
      </c>
      <c r="M18">
        <f t="shared" ref="M18:M19" si="3">SUMIF($E:$E,$L18,$H:$H)</f>
        <v>4434</v>
      </c>
      <c r="U18" t="s">
        <v>1714</v>
      </c>
    </row>
    <row r="19" spans="1:21">
      <c r="A19" s="25">
        <v>44981</v>
      </c>
      <c r="B19" t="s">
        <v>1689</v>
      </c>
      <c r="C19" t="s">
        <v>1137</v>
      </c>
      <c r="D19" t="s">
        <v>1696</v>
      </c>
      <c r="E19" t="s">
        <v>1674</v>
      </c>
      <c r="F19" t="s">
        <v>1687</v>
      </c>
      <c r="G19" t="s">
        <v>1704</v>
      </c>
      <c r="H19">
        <v>3</v>
      </c>
      <c r="I19">
        <v>2738.83</v>
      </c>
      <c r="J19">
        <v>8216.49</v>
      </c>
      <c r="L19" t="s">
        <v>1703</v>
      </c>
      <c r="M19">
        <f t="shared" si="3"/>
        <v>2067</v>
      </c>
      <c r="U19" t="s">
        <v>1715</v>
      </c>
    </row>
    <row r="20" spans="1:21">
      <c r="A20" s="25">
        <v>44974</v>
      </c>
      <c r="B20" t="s">
        <v>1689</v>
      </c>
      <c r="C20" t="s">
        <v>1672</v>
      </c>
      <c r="D20" t="s">
        <v>1673</v>
      </c>
      <c r="E20" t="s">
        <v>1674</v>
      </c>
      <c r="F20" t="s">
        <v>97</v>
      </c>
      <c r="G20" t="s">
        <v>1685</v>
      </c>
      <c r="H20">
        <v>10</v>
      </c>
      <c r="I20">
        <v>4247.74</v>
      </c>
      <c r="J20">
        <v>42477.4</v>
      </c>
      <c r="U20" t="s">
        <v>1718</v>
      </c>
    </row>
    <row r="21" spans="1:21">
      <c r="A21" s="25">
        <v>44972</v>
      </c>
      <c r="B21" t="s">
        <v>1681</v>
      </c>
      <c r="C21" t="s">
        <v>1693</v>
      </c>
      <c r="D21" t="s">
        <v>1683</v>
      </c>
      <c r="E21" t="s">
        <v>1679</v>
      </c>
      <c r="F21" t="s">
        <v>114</v>
      </c>
      <c r="G21" t="s">
        <v>1691</v>
      </c>
      <c r="H21">
        <v>3</v>
      </c>
      <c r="I21">
        <v>1133.19</v>
      </c>
      <c r="J21">
        <v>3399.57</v>
      </c>
      <c r="L21" s="8" t="s">
        <v>80</v>
      </c>
      <c r="M21" s="1" t="s">
        <v>1674</v>
      </c>
      <c r="N21" s="1" t="s">
        <v>1679</v>
      </c>
      <c r="O21" s="1" t="s">
        <v>1703</v>
      </c>
      <c r="U21" t="s">
        <v>1719</v>
      </c>
    </row>
    <row r="22" spans="1:21">
      <c r="A22" s="25">
        <v>44976</v>
      </c>
      <c r="B22" t="s">
        <v>1705</v>
      </c>
      <c r="C22" t="s">
        <v>1706</v>
      </c>
      <c r="D22" t="s">
        <v>1702</v>
      </c>
      <c r="E22" t="s">
        <v>1703</v>
      </c>
      <c r="F22" t="s">
        <v>89</v>
      </c>
      <c r="G22" t="s">
        <v>1106</v>
      </c>
      <c r="H22">
        <v>6</v>
      </c>
      <c r="I22">
        <v>623.22</v>
      </c>
      <c r="J22">
        <v>3739.32</v>
      </c>
      <c r="L22" t="s">
        <v>1675</v>
      </c>
      <c r="M22">
        <f>SUMIFS($H:$H,$G:$G,$L22,$E:$E,M$21)</f>
        <v>195</v>
      </c>
      <c r="N22">
        <f t="shared" ref="N22:O37" si="4">SUMIFS($H:$H,$G:$G,$L22,$E:$E,N$21)</f>
        <v>126</v>
      </c>
      <c r="O22">
        <f t="shared" si="4"/>
        <v>122</v>
      </c>
    </row>
    <row r="23" spans="1:21">
      <c r="A23" s="25">
        <v>45044</v>
      </c>
      <c r="B23" t="s">
        <v>1686</v>
      </c>
      <c r="C23" t="s">
        <v>1677</v>
      </c>
      <c r="D23" t="s">
        <v>1678</v>
      </c>
      <c r="E23" t="s">
        <v>1679</v>
      </c>
      <c r="F23" t="s">
        <v>114</v>
      </c>
      <c r="G23" t="s">
        <v>1680</v>
      </c>
      <c r="H23">
        <v>18</v>
      </c>
      <c r="I23">
        <v>698.42</v>
      </c>
      <c r="J23">
        <v>12571.56</v>
      </c>
      <c r="L23" t="s">
        <v>1680</v>
      </c>
      <c r="M23">
        <f t="shared" ref="M23:O41" si="5">SUMIFS($H:$H,$G:$G,$L23,$E:$E,M$21)</f>
        <v>299</v>
      </c>
      <c r="N23">
        <f t="shared" si="4"/>
        <v>227</v>
      </c>
      <c r="O23">
        <f t="shared" si="4"/>
        <v>100</v>
      </c>
    </row>
    <row r="24" spans="1:21">
      <c r="A24" s="25">
        <v>45266</v>
      </c>
      <c r="B24" t="s">
        <v>1694</v>
      </c>
      <c r="C24" t="s">
        <v>1707</v>
      </c>
      <c r="D24" t="s">
        <v>1683</v>
      </c>
      <c r="E24" t="s">
        <v>1679</v>
      </c>
      <c r="F24" t="s">
        <v>1687</v>
      </c>
      <c r="G24" t="s">
        <v>1708</v>
      </c>
      <c r="H24">
        <v>19</v>
      </c>
      <c r="I24">
        <v>2494.11</v>
      </c>
      <c r="J24">
        <v>47388.09</v>
      </c>
      <c r="L24" t="s">
        <v>1685</v>
      </c>
      <c r="M24">
        <f t="shared" si="5"/>
        <v>333</v>
      </c>
      <c r="N24">
        <f t="shared" si="4"/>
        <v>218</v>
      </c>
      <c r="O24">
        <f t="shared" si="4"/>
        <v>94</v>
      </c>
    </row>
    <row r="25" spans="1:21">
      <c r="A25" s="25">
        <v>45101</v>
      </c>
      <c r="B25" t="s">
        <v>1692</v>
      </c>
      <c r="C25" t="s">
        <v>1690</v>
      </c>
      <c r="D25" t="s">
        <v>1678</v>
      </c>
      <c r="E25" t="s">
        <v>1679</v>
      </c>
      <c r="F25" t="s">
        <v>1687</v>
      </c>
      <c r="G25" t="s">
        <v>1708</v>
      </c>
      <c r="H25">
        <v>15</v>
      </c>
      <c r="I25">
        <v>3368.77</v>
      </c>
      <c r="J25">
        <v>50531.55</v>
      </c>
      <c r="L25" t="s">
        <v>1688</v>
      </c>
      <c r="M25">
        <f t="shared" si="5"/>
        <v>212</v>
      </c>
      <c r="N25">
        <f t="shared" si="4"/>
        <v>170</v>
      </c>
      <c r="O25">
        <f t="shared" si="4"/>
        <v>82</v>
      </c>
    </row>
    <row r="26" spans="1:21">
      <c r="A26" s="25">
        <v>45012</v>
      </c>
      <c r="B26" t="s">
        <v>1681</v>
      </c>
      <c r="C26" t="s">
        <v>1693</v>
      </c>
      <c r="D26" t="s">
        <v>1683</v>
      </c>
      <c r="E26" t="s">
        <v>1679</v>
      </c>
      <c r="F26" t="s">
        <v>101</v>
      </c>
      <c r="G26" t="s">
        <v>1709</v>
      </c>
      <c r="H26">
        <v>2</v>
      </c>
      <c r="I26">
        <v>962.28</v>
      </c>
      <c r="J26">
        <v>1924.56</v>
      </c>
      <c r="L26" t="s">
        <v>1691</v>
      </c>
      <c r="M26">
        <f t="shared" si="5"/>
        <v>221</v>
      </c>
      <c r="N26">
        <f t="shared" si="4"/>
        <v>196</v>
      </c>
      <c r="O26">
        <f t="shared" si="4"/>
        <v>102</v>
      </c>
    </row>
    <row r="27" spans="1:21">
      <c r="A27" s="25">
        <v>45017</v>
      </c>
      <c r="B27" t="s">
        <v>1705</v>
      </c>
      <c r="C27" t="s">
        <v>1136</v>
      </c>
      <c r="D27" t="s">
        <v>1673</v>
      </c>
      <c r="E27" t="s">
        <v>1674</v>
      </c>
      <c r="F27" t="s">
        <v>97</v>
      </c>
      <c r="G27" t="s">
        <v>1699</v>
      </c>
      <c r="H27">
        <v>19</v>
      </c>
      <c r="I27">
        <v>1065.27</v>
      </c>
      <c r="J27">
        <v>20240.13</v>
      </c>
      <c r="L27" t="s">
        <v>1105</v>
      </c>
      <c r="M27">
        <f t="shared" si="5"/>
        <v>136</v>
      </c>
      <c r="N27">
        <f t="shared" si="4"/>
        <v>289</v>
      </c>
      <c r="O27">
        <f t="shared" si="4"/>
        <v>113</v>
      </c>
    </row>
    <row r="28" spans="1:21">
      <c r="A28" s="25">
        <v>45277</v>
      </c>
      <c r="B28" t="s">
        <v>1705</v>
      </c>
      <c r="C28" t="s">
        <v>1695</v>
      </c>
      <c r="D28" t="s">
        <v>1696</v>
      </c>
      <c r="E28" t="s">
        <v>1674</v>
      </c>
      <c r="F28" t="s">
        <v>1687</v>
      </c>
      <c r="G28" t="s">
        <v>1704</v>
      </c>
      <c r="H28">
        <v>10</v>
      </c>
      <c r="I28">
        <v>4507.62</v>
      </c>
      <c r="J28">
        <v>45076.2</v>
      </c>
      <c r="L28" t="s">
        <v>1106</v>
      </c>
      <c r="M28">
        <f t="shared" si="5"/>
        <v>224</v>
      </c>
      <c r="N28">
        <f t="shared" si="4"/>
        <v>161</v>
      </c>
      <c r="O28">
        <f t="shared" si="4"/>
        <v>76</v>
      </c>
    </row>
    <row r="29" spans="1:21">
      <c r="A29" s="25">
        <v>45128</v>
      </c>
      <c r="B29" t="s">
        <v>1686</v>
      </c>
      <c r="C29" t="s">
        <v>1706</v>
      </c>
      <c r="D29" t="s">
        <v>1702</v>
      </c>
      <c r="E29" t="s">
        <v>1703</v>
      </c>
      <c r="F29" t="s">
        <v>97</v>
      </c>
      <c r="G29" t="s">
        <v>1697</v>
      </c>
      <c r="H29">
        <v>4</v>
      </c>
      <c r="I29">
        <v>4373.75</v>
      </c>
      <c r="J29">
        <v>17495</v>
      </c>
      <c r="L29" t="s">
        <v>1697</v>
      </c>
      <c r="M29">
        <f t="shared" si="5"/>
        <v>240</v>
      </c>
      <c r="N29">
        <f t="shared" si="4"/>
        <v>187</v>
      </c>
      <c r="O29">
        <f t="shared" si="4"/>
        <v>117</v>
      </c>
    </row>
    <row r="30" spans="1:21">
      <c r="A30" s="25">
        <v>45167</v>
      </c>
      <c r="B30" t="s">
        <v>1698</v>
      </c>
      <c r="C30" t="s">
        <v>1677</v>
      </c>
      <c r="D30" t="s">
        <v>1678</v>
      </c>
      <c r="E30" t="s">
        <v>1679</v>
      </c>
      <c r="F30" t="s">
        <v>97</v>
      </c>
      <c r="G30" t="s">
        <v>1697</v>
      </c>
      <c r="H30">
        <v>4</v>
      </c>
      <c r="I30">
        <v>791.28</v>
      </c>
      <c r="J30">
        <v>3165.12</v>
      </c>
      <c r="L30" t="s">
        <v>1699</v>
      </c>
      <c r="M30">
        <f t="shared" si="5"/>
        <v>205</v>
      </c>
      <c r="N30">
        <f t="shared" si="4"/>
        <v>246</v>
      </c>
      <c r="O30">
        <f t="shared" si="4"/>
        <v>100</v>
      </c>
    </row>
    <row r="31" spans="1:21">
      <c r="A31" s="25">
        <v>45052</v>
      </c>
      <c r="B31" t="s">
        <v>1694</v>
      </c>
      <c r="C31" t="s">
        <v>1693</v>
      </c>
      <c r="D31" t="s">
        <v>1683</v>
      </c>
      <c r="E31" t="s">
        <v>1679</v>
      </c>
      <c r="F31" t="s">
        <v>1687</v>
      </c>
      <c r="G31" t="s">
        <v>1688</v>
      </c>
      <c r="H31">
        <v>14</v>
      </c>
      <c r="I31">
        <v>4868.33</v>
      </c>
      <c r="J31">
        <v>68156.62</v>
      </c>
      <c r="L31" t="s">
        <v>1704</v>
      </c>
      <c r="M31">
        <f t="shared" si="5"/>
        <v>149</v>
      </c>
      <c r="N31">
        <f t="shared" si="4"/>
        <v>193</v>
      </c>
      <c r="O31">
        <f t="shared" si="4"/>
        <v>93</v>
      </c>
    </row>
    <row r="32" spans="1:21">
      <c r="A32" s="25">
        <v>45258</v>
      </c>
      <c r="B32" t="s">
        <v>1692</v>
      </c>
      <c r="C32" t="s">
        <v>1701</v>
      </c>
      <c r="D32" t="s">
        <v>1702</v>
      </c>
      <c r="E32" t="s">
        <v>1703</v>
      </c>
      <c r="F32" t="s">
        <v>97</v>
      </c>
      <c r="G32" t="s">
        <v>1699</v>
      </c>
      <c r="H32">
        <v>12</v>
      </c>
      <c r="I32">
        <v>1958.77</v>
      </c>
      <c r="J32">
        <v>23505.24</v>
      </c>
      <c r="L32" t="s">
        <v>1708</v>
      </c>
      <c r="M32">
        <f t="shared" si="5"/>
        <v>166</v>
      </c>
      <c r="N32">
        <f t="shared" si="4"/>
        <v>286</v>
      </c>
      <c r="O32">
        <f t="shared" si="4"/>
        <v>141</v>
      </c>
    </row>
    <row r="33" spans="1:15">
      <c r="A33" s="25">
        <v>44939</v>
      </c>
      <c r="B33" t="s">
        <v>1681</v>
      </c>
      <c r="C33" t="s">
        <v>1136</v>
      </c>
      <c r="D33" t="s">
        <v>1673</v>
      </c>
      <c r="E33" t="s">
        <v>1674</v>
      </c>
      <c r="F33" t="s">
        <v>114</v>
      </c>
      <c r="G33" t="s">
        <v>1691</v>
      </c>
      <c r="H33">
        <v>10</v>
      </c>
      <c r="I33">
        <v>3690.75</v>
      </c>
      <c r="J33">
        <v>36907.5</v>
      </c>
      <c r="L33" t="s">
        <v>1709</v>
      </c>
      <c r="M33">
        <f t="shared" si="5"/>
        <v>269</v>
      </c>
      <c r="N33">
        <f t="shared" si="4"/>
        <v>201</v>
      </c>
      <c r="O33">
        <f t="shared" si="4"/>
        <v>98</v>
      </c>
    </row>
    <row r="34" spans="1:15">
      <c r="A34" s="25">
        <v>45097</v>
      </c>
      <c r="B34" t="s">
        <v>1681</v>
      </c>
      <c r="C34" t="s">
        <v>1695</v>
      </c>
      <c r="D34" t="s">
        <v>1696</v>
      </c>
      <c r="E34" t="s">
        <v>1674</v>
      </c>
      <c r="F34" t="s">
        <v>114</v>
      </c>
      <c r="G34" t="s">
        <v>1691</v>
      </c>
      <c r="H34">
        <v>17</v>
      </c>
      <c r="I34">
        <v>1037.05</v>
      </c>
      <c r="J34">
        <v>17629.849999999999</v>
      </c>
      <c r="L34" t="s">
        <v>1710</v>
      </c>
      <c r="M34">
        <f t="shared" si="5"/>
        <v>140</v>
      </c>
      <c r="N34">
        <f t="shared" si="4"/>
        <v>269</v>
      </c>
      <c r="O34">
        <f t="shared" si="4"/>
        <v>49</v>
      </c>
    </row>
    <row r="35" spans="1:15">
      <c r="A35" s="25">
        <v>44937</v>
      </c>
      <c r="B35" t="s">
        <v>1700</v>
      </c>
      <c r="C35" t="s">
        <v>1707</v>
      </c>
      <c r="D35" t="s">
        <v>1683</v>
      </c>
      <c r="E35" t="s">
        <v>1679</v>
      </c>
      <c r="F35" t="s">
        <v>1687</v>
      </c>
      <c r="G35" t="s">
        <v>1710</v>
      </c>
      <c r="H35">
        <v>17</v>
      </c>
      <c r="I35">
        <v>2215.5500000000002</v>
      </c>
      <c r="J35">
        <v>37664.35</v>
      </c>
      <c r="L35" t="s">
        <v>1711</v>
      </c>
      <c r="M35">
        <f t="shared" si="5"/>
        <v>124</v>
      </c>
      <c r="N35">
        <f t="shared" si="4"/>
        <v>309</v>
      </c>
      <c r="O35">
        <f t="shared" si="4"/>
        <v>79</v>
      </c>
    </row>
    <row r="36" spans="1:15">
      <c r="A36" s="25">
        <v>45260</v>
      </c>
      <c r="B36" t="s">
        <v>1700</v>
      </c>
      <c r="C36" t="s">
        <v>1684</v>
      </c>
      <c r="D36" t="s">
        <v>1678</v>
      </c>
      <c r="E36" t="s">
        <v>1679</v>
      </c>
      <c r="F36" t="s">
        <v>97</v>
      </c>
      <c r="G36" t="s">
        <v>1711</v>
      </c>
      <c r="H36">
        <v>19</v>
      </c>
      <c r="I36">
        <v>1343.6</v>
      </c>
      <c r="J36">
        <v>25528.400000000001</v>
      </c>
      <c r="L36" t="s">
        <v>1712</v>
      </c>
      <c r="M36">
        <f t="shared" si="5"/>
        <v>179</v>
      </c>
      <c r="N36">
        <f t="shared" si="4"/>
        <v>258</v>
      </c>
      <c r="O36">
        <f t="shared" si="4"/>
        <v>162</v>
      </c>
    </row>
    <row r="37" spans="1:15">
      <c r="A37" s="25">
        <v>45056</v>
      </c>
      <c r="B37" t="s">
        <v>1700</v>
      </c>
      <c r="C37" t="s">
        <v>1672</v>
      </c>
      <c r="D37" t="s">
        <v>1673</v>
      </c>
      <c r="E37" t="s">
        <v>1674</v>
      </c>
      <c r="F37" t="s">
        <v>1687</v>
      </c>
      <c r="G37" t="s">
        <v>1688</v>
      </c>
      <c r="H37">
        <v>8</v>
      </c>
      <c r="I37">
        <v>4455.43</v>
      </c>
      <c r="J37">
        <v>35643.440000000002</v>
      </c>
      <c r="L37" t="s">
        <v>1713</v>
      </c>
      <c r="M37">
        <f t="shared" si="5"/>
        <v>241</v>
      </c>
      <c r="N37">
        <f t="shared" si="4"/>
        <v>205</v>
      </c>
      <c r="O37">
        <f t="shared" si="4"/>
        <v>178</v>
      </c>
    </row>
    <row r="38" spans="1:15">
      <c r="A38" s="25">
        <v>44950</v>
      </c>
      <c r="B38" t="s">
        <v>1694</v>
      </c>
      <c r="C38" t="s">
        <v>1690</v>
      </c>
      <c r="D38" t="s">
        <v>1678</v>
      </c>
      <c r="E38" t="s">
        <v>1679</v>
      </c>
      <c r="F38" t="s">
        <v>114</v>
      </c>
      <c r="G38" t="s">
        <v>1712</v>
      </c>
      <c r="H38">
        <v>9</v>
      </c>
      <c r="I38">
        <v>3892.79</v>
      </c>
      <c r="J38">
        <v>35035.11</v>
      </c>
      <c r="L38" t="s">
        <v>1714</v>
      </c>
      <c r="M38">
        <f t="shared" si="5"/>
        <v>150</v>
      </c>
      <c r="N38">
        <f t="shared" si="5"/>
        <v>146</v>
      </c>
      <c r="O38">
        <f t="shared" si="5"/>
        <v>105</v>
      </c>
    </row>
    <row r="39" spans="1:15">
      <c r="A39" s="25">
        <v>45266</v>
      </c>
      <c r="B39" t="s">
        <v>1694</v>
      </c>
      <c r="C39" t="s">
        <v>1706</v>
      </c>
      <c r="D39" t="s">
        <v>1702</v>
      </c>
      <c r="E39" t="s">
        <v>1703</v>
      </c>
      <c r="F39" t="s">
        <v>89</v>
      </c>
      <c r="G39" t="s">
        <v>1106</v>
      </c>
      <c r="H39">
        <v>9</v>
      </c>
      <c r="I39">
        <v>4618.59</v>
      </c>
      <c r="J39">
        <v>41567.31</v>
      </c>
      <c r="L39" t="s">
        <v>1715</v>
      </c>
      <c r="M39">
        <f t="shared" si="5"/>
        <v>216</v>
      </c>
      <c r="N39">
        <f t="shared" si="5"/>
        <v>272</v>
      </c>
      <c r="O39">
        <f t="shared" si="5"/>
        <v>141</v>
      </c>
    </row>
    <row r="40" spans="1:15">
      <c r="A40" s="25">
        <v>45161</v>
      </c>
      <c r="B40" t="s">
        <v>1698</v>
      </c>
      <c r="C40" t="s">
        <v>1707</v>
      </c>
      <c r="D40" t="s">
        <v>1683</v>
      </c>
      <c r="E40" t="s">
        <v>1679</v>
      </c>
      <c r="F40" t="s">
        <v>97</v>
      </c>
      <c r="G40" t="s">
        <v>1711</v>
      </c>
      <c r="H40">
        <v>11</v>
      </c>
      <c r="I40">
        <v>3385.93</v>
      </c>
      <c r="J40">
        <v>37245.230000000003</v>
      </c>
      <c r="L40" t="s">
        <v>1718</v>
      </c>
      <c r="M40">
        <f t="shared" si="5"/>
        <v>188</v>
      </c>
      <c r="N40">
        <f t="shared" si="5"/>
        <v>212</v>
      </c>
      <c r="O40">
        <f t="shared" si="5"/>
        <v>42</v>
      </c>
    </row>
    <row r="41" spans="1:15">
      <c r="A41" s="25">
        <v>44975</v>
      </c>
      <c r="B41" t="s">
        <v>1694</v>
      </c>
      <c r="C41" t="s">
        <v>1695</v>
      </c>
      <c r="D41" t="s">
        <v>1696</v>
      </c>
      <c r="E41" t="s">
        <v>1674</v>
      </c>
      <c r="F41" t="s">
        <v>114</v>
      </c>
      <c r="G41" t="s">
        <v>1691</v>
      </c>
      <c r="H41">
        <v>14</v>
      </c>
      <c r="I41">
        <v>2452.98</v>
      </c>
      <c r="J41">
        <v>34341.72</v>
      </c>
      <c r="L41" t="s">
        <v>1719</v>
      </c>
      <c r="M41">
        <f t="shared" si="5"/>
        <v>186</v>
      </c>
      <c r="N41">
        <f t="shared" si="5"/>
        <v>263</v>
      </c>
      <c r="O41">
        <f t="shared" si="5"/>
        <v>73</v>
      </c>
    </row>
    <row r="42" spans="1:15">
      <c r="A42" s="25">
        <v>45142</v>
      </c>
      <c r="B42" t="s">
        <v>1671</v>
      </c>
      <c r="C42" t="s">
        <v>1682</v>
      </c>
      <c r="D42" t="s">
        <v>1683</v>
      </c>
      <c r="E42" t="s">
        <v>1679</v>
      </c>
      <c r="F42" t="s">
        <v>89</v>
      </c>
      <c r="G42" t="s">
        <v>1105</v>
      </c>
      <c r="H42">
        <v>16</v>
      </c>
      <c r="I42">
        <v>695.96</v>
      </c>
      <c r="J42">
        <v>11135.36</v>
      </c>
    </row>
    <row r="43" spans="1:15">
      <c r="A43" s="25">
        <v>44986</v>
      </c>
      <c r="B43" t="s">
        <v>1686</v>
      </c>
      <c r="C43" t="s">
        <v>1695</v>
      </c>
      <c r="D43" t="s">
        <v>1696</v>
      </c>
      <c r="E43" t="s">
        <v>1674</v>
      </c>
      <c r="F43" t="s">
        <v>89</v>
      </c>
      <c r="G43" t="s">
        <v>1713</v>
      </c>
      <c r="H43">
        <v>1</v>
      </c>
      <c r="I43">
        <v>1979.54</v>
      </c>
      <c r="J43">
        <v>1979.54</v>
      </c>
      <c r="L43" s="8" t="s">
        <v>1664</v>
      </c>
    </row>
    <row r="44" spans="1:15">
      <c r="A44" s="25">
        <v>45016</v>
      </c>
      <c r="B44" t="s">
        <v>1692</v>
      </c>
      <c r="C44" t="s">
        <v>1706</v>
      </c>
      <c r="D44" t="s">
        <v>1702</v>
      </c>
      <c r="E44" t="s">
        <v>1703</v>
      </c>
      <c r="F44" t="s">
        <v>114</v>
      </c>
      <c r="G44" t="s">
        <v>1680</v>
      </c>
      <c r="H44">
        <v>9</v>
      </c>
      <c r="I44">
        <v>3727.82</v>
      </c>
      <c r="J44">
        <v>33550.379999999997</v>
      </c>
      <c r="L44" t="s">
        <v>1673</v>
      </c>
      <c r="M44">
        <f>AVERAGEIF($D:$D,$L44,$J:$J)</f>
        <v>27830.673719806764</v>
      </c>
    </row>
    <row r="45" spans="1:15">
      <c r="A45" s="25">
        <v>45031</v>
      </c>
      <c r="B45" t="s">
        <v>1671</v>
      </c>
      <c r="C45" t="s">
        <v>1137</v>
      </c>
      <c r="D45" t="s">
        <v>1696</v>
      </c>
      <c r="E45" t="s">
        <v>1674</v>
      </c>
      <c r="F45" t="s">
        <v>1687</v>
      </c>
      <c r="G45" t="s">
        <v>1710</v>
      </c>
      <c r="H45">
        <v>1</v>
      </c>
      <c r="I45">
        <v>1495.61</v>
      </c>
      <c r="J45">
        <v>1495.61</v>
      </c>
      <c r="L45" t="s">
        <v>1678</v>
      </c>
      <c r="M45">
        <f t="shared" ref="M45:M48" si="6">AVERAGEIF($D:$D,$L45,$J:$J)</f>
        <v>27134.402211538465</v>
      </c>
    </row>
    <row r="46" spans="1:15">
      <c r="A46" s="25">
        <v>45288</v>
      </c>
      <c r="B46" t="s">
        <v>1698</v>
      </c>
      <c r="C46" t="s">
        <v>1135</v>
      </c>
      <c r="D46" t="s">
        <v>1673</v>
      </c>
      <c r="E46" t="s">
        <v>1674</v>
      </c>
      <c r="F46" t="s">
        <v>97</v>
      </c>
      <c r="G46" t="s">
        <v>1697</v>
      </c>
      <c r="H46">
        <v>18</v>
      </c>
      <c r="I46">
        <v>1928.15</v>
      </c>
      <c r="J46">
        <v>34706.699999999997</v>
      </c>
      <c r="L46" t="s">
        <v>1683</v>
      </c>
      <c r="M46">
        <f t="shared" si="6"/>
        <v>26483.015047169814</v>
      </c>
    </row>
    <row r="47" spans="1:15">
      <c r="A47" s="25">
        <v>44989</v>
      </c>
      <c r="B47" t="s">
        <v>1689</v>
      </c>
      <c r="C47" t="s">
        <v>1135</v>
      </c>
      <c r="D47" t="s">
        <v>1673</v>
      </c>
      <c r="E47" t="s">
        <v>1674</v>
      </c>
      <c r="F47" t="s">
        <v>114</v>
      </c>
      <c r="G47" t="s">
        <v>1691</v>
      </c>
      <c r="H47">
        <v>1</v>
      </c>
      <c r="I47">
        <v>4192.3900000000003</v>
      </c>
      <c r="J47">
        <v>4192.3900000000003</v>
      </c>
      <c r="L47" t="s">
        <v>1696</v>
      </c>
      <c r="M47">
        <f t="shared" si="6"/>
        <v>28533.112000000012</v>
      </c>
    </row>
    <row r="48" spans="1:15">
      <c r="A48" s="25">
        <v>44961</v>
      </c>
      <c r="B48" t="s">
        <v>1698</v>
      </c>
      <c r="C48" t="s">
        <v>1690</v>
      </c>
      <c r="D48" t="s">
        <v>1678</v>
      </c>
      <c r="E48" t="s">
        <v>1679</v>
      </c>
      <c r="F48" t="s">
        <v>89</v>
      </c>
      <c r="G48" t="s">
        <v>1714</v>
      </c>
      <c r="H48">
        <v>7</v>
      </c>
      <c r="I48">
        <v>4988.71</v>
      </c>
      <c r="J48">
        <v>34920.97</v>
      </c>
      <c r="L48" t="s">
        <v>1702</v>
      </c>
      <c r="M48">
        <f t="shared" si="6"/>
        <v>26873.913056994821</v>
      </c>
    </row>
    <row r="49" spans="1:17">
      <c r="A49" s="25">
        <v>45035</v>
      </c>
      <c r="B49" t="s">
        <v>1694</v>
      </c>
      <c r="C49" t="s">
        <v>1707</v>
      </c>
      <c r="D49" t="s">
        <v>1683</v>
      </c>
      <c r="E49" t="s">
        <v>1679</v>
      </c>
      <c r="F49" t="s">
        <v>97</v>
      </c>
      <c r="G49" t="s">
        <v>1697</v>
      </c>
      <c r="H49">
        <v>9</v>
      </c>
      <c r="I49">
        <v>1328.13</v>
      </c>
      <c r="J49">
        <v>11953.17</v>
      </c>
    </row>
    <row r="50" spans="1:17">
      <c r="A50" s="25">
        <v>45190</v>
      </c>
      <c r="B50" t="s">
        <v>1698</v>
      </c>
      <c r="C50" t="s">
        <v>1136</v>
      </c>
      <c r="D50" t="s">
        <v>1673</v>
      </c>
      <c r="E50" t="s">
        <v>1674</v>
      </c>
      <c r="F50" t="s">
        <v>101</v>
      </c>
      <c r="G50" t="s">
        <v>1715</v>
      </c>
      <c r="H50">
        <v>9</v>
      </c>
      <c r="I50">
        <v>722.44</v>
      </c>
      <c r="J50">
        <v>6501.96</v>
      </c>
      <c r="L50" s="8" t="s">
        <v>80</v>
      </c>
      <c r="M50" t="s">
        <v>1673</v>
      </c>
      <c r="N50" t="s">
        <v>1678</v>
      </c>
      <c r="O50" t="s">
        <v>1683</v>
      </c>
      <c r="P50" t="s">
        <v>1696</v>
      </c>
      <c r="Q50" t="s">
        <v>1702</v>
      </c>
    </row>
    <row r="51" spans="1:17">
      <c r="A51" s="25">
        <v>45220</v>
      </c>
      <c r="B51" t="s">
        <v>1681</v>
      </c>
      <c r="C51" t="s">
        <v>1672</v>
      </c>
      <c r="D51" t="s">
        <v>1673</v>
      </c>
      <c r="E51" t="s">
        <v>1674</v>
      </c>
      <c r="F51" t="s">
        <v>97</v>
      </c>
      <c r="G51" t="s">
        <v>1697</v>
      </c>
      <c r="H51">
        <v>2</v>
      </c>
      <c r="I51">
        <v>4726.0600000000004</v>
      </c>
      <c r="J51">
        <v>9452.1200000000008</v>
      </c>
      <c r="L51" t="s">
        <v>1675</v>
      </c>
      <c r="M51">
        <f>AVERAGEIFS($J:$J,$G:$G,$L51,$D:$D,M$50)</f>
        <v>38662.597000000002</v>
      </c>
      <c r="N51">
        <f t="shared" ref="N51:Q66" si="7">AVERAGEIFS($J:$J,$G:$G,$L51,$D:$D,N$50)</f>
        <v>35085.671428571426</v>
      </c>
      <c r="O51">
        <f t="shared" si="7"/>
        <v>23067.121111111115</v>
      </c>
      <c r="P51">
        <f t="shared" si="7"/>
        <v>32837.26</v>
      </c>
      <c r="Q51">
        <f>AVERAGEIFS($J:$J,$G:$G,$L51,$D:$D,Q$50)</f>
        <v>15672.716153846159</v>
      </c>
    </row>
    <row r="52" spans="1:17">
      <c r="A52" s="25">
        <v>44963</v>
      </c>
      <c r="B52" t="s">
        <v>1694</v>
      </c>
      <c r="C52" t="s">
        <v>1682</v>
      </c>
      <c r="D52" t="s">
        <v>1683</v>
      </c>
      <c r="E52" t="s">
        <v>1679</v>
      </c>
      <c r="F52" t="s">
        <v>97</v>
      </c>
      <c r="G52" t="s">
        <v>1699</v>
      </c>
      <c r="H52">
        <v>3</v>
      </c>
      <c r="I52">
        <v>2263.4699999999998</v>
      </c>
      <c r="J52">
        <v>6790.41</v>
      </c>
      <c r="L52" t="s">
        <v>1680</v>
      </c>
      <c r="M52">
        <f t="shared" ref="M52:Q70" si="8">AVERAGEIFS($J:$J,$G:$G,$L52,$D:$D,M$50)</f>
        <v>43785.45785714285</v>
      </c>
      <c r="N52">
        <f t="shared" si="7"/>
        <v>30057.322727272731</v>
      </c>
      <c r="O52">
        <f t="shared" si="7"/>
        <v>31485.851111111115</v>
      </c>
      <c r="P52">
        <f t="shared" si="7"/>
        <v>26490.767777777783</v>
      </c>
      <c r="Q52">
        <f t="shared" si="7"/>
        <v>18489.218181818178</v>
      </c>
    </row>
    <row r="53" spans="1:17">
      <c r="A53" s="25">
        <v>45042</v>
      </c>
      <c r="B53" t="s">
        <v>1681</v>
      </c>
      <c r="C53" t="s">
        <v>1693</v>
      </c>
      <c r="D53" t="s">
        <v>1683</v>
      </c>
      <c r="E53" t="s">
        <v>1679</v>
      </c>
      <c r="F53" t="s">
        <v>101</v>
      </c>
      <c r="G53" t="s">
        <v>1709</v>
      </c>
      <c r="H53">
        <v>20</v>
      </c>
      <c r="I53">
        <v>4365.58</v>
      </c>
      <c r="J53">
        <v>87311.6</v>
      </c>
      <c r="L53" t="s">
        <v>1685</v>
      </c>
      <c r="M53">
        <f t="shared" si="8"/>
        <v>30640.467857142856</v>
      </c>
      <c r="N53">
        <f t="shared" si="7"/>
        <v>29541.248333333333</v>
      </c>
      <c r="O53">
        <f t="shared" si="7"/>
        <v>24915.604615384618</v>
      </c>
      <c r="P53">
        <f t="shared" si="7"/>
        <v>36623.430625000001</v>
      </c>
      <c r="Q53">
        <f t="shared" si="7"/>
        <v>17321.052222222221</v>
      </c>
    </row>
    <row r="54" spans="1:17">
      <c r="A54" s="25">
        <v>44942</v>
      </c>
      <c r="B54" t="s">
        <v>1700</v>
      </c>
      <c r="C54" t="s">
        <v>1716</v>
      </c>
      <c r="D54" t="s">
        <v>1702</v>
      </c>
      <c r="E54" t="s">
        <v>1703</v>
      </c>
      <c r="F54" t="s">
        <v>89</v>
      </c>
      <c r="G54" t="s">
        <v>1105</v>
      </c>
      <c r="H54">
        <v>20</v>
      </c>
      <c r="I54">
        <v>3925.65</v>
      </c>
      <c r="J54">
        <v>78513</v>
      </c>
      <c r="L54" t="s">
        <v>1688</v>
      </c>
      <c r="M54">
        <f t="shared" si="8"/>
        <v>22604.764999999999</v>
      </c>
      <c r="N54">
        <f t="shared" si="7"/>
        <v>22387.314545454548</v>
      </c>
      <c r="O54">
        <f t="shared" si="7"/>
        <v>18460.167142857143</v>
      </c>
      <c r="P54">
        <f t="shared" si="7"/>
        <v>33434.662499999999</v>
      </c>
      <c r="Q54">
        <f t="shared" si="7"/>
        <v>30643.447777777779</v>
      </c>
    </row>
    <row r="55" spans="1:17">
      <c r="A55" s="25">
        <v>45202</v>
      </c>
      <c r="B55" t="s">
        <v>1676</v>
      </c>
      <c r="C55" t="s">
        <v>1690</v>
      </c>
      <c r="D55" t="s">
        <v>1678</v>
      </c>
      <c r="E55" t="s">
        <v>1679</v>
      </c>
      <c r="F55" t="s">
        <v>101</v>
      </c>
      <c r="G55" t="s">
        <v>1715</v>
      </c>
      <c r="H55">
        <v>3</v>
      </c>
      <c r="I55">
        <v>3613.98</v>
      </c>
      <c r="J55">
        <v>10841.94</v>
      </c>
      <c r="L55" t="s">
        <v>1691</v>
      </c>
      <c r="M55">
        <f t="shared" si="8"/>
        <v>21005.857272727266</v>
      </c>
      <c r="N55">
        <f t="shared" si="7"/>
        <v>38438.672500000001</v>
      </c>
      <c r="O55">
        <f t="shared" si="7"/>
        <v>27159.828000000001</v>
      </c>
      <c r="P55">
        <f t="shared" si="7"/>
        <v>27662.045000000002</v>
      </c>
      <c r="Q55">
        <f t="shared" si="7"/>
        <v>27295.468000000001</v>
      </c>
    </row>
    <row r="56" spans="1:17">
      <c r="A56" s="25">
        <v>45088</v>
      </c>
      <c r="B56" t="s">
        <v>1698</v>
      </c>
      <c r="C56" t="s">
        <v>1135</v>
      </c>
      <c r="D56" t="s">
        <v>1673</v>
      </c>
      <c r="E56" t="s">
        <v>1674</v>
      </c>
      <c r="F56" t="s">
        <v>114</v>
      </c>
      <c r="G56" t="s">
        <v>1712</v>
      </c>
      <c r="H56">
        <v>7</v>
      </c>
      <c r="I56">
        <v>2483.54</v>
      </c>
      <c r="J56">
        <v>17384.78</v>
      </c>
      <c r="L56" t="s">
        <v>1105</v>
      </c>
      <c r="M56">
        <f t="shared" si="8"/>
        <v>20493.717000000001</v>
      </c>
      <c r="N56">
        <f t="shared" si="7"/>
        <v>30791.050769230766</v>
      </c>
      <c r="O56">
        <f t="shared" si="7"/>
        <v>19381.846000000001</v>
      </c>
      <c r="P56">
        <f t="shared" si="7"/>
        <v>24442.227999999996</v>
      </c>
      <c r="Q56">
        <f t="shared" si="7"/>
        <v>29032.670000000002</v>
      </c>
    </row>
    <row r="57" spans="1:17">
      <c r="A57" s="25">
        <v>45201</v>
      </c>
      <c r="B57" t="s">
        <v>1689</v>
      </c>
      <c r="C57" t="s">
        <v>1701</v>
      </c>
      <c r="D57" t="s">
        <v>1702</v>
      </c>
      <c r="E57" t="s">
        <v>1703</v>
      </c>
      <c r="F57" t="s">
        <v>101</v>
      </c>
      <c r="G57" t="s">
        <v>1715</v>
      </c>
      <c r="H57">
        <v>14</v>
      </c>
      <c r="I57">
        <v>2145.21</v>
      </c>
      <c r="J57">
        <v>30032.94</v>
      </c>
      <c r="L57" t="s">
        <v>1106</v>
      </c>
      <c r="M57">
        <f t="shared" si="8"/>
        <v>30650.07</v>
      </c>
      <c r="N57">
        <f t="shared" si="7"/>
        <v>17166.381818181821</v>
      </c>
      <c r="O57">
        <f t="shared" si="7"/>
        <v>16054.804545454546</v>
      </c>
      <c r="P57">
        <f t="shared" si="7"/>
        <v>18891.224285714281</v>
      </c>
      <c r="Q57">
        <f t="shared" si="7"/>
        <v>29154.786666666663</v>
      </c>
    </row>
    <row r="58" spans="1:17">
      <c r="A58" s="25">
        <v>45254</v>
      </c>
      <c r="B58" t="s">
        <v>1698</v>
      </c>
      <c r="C58" t="s">
        <v>1707</v>
      </c>
      <c r="D58" t="s">
        <v>1683</v>
      </c>
      <c r="E58" t="s">
        <v>1679</v>
      </c>
      <c r="F58" t="s">
        <v>89</v>
      </c>
      <c r="G58" t="s">
        <v>1713</v>
      </c>
      <c r="H58">
        <v>8</v>
      </c>
      <c r="I58">
        <v>4997.45</v>
      </c>
      <c r="J58">
        <v>39979.599999999999</v>
      </c>
      <c r="L58" t="s">
        <v>1697</v>
      </c>
      <c r="M58">
        <f t="shared" si="8"/>
        <v>23413.66153846154</v>
      </c>
      <c r="N58">
        <f t="shared" si="7"/>
        <v>19109.514166666664</v>
      </c>
      <c r="O58">
        <f t="shared" si="7"/>
        <v>30651.684285714284</v>
      </c>
      <c r="P58">
        <f t="shared" si="7"/>
        <v>18084.935000000001</v>
      </c>
      <c r="Q58">
        <f t="shared" si="7"/>
        <v>26026.233</v>
      </c>
    </row>
    <row r="59" spans="1:17">
      <c r="A59" s="25">
        <v>45116</v>
      </c>
      <c r="B59" t="s">
        <v>1700</v>
      </c>
      <c r="C59" t="s">
        <v>1695</v>
      </c>
      <c r="D59" t="s">
        <v>1696</v>
      </c>
      <c r="E59" t="s">
        <v>1674</v>
      </c>
      <c r="F59" t="s">
        <v>89</v>
      </c>
      <c r="G59" t="s">
        <v>1106</v>
      </c>
      <c r="H59">
        <v>3</v>
      </c>
      <c r="I59">
        <v>1753.98</v>
      </c>
      <c r="J59">
        <v>5261.94</v>
      </c>
      <c r="L59" t="s">
        <v>1699</v>
      </c>
      <c r="M59">
        <f t="shared" si="8"/>
        <v>27481.546153846153</v>
      </c>
      <c r="N59">
        <f t="shared" si="7"/>
        <v>27920.510714285716</v>
      </c>
      <c r="O59">
        <f t="shared" si="7"/>
        <v>17877.334999999999</v>
      </c>
      <c r="P59">
        <f t="shared" si="7"/>
        <v>18763.748333333333</v>
      </c>
      <c r="Q59">
        <f t="shared" si="7"/>
        <v>37175.017500000002</v>
      </c>
    </row>
    <row r="60" spans="1:17">
      <c r="A60" s="25">
        <v>45036</v>
      </c>
      <c r="B60" t="s">
        <v>1692</v>
      </c>
      <c r="C60" t="s">
        <v>1693</v>
      </c>
      <c r="D60" t="s">
        <v>1683</v>
      </c>
      <c r="E60" t="s">
        <v>1679</v>
      </c>
      <c r="F60" t="s">
        <v>89</v>
      </c>
      <c r="G60" t="s">
        <v>1713</v>
      </c>
      <c r="H60">
        <v>2</v>
      </c>
      <c r="I60">
        <v>1207.92</v>
      </c>
      <c r="J60">
        <v>2415.84</v>
      </c>
      <c r="L60" t="s">
        <v>1704</v>
      </c>
      <c r="M60">
        <f t="shared" si="8"/>
        <v>38081.866249999999</v>
      </c>
      <c r="N60">
        <f t="shared" si="7"/>
        <v>23350.72923076923</v>
      </c>
      <c r="O60">
        <f t="shared" si="7"/>
        <v>19208.84375</v>
      </c>
      <c r="P60">
        <f t="shared" si="7"/>
        <v>31220.098571428571</v>
      </c>
      <c r="Q60">
        <f t="shared" si="7"/>
        <v>30889.668888888886</v>
      </c>
    </row>
    <row r="61" spans="1:17">
      <c r="A61" s="25">
        <v>44995</v>
      </c>
      <c r="B61" t="s">
        <v>1686</v>
      </c>
      <c r="C61" t="s">
        <v>1136</v>
      </c>
      <c r="D61" t="s">
        <v>1673</v>
      </c>
      <c r="E61" t="s">
        <v>1674</v>
      </c>
      <c r="F61" t="s">
        <v>89</v>
      </c>
      <c r="G61" t="s">
        <v>1714</v>
      </c>
      <c r="H61">
        <v>13</v>
      </c>
      <c r="I61">
        <v>4196.33</v>
      </c>
      <c r="J61">
        <v>54552.29</v>
      </c>
      <c r="L61" t="s">
        <v>1708</v>
      </c>
      <c r="M61">
        <f t="shared" si="8"/>
        <v>13318.489999999998</v>
      </c>
      <c r="N61">
        <f t="shared" si="7"/>
        <v>40036.877500000002</v>
      </c>
      <c r="O61">
        <f t="shared" si="7"/>
        <v>31959.315624999999</v>
      </c>
      <c r="P61">
        <f t="shared" si="7"/>
        <v>29435.414444444443</v>
      </c>
      <c r="Q61">
        <f t="shared" si="7"/>
        <v>30991.66272727272</v>
      </c>
    </row>
    <row r="62" spans="1:17">
      <c r="A62" s="25">
        <v>45049</v>
      </c>
      <c r="B62" t="s">
        <v>1705</v>
      </c>
      <c r="C62" t="s">
        <v>1717</v>
      </c>
      <c r="D62" t="s">
        <v>1696</v>
      </c>
      <c r="E62" t="s">
        <v>1674</v>
      </c>
      <c r="F62" t="s">
        <v>114</v>
      </c>
      <c r="G62" t="s">
        <v>1680</v>
      </c>
      <c r="H62">
        <v>18</v>
      </c>
      <c r="I62">
        <v>1310.78</v>
      </c>
      <c r="J62">
        <v>23594.04</v>
      </c>
      <c r="L62" t="s">
        <v>1709</v>
      </c>
      <c r="M62">
        <f t="shared" si="8"/>
        <v>24333.632142857143</v>
      </c>
      <c r="N62">
        <f t="shared" si="7"/>
        <v>16080.82</v>
      </c>
      <c r="O62">
        <f t="shared" si="7"/>
        <v>32533.198666666667</v>
      </c>
      <c r="P62">
        <f t="shared" si="7"/>
        <v>25486.045000000002</v>
      </c>
      <c r="Q62">
        <f t="shared" si="7"/>
        <v>23029.406666666666</v>
      </c>
    </row>
    <row r="63" spans="1:17">
      <c r="A63" s="25">
        <v>45228</v>
      </c>
      <c r="B63" t="s">
        <v>1700</v>
      </c>
      <c r="C63" t="s">
        <v>1136</v>
      </c>
      <c r="D63" t="s">
        <v>1673</v>
      </c>
      <c r="E63" t="s">
        <v>1674</v>
      </c>
      <c r="F63" t="s">
        <v>101</v>
      </c>
      <c r="G63" t="s">
        <v>1715</v>
      </c>
      <c r="H63">
        <v>20</v>
      </c>
      <c r="I63">
        <v>2142.9</v>
      </c>
      <c r="J63">
        <v>42858</v>
      </c>
      <c r="L63" t="s">
        <v>1710</v>
      </c>
      <c r="M63">
        <f t="shared" si="8"/>
        <v>17657.137999999999</v>
      </c>
      <c r="N63">
        <f t="shared" si="7"/>
        <v>37448.047272727272</v>
      </c>
      <c r="O63">
        <f t="shared" si="7"/>
        <v>22077.200909090905</v>
      </c>
      <c r="P63">
        <f t="shared" si="7"/>
        <v>21420.663333333334</v>
      </c>
      <c r="Q63">
        <f t="shared" si="7"/>
        <v>25667.204000000002</v>
      </c>
    </row>
    <row r="64" spans="1:17">
      <c r="A64" s="25">
        <v>45263</v>
      </c>
      <c r="B64" t="s">
        <v>1705</v>
      </c>
      <c r="C64" t="s">
        <v>1716</v>
      </c>
      <c r="D64" t="s">
        <v>1702</v>
      </c>
      <c r="E64" t="s">
        <v>1703</v>
      </c>
      <c r="F64" t="s">
        <v>89</v>
      </c>
      <c r="G64" t="s">
        <v>1714</v>
      </c>
      <c r="H64">
        <v>19</v>
      </c>
      <c r="I64">
        <v>1359.7</v>
      </c>
      <c r="J64">
        <v>25834.3</v>
      </c>
      <c r="L64" t="s">
        <v>1711</v>
      </c>
      <c r="M64">
        <f t="shared" si="8"/>
        <v>18048.376666666667</v>
      </c>
      <c r="N64">
        <f t="shared" si="7"/>
        <v>31840.896153846155</v>
      </c>
      <c r="O64">
        <f t="shared" si="7"/>
        <v>33361.73333333333</v>
      </c>
      <c r="P64">
        <f t="shared" si="7"/>
        <v>32038.840000000004</v>
      </c>
      <c r="Q64">
        <f t="shared" si="7"/>
        <v>44804.761666666665</v>
      </c>
    </row>
    <row r="65" spans="1:17">
      <c r="A65" s="25">
        <v>45072</v>
      </c>
      <c r="B65" t="s">
        <v>1671</v>
      </c>
      <c r="C65" t="s">
        <v>1707</v>
      </c>
      <c r="D65" t="s">
        <v>1683</v>
      </c>
      <c r="E65" t="s">
        <v>1679</v>
      </c>
      <c r="F65" t="s">
        <v>101</v>
      </c>
      <c r="G65" t="s">
        <v>1715</v>
      </c>
      <c r="H65">
        <v>16</v>
      </c>
      <c r="I65">
        <v>4896.07</v>
      </c>
      <c r="J65">
        <v>78337.119999999995</v>
      </c>
      <c r="L65" t="s">
        <v>1712</v>
      </c>
      <c r="M65">
        <f t="shared" si="8"/>
        <v>37838.783749999995</v>
      </c>
      <c r="N65">
        <f t="shared" si="7"/>
        <v>28004.417000000005</v>
      </c>
      <c r="O65">
        <f t="shared" si="7"/>
        <v>39912.095000000001</v>
      </c>
      <c r="P65">
        <f t="shared" si="7"/>
        <v>26236.234000000004</v>
      </c>
      <c r="Q65">
        <f t="shared" si="7"/>
        <v>21468.407857142858</v>
      </c>
    </row>
    <row r="66" spans="1:17">
      <c r="A66" s="25">
        <v>45286</v>
      </c>
      <c r="B66" t="s">
        <v>1689</v>
      </c>
      <c r="C66" t="s">
        <v>1682</v>
      </c>
      <c r="D66" t="s">
        <v>1683</v>
      </c>
      <c r="E66" t="s">
        <v>1679</v>
      </c>
      <c r="F66" t="s">
        <v>114</v>
      </c>
      <c r="G66" t="s">
        <v>1712</v>
      </c>
      <c r="H66">
        <v>8</v>
      </c>
      <c r="I66">
        <v>4216.03</v>
      </c>
      <c r="J66">
        <v>33728.239999999998</v>
      </c>
      <c r="L66" t="s">
        <v>1713</v>
      </c>
      <c r="M66">
        <f t="shared" si="8"/>
        <v>27004.650909090913</v>
      </c>
      <c r="N66">
        <f t="shared" si="7"/>
        <v>20202.60125</v>
      </c>
      <c r="O66">
        <f t="shared" si="7"/>
        <v>21837.68</v>
      </c>
      <c r="P66">
        <f t="shared" si="7"/>
        <v>39713.643636363639</v>
      </c>
      <c r="Q66">
        <f t="shared" si="7"/>
        <v>28486.251176470589</v>
      </c>
    </row>
    <row r="67" spans="1:17">
      <c r="A67" s="25">
        <v>45143</v>
      </c>
      <c r="B67" t="s">
        <v>1686</v>
      </c>
      <c r="C67" t="s">
        <v>1136</v>
      </c>
      <c r="D67" t="s">
        <v>1673</v>
      </c>
      <c r="E67" t="s">
        <v>1674</v>
      </c>
      <c r="F67" t="s">
        <v>1687</v>
      </c>
      <c r="G67" t="s">
        <v>1704</v>
      </c>
      <c r="H67">
        <v>14</v>
      </c>
      <c r="I67">
        <v>2134.06</v>
      </c>
      <c r="J67">
        <v>29876.84</v>
      </c>
      <c r="L67" t="s">
        <v>1714</v>
      </c>
      <c r="M67">
        <f t="shared" si="8"/>
        <v>23835.444444444438</v>
      </c>
      <c r="N67">
        <f t="shared" si="8"/>
        <v>23809.700714285718</v>
      </c>
      <c r="O67">
        <f t="shared" si="8"/>
        <v>13271.98</v>
      </c>
      <c r="P67">
        <f t="shared" si="8"/>
        <v>22217.923333333336</v>
      </c>
      <c r="Q67">
        <f t="shared" si="8"/>
        <v>36482.33625</v>
      </c>
    </row>
    <row r="68" spans="1:17">
      <c r="A68" s="25">
        <v>45041</v>
      </c>
      <c r="B68" t="s">
        <v>1705</v>
      </c>
      <c r="C68" t="s">
        <v>1701</v>
      </c>
      <c r="D68" t="s">
        <v>1702</v>
      </c>
      <c r="E68" t="s">
        <v>1703</v>
      </c>
      <c r="F68" t="s">
        <v>101</v>
      </c>
      <c r="G68" t="s">
        <v>1709</v>
      </c>
      <c r="H68">
        <v>6</v>
      </c>
      <c r="I68">
        <v>1523.33</v>
      </c>
      <c r="J68">
        <v>9139.98</v>
      </c>
      <c r="L68" t="s">
        <v>1715</v>
      </c>
      <c r="M68">
        <f t="shared" si="8"/>
        <v>30217.910909090904</v>
      </c>
      <c r="N68">
        <f t="shared" si="8"/>
        <v>22212.576923076922</v>
      </c>
      <c r="O68">
        <f t="shared" si="8"/>
        <v>35664.82</v>
      </c>
      <c r="P68">
        <f t="shared" si="8"/>
        <v>38399.10833333333</v>
      </c>
      <c r="Q68">
        <f t="shared" si="8"/>
        <v>31648.520714285714</v>
      </c>
    </row>
    <row r="69" spans="1:17">
      <c r="A69" s="25">
        <v>45043</v>
      </c>
      <c r="B69" t="s">
        <v>1681</v>
      </c>
      <c r="C69" t="s">
        <v>1684</v>
      </c>
      <c r="D69" t="s">
        <v>1678</v>
      </c>
      <c r="E69" t="s">
        <v>1679</v>
      </c>
      <c r="F69" t="s">
        <v>1687</v>
      </c>
      <c r="G69" t="s">
        <v>1688</v>
      </c>
      <c r="H69">
        <v>13</v>
      </c>
      <c r="I69">
        <v>646.63</v>
      </c>
      <c r="J69">
        <v>8406.19</v>
      </c>
      <c r="L69" t="s">
        <v>1718</v>
      </c>
      <c r="M69">
        <f t="shared" si="8"/>
        <v>30544.414999999997</v>
      </c>
      <c r="N69">
        <f t="shared" si="8"/>
        <v>29065.8325</v>
      </c>
      <c r="O69">
        <f t="shared" si="8"/>
        <v>26651.268000000004</v>
      </c>
      <c r="P69">
        <f t="shared" si="8"/>
        <v>37593.99</v>
      </c>
      <c r="Q69">
        <f t="shared" si="8"/>
        <v>35862.337499999994</v>
      </c>
    </row>
    <row r="70" spans="1:17">
      <c r="A70" s="25">
        <v>45016</v>
      </c>
      <c r="B70" t="s">
        <v>1692</v>
      </c>
      <c r="C70" t="s">
        <v>1707</v>
      </c>
      <c r="D70" t="s">
        <v>1683</v>
      </c>
      <c r="E70" t="s">
        <v>1679</v>
      </c>
      <c r="F70" t="s">
        <v>114</v>
      </c>
      <c r="G70" t="s">
        <v>1718</v>
      </c>
      <c r="H70">
        <v>4</v>
      </c>
      <c r="I70">
        <v>4965.34</v>
      </c>
      <c r="J70">
        <v>19861.36</v>
      </c>
      <c r="L70" t="s">
        <v>1719</v>
      </c>
      <c r="M70">
        <f t="shared" si="8"/>
        <v>31185.264444444445</v>
      </c>
      <c r="N70">
        <f t="shared" si="8"/>
        <v>29243.803333333333</v>
      </c>
      <c r="O70">
        <f t="shared" si="8"/>
        <v>28592.913750000003</v>
      </c>
      <c r="P70">
        <f t="shared" si="8"/>
        <v>42883.333333333336</v>
      </c>
      <c r="Q70">
        <f t="shared" si="8"/>
        <v>16542.956999999999</v>
      </c>
    </row>
    <row r="71" spans="1:17">
      <c r="A71" s="25">
        <v>45103</v>
      </c>
      <c r="B71" t="s">
        <v>1698</v>
      </c>
      <c r="C71" t="s">
        <v>1136</v>
      </c>
      <c r="D71" t="s">
        <v>1673</v>
      </c>
      <c r="E71" t="s">
        <v>1674</v>
      </c>
      <c r="F71" t="s">
        <v>114</v>
      </c>
      <c r="G71" t="s">
        <v>1691</v>
      </c>
      <c r="H71">
        <v>14</v>
      </c>
      <c r="I71">
        <v>2883.11</v>
      </c>
      <c r="J71">
        <v>40363.54</v>
      </c>
    </row>
    <row r="72" spans="1:17">
      <c r="A72" s="25">
        <v>45095</v>
      </c>
      <c r="B72" t="s">
        <v>1689</v>
      </c>
      <c r="C72" t="s">
        <v>1706</v>
      </c>
      <c r="D72" t="s">
        <v>1702</v>
      </c>
      <c r="E72" t="s">
        <v>1703</v>
      </c>
      <c r="F72" t="s">
        <v>1687</v>
      </c>
      <c r="G72" t="s">
        <v>1704</v>
      </c>
      <c r="H72">
        <v>9</v>
      </c>
      <c r="I72">
        <v>2819.87</v>
      </c>
      <c r="J72">
        <v>25378.83</v>
      </c>
      <c r="L72" s="8" t="s">
        <v>1665</v>
      </c>
      <c r="M72" s="1" t="s">
        <v>5</v>
      </c>
      <c r="N72" s="1" t="s">
        <v>6</v>
      </c>
    </row>
    <row r="73" spans="1:17">
      <c r="A73" s="25">
        <v>45247</v>
      </c>
      <c r="B73" t="s">
        <v>1686</v>
      </c>
      <c r="C73" t="s">
        <v>1135</v>
      </c>
      <c r="D73" t="s">
        <v>1673</v>
      </c>
      <c r="E73" t="s">
        <v>1674</v>
      </c>
      <c r="F73" t="s">
        <v>97</v>
      </c>
      <c r="G73" t="s">
        <v>1685</v>
      </c>
      <c r="H73">
        <v>12</v>
      </c>
      <c r="I73">
        <v>3961.23</v>
      </c>
      <c r="J73">
        <v>47534.76</v>
      </c>
      <c r="L73" t="s">
        <v>1672</v>
      </c>
      <c r="M73">
        <f>_xlfn.MAXIFS($J:$J,$C:$C,$L73)</f>
        <v>87316.38</v>
      </c>
      <c r="N73">
        <f>_xlfn.MINIFS($J:$J,$C:$C,$L73)</f>
        <v>676.56</v>
      </c>
    </row>
    <row r="74" spans="1:17">
      <c r="A74" s="25">
        <v>44987</v>
      </c>
      <c r="B74" t="s">
        <v>1692</v>
      </c>
      <c r="C74" t="s">
        <v>1684</v>
      </c>
      <c r="D74" t="s">
        <v>1678</v>
      </c>
      <c r="E74" t="s">
        <v>1679</v>
      </c>
      <c r="F74" t="s">
        <v>97</v>
      </c>
      <c r="G74" t="s">
        <v>1685</v>
      </c>
      <c r="H74">
        <v>15</v>
      </c>
      <c r="I74">
        <v>2194.7199999999998</v>
      </c>
      <c r="J74">
        <v>32920.800000000003</v>
      </c>
      <c r="L74" t="s">
        <v>1677</v>
      </c>
      <c r="M74">
        <f t="shared" ref="M74:M87" si="9">_xlfn.MAXIFS($J:$J,$C:$C,$L74)</f>
        <v>95022.8</v>
      </c>
      <c r="N74">
        <f t="shared" ref="N74:N87" si="10">_xlfn.MINIFS($J:$J,$C:$C,$L74)</f>
        <v>414.64</v>
      </c>
    </row>
    <row r="75" spans="1:17">
      <c r="A75" s="25">
        <v>45003</v>
      </c>
      <c r="B75" t="s">
        <v>1689</v>
      </c>
      <c r="C75" t="s">
        <v>1693</v>
      </c>
      <c r="D75" t="s">
        <v>1683</v>
      </c>
      <c r="E75" t="s">
        <v>1679</v>
      </c>
      <c r="F75" t="s">
        <v>89</v>
      </c>
      <c r="G75" t="s">
        <v>1713</v>
      </c>
      <c r="H75">
        <v>5</v>
      </c>
      <c r="I75">
        <v>3058.74</v>
      </c>
      <c r="J75">
        <v>15293.7</v>
      </c>
      <c r="L75" t="s">
        <v>1682</v>
      </c>
      <c r="M75">
        <f t="shared" si="9"/>
        <v>82928.160000000003</v>
      </c>
      <c r="N75">
        <f t="shared" si="10"/>
        <v>679.12</v>
      </c>
    </row>
    <row r="76" spans="1:17">
      <c r="A76" s="25">
        <v>45270</v>
      </c>
      <c r="B76" t="s">
        <v>1694</v>
      </c>
      <c r="C76" t="s">
        <v>1135</v>
      </c>
      <c r="D76" t="s">
        <v>1673</v>
      </c>
      <c r="E76" t="s">
        <v>1674</v>
      </c>
      <c r="F76" t="s">
        <v>97</v>
      </c>
      <c r="G76" t="s">
        <v>1685</v>
      </c>
      <c r="H76">
        <v>11</v>
      </c>
      <c r="I76">
        <v>827.59</v>
      </c>
      <c r="J76">
        <v>9103.49</v>
      </c>
      <c r="L76" t="s">
        <v>1684</v>
      </c>
      <c r="M76">
        <f t="shared" si="9"/>
        <v>87949.2</v>
      </c>
      <c r="N76">
        <f t="shared" si="10"/>
        <v>1107.05</v>
      </c>
    </row>
    <row r="77" spans="1:17">
      <c r="A77" s="25">
        <v>45229</v>
      </c>
      <c r="B77" t="s">
        <v>1698</v>
      </c>
      <c r="C77" t="s">
        <v>1684</v>
      </c>
      <c r="D77" t="s">
        <v>1678</v>
      </c>
      <c r="E77" t="s">
        <v>1679</v>
      </c>
      <c r="F77" t="s">
        <v>89</v>
      </c>
      <c r="G77" t="s">
        <v>1714</v>
      </c>
      <c r="H77">
        <v>10</v>
      </c>
      <c r="I77">
        <v>2008.29</v>
      </c>
      <c r="J77">
        <v>20082.900000000001</v>
      </c>
      <c r="L77" t="s">
        <v>1135</v>
      </c>
      <c r="M77">
        <f t="shared" si="9"/>
        <v>99406.6</v>
      </c>
      <c r="N77">
        <f t="shared" si="10"/>
        <v>735.35</v>
      </c>
    </row>
    <row r="78" spans="1:17">
      <c r="A78" s="25">
        <v>44981</v>
      </c>
      <c r="B78" t="s">
        <v>1694</v>
      </c>
      <c r="C78" t="s">
        <v>1137</v>
      </c>
      <c r="D78" t="s">
        <v>1696</v>
      </c>
      <c r="E78" t="s">
        <v>1674</v>
      </c>
      <c r="F78" t="s">
        <v>97</v>
      </c>
      <c r="G78" t="s">
        <v>1697</v>
      </c>
      <c r="H78">
        <v>3</v>
      </c>
      <c r="I78">
        <v>4157.17</v>
      </c>
      <c r="J78">
        <v>12471.51</v>
      </c>
      <c r="L78" t="s">
        <v>1690</v>
      </c>
      <c r="M78">
        <f t="shared" si="9"/>
        <v>94929.32</v>
      </c>
      <c r="N78">
        <f t="shared" si="10"/>
        <v>1183.2</v>
      </c>
    </row>
    <row r="79" spans="1:17">
      <c r="A79" s="25">
        <v>44964</v>
      </c>
      <c r="B79" t="s">
        <v>1686</v>
      </c>
      <c r="C79" t="s">
        <v>1707</v>
      </c>
      <c r="D79" t="s">
        <v>1683</v>
      </c>
      <c r="E79" t="s">
        <v>1679</v>
      </c>
      <c r="F79" t="s">
        <v>101</v>
      </c>
      <c r="G79" t="s">
        <v>1719</v>
      </c>
      <c r="H79">
        <v>19</v>
      </c>
      <c r="I79">
        <v>2880.28</v>
      </c>
      <c r="J79">
        <v>54725.32</v>
      </c>
      <c r="L79" t="s">
        <v>1693</v>
      </c>
      <c r="M79">
        <f t="shared" si="9"/>
        <v>87311.6</v>
      </c>
      <c r="N79">
        <f t="shared" si="10"/>
        <v>1628.88</v>
      </c>
    </row>
    <row r="80" spans="1:17">
      <c r="A80" s="25">
        <v>45163</v>
      </c>
      <c r="B80" t="s">
        <v>1705</v>
      </c>
      <c r="C80" t="s">
        <v>1695</v>
      </c>
      <c r="D80" t="s">
        <v>1696</v>
      </c>
      <c r="E80" t="s">
        <v>1674</v>
      </c>
      <c r="F80" t="s">
        <v>89</v>
      </c>
      <c r="G80" t="s">
        <v>1106</v>
      </c>
      <c r="H80">
        <v>6</v>
      </c>
      <c r="I80">
        <v>1212.76</v>
      </c>
      <c r="J80">
        <v>7276.56</v>
      </c>
      <c r="L80" t="s">
        <v>1695</v>
      </c>
      <c r="M80">
        <f t="shared" si="9"/>
        <v>97123.4</v>
      </c>
      <c r="N80">
        <f t="shared" si="10"/>
        <v>403.2</v>
      </c>
    </row>
    <row r="81" spans="1:14">
      <c r="A81" s="25">
        <v>45184</v>
      </c>
      <c r="B81" t="s">
        <v>1689</v>
      </c>
      <c r="C81" t="s">
        <v>1717</v>
      </c>
      <c r="D81" t="s">
        <v>1696</v>
      </c>
      <c r="E81" t="s">
        <v>1674</v>
      </c>
      <c r="F81" t="s">
        <v>89</v>
      </c>
      <c r="G81" t="s">
        <v>1713</v>
      </c>
      <c r="H81">
        <v>11</v>
      </c>
      <c r="I81">
        <v>4463.4799999999996</v>
      </c>
      <c r="J81">
        <v>49098.28</v>
      </c>
      <c r="L81" t="s">
        <v>1701</v>
      </c>
      <c r="M81">
        <f t="shared" si="9"/>
        <v>94230.2</v>
      </c>
      <c r="N81">
        <f t="shared" si="10"/>
        <v>1744.54</v>
      </c>
    </row>
    <row r="82" spans="1:14">
      <c r="A82" s="25">
        <v>45088</v>
      </c>
      <c r="B82" t="s">
        <v>1698</v>
      </c>
      <c r="C82" t="s">
        <v>1693</v>
      </c>
      <c r="D82" t="s">
        <v>1683</v>
      </c>
      <c r="E82" t="s">
        <v>1679</v>
      </c>
      <c r="F82" t="s">
        <v>114</v>
      </c>
      <c r="G82" t="s">
        <v>1691</v>
      </c>
      <c r="H82">
        <v>17</v>
      </c>
      <c r="I82">
        <v>3975.74</v>
      </c>
      <c r="J82">
        <v>67587.58</v>
      </c>
      <c r="L82" t="s">
        <v>1136</v>
      </c>
      <c r="M82">
        <f t="shared" si="9"/>
        <v>79546.16</v>
      </c>
      <c r="N82">
        <f t="shared" si="10"/>
        <v>776.08</v>
      </c>
    </row>
    <row r="83" spans="1:14">
      <c r="A83" s="25">
        <v>45126</v>
      </c>
      <c r="B83" t="s">
        <v>1671</v>
      </c>
      <c r="C83" t="s">
        <v>1677</v>
      </c>
      <c r="D83" t="s">
        <v>1678</v>
      </c>
      <c r="E83" t="s">
        <v>1679</v>
      </c>
      <c r="F83" t="s">
        <v>97</v>
      </c>
      <c r="G83" t="s">
        <v>1699</v>
      </c>
      <c r="H83">
        <v>15</v>
      </c>
      <c r="I83">
        <v>2158.2199999999998</v>
      </c>
      <c r="J83">
        <v>32373.3</v>
      </c>
      <c r="L83" t="s">
        <v>1137</v>
      </c>
      <c r="M83">
        <f t="shared" si="9"/>
        <v>74713.86</v>
      </c>
      <c r="N83">
        <f t="shared" si="10"/>
        <v>1025.6400000000001</v>
      </c>
    </row>
    <row r="84" spans="1:14">
      <c r="A84" s="25">
        <v>45063</v>
      </c>
      <c r="B84" t="s">
        <v>1681</v>
      </c>
      <c r="C84" t="s">
        <v>1137</v>
      </c>
      <c r="D84" t="s">
        <v>1696</v>
      </c>
      <c r="E84" t="s">
        <v>1674</v>
      </c>
      <c r="F84" t="s">
        <v>97</v>
      </c>
      <c r="G84" t="s">
        <v>1697</v>
      </c>
      <c r="H84">
        <v>17</v>
      </c>
      <c r="I84">
        <v>1720.9</v>
      </c>
      <c r="J84">
        <v>29255.3</v>
      </c>
      <c r="L84" t="s">
        <v>1706</v>
      </c>
      <c r="M84">
        <f t="shared" si="9"/>
        <v>77219.199999999997</v>
      </c>
      <c r="N84">
        <f t="shared" si="10"/>
        <v>1323.63</v>
      </c>
    </row>
    <row r="85" spans="1:14">
      <c r="A85" s="25">
        <v>45107</v>
      </c>
      <c r="B85" t="s">
        <v>1694</v>
      </c>
      <c r="C85" t="s">
        <v>1135</v>
      </c>
      <c r="D85" t="s">
        <v>1673</v>
      </c>
      <c r="E85" t="s">
        <v>1674</v>
      </c>
      <c r="F85" t="s">
        <v>97</v>
      </c>
      <c r="G85" t="s">
        <v>1685</v>
      </c>
      <c r="H85">
        <v>11</v>
      </c>
      <c r="I85">
        <v>3562.92</v>
      </c>
      <c r="J85">
        <v>39192.120000000003</v>
      </c>
      <c r="L85" t="s">
        <v>1707</v>
      </c>
      <c r="M85">
        <f t="shared" si="9"/>
        <v>85758.399999999994</v>
      </c>
      <c r="N85">
        <f t="shared" si="10"/>
        <v>1083.26</v>
      </c>
    </row>
    <row r="86" spans="1:14">
      <c r="A86" s="25">
        <v>45259</v>
      </c>
      <c r="B86" t="s">
        <v>1689</v>
      </c>
      <c r="C86" t="s">
        <v>1135</v>
      </c>
      <c r="D86" t="s">
        <v>1673</v>
      </c>
      <c r="E86" t="s">
        <v>1674</v>
      </c>
      <c r="F86" t="s">
        <v>114</v>
      </c>
      <c r="G86" t="s">
        <v>1691</v>
      </c>
      <c r="H86">
        <v>17</v>
      </c>
      <c r="I86">
        <v>608.79</v>
      </c>
      <c r="J86">
        <v>10349.43</v>
      </c>
      <c r="L86" t="s">
        <v>1716</v>
      </c>
      <c r="M86">
        <f t="shared" si="9"/>
        <v>78513</v>
      </c>
      <c r="N86">
        <f t="shared" si="10"/>
        <v>645.63</v>
      </c>
    </row>
    <row r="87" spans="1:14">
      <c r="A87" s="25">
        <v>45035</v>
      </c>
      <c r="B87" t="s">
        <v>1692</v>
      </c>
      <c r="C87" t="s">
        <v>1695</v>
      </c>
      <c r="D87" t="s">
        <v>1696</v>
      </c>
      <c r="E87" t="s">
        <v>1674</v>
      </c>
      <c r="F87" t="s">
        <v>1687</v>
      </c>
      <c r="G87" t="s">
        <v>1688</v>
      </c>
      <c r="H87">
        <v>20</v>
      </c>
      <c r="I87">
        <v>4856.17</v>
      </c>
      <c r="J87">
        <v>97123.4</v>
      </c>
      <c r="L87" t="s">
        <v>1717</v>
      </c>
      <c r="M87">
        <f t="shared" si="9"/>
        <v>69317.13</v>
      </c>
      <c r="N87">
        <f t="shared" si="10"/>
        <v>1167.72</v>
      </c>
    </row>
    <row r="88" spans="1:14">
      <c r="A88" s="25">
        <v>45043</v>
      </c>
      <c r="B88" t="s">
        <v>1705</v>
      </c>
      <c r="C88" t="s">
        <v>1701</v>
      </c>
      <c r="D88" t="s">
        <v>1702</v>
      </c>
      <c r="E88" t="s">
        <v>1703</v>
      </c>
      <c r="F88" t="s">
        <v>114</v>
      </c>
      <c r="G88" t="s">
        <v>1680</v>
      </c>
      <c r="H88">
        <v>12</v>
      </c>
      <c r="I88">
        <v>4298</v>
      </c>
      <c r="J88">
        <v>51576</v>
      </c>
    </row>
    <row r="89" spans="1:14">
      <c r="A89" s="25">
        <v>45020</v>
      </c>
      <c r="B89" t="s">
        <v>1689</v>
      </c>
      <c r="C89" t="s">
        <v>1706</v>
      </c>
      <c r="D89" t="s">
        <v>1702</v>
      </c>
      <c r="E89" t="s">
        <v>1703</v>
      </c>
      <c r="F89" t="s">
        <v>89</v>
      </c>
      <c r="G89" t="s">
        <v>1713</v>
      </c>
      <c r="H89">
        <v>7</v>
      </c>
      <c r="I89">
        <v>1160.3499999999999</v>
      </c>
      <c r="J89">
        <v>8122.45</v>
      </c>
    </row>
    <row r="90" spans="1:14">
      <c r="A90" s="25">
        <v>45145</v>
      </c>
      <c r="B90" t="s">
        <v>1694</v>
      </c>
      <c r="C90" t="s">
        <v>1701</v>
      </c>
      <c r="D90" t="s">
        <v>1702</v>
      </c>
      <c r="E90" t="s">
        <v>1703</v>
      </c>
      <c r="F90" t="s">
        <v>97</v>
      </c>
      <c r="G90" t="s">
        <v>1697</v>
      </c>
      <c r="H90">
        <v>3</v>
      </c>
      <c r="I90">
        <v>2488.34</v>
      </c>
      <c r="J90">
        <v>7465.02</v>
      </c>
    </row>
    <row r="91" spans="1:14">
      <c r="A91" s="25">
        <v>45126</v>
      </c>
      <c r="B91" t="s">
        <v>1681</v>
      </c>
      <c r="C91" t="s">
        <v>1677</v>
      </c>
      <c r="D91" t="s">
        <v>1678</v>
      </c>
      <c r="E91" t="s">
        <v>1679</v>
      </c>
      <c r="F91" t="s">
        <v>101</v>
      </c>
      <c r="G91" t="s">
        <v>1715</v>
      </c>
      <c r="H91">
        <v>8</v>
      </c>
      <c r="I91">
        <v>1990</v>
      </c>
      <c r="J91">
        <v>15920</v>
      </c>
    </row>
    <row r="92" spans="1:14">
      <c r="A92" s="25">
        <v>44998</v>
      </c>
      <c r="B92" t="s">
        <v>1692</v>
      </c>
      <c r="C92" t="s">
        <v>1717</v>
      </c>
      <c r="D92" t="s">
        <v>1696</v>
      </c>
      <c r="E92" t="s">
        <v>1674</v>
      </c>
      <c r="F92" t="s">
        <v>89</v>
      </c>
      <c r="G92" t="s">
        <v>1713</v>
      </c>
      <c r="H92">
        <v>20</v>
      </c>
      <c r="I92">
        <v>2446.21</v>
      </c>
      <c r="J92">
        <v>48924.2</v>
      </c>
    </row>
    <row r="93" spans="1:14">
      <c r="A93" s="25">
        <v>45221</v>
      </c>
      <c r="B93" t="s">
        <v>1686</v>
      </c>
      <c r="C93" t="s">
        <v>1707</v>
      </c>
      <c r="D93" t="s">
        <v>1683</v>
      </c>
      <c r="E93" t="s">
        <v>1679</v>
      </c>
      <c r="F93" t="s">
        <v>114</v>
      </c>
      <c r="G93" t="s">
        <v>1718</v>
      </c>
      <c r="H93">
        <v>11</v>
      </c>
      <c r="I93">
        <v>1841.84</v>
      </c>
      <c r="J93">
        <v>20260.240000000002</v>
      </c>
    </row>
    <row r="94" spans="1:14">
      <c r="A94" s="25">
        <v>45261</v>
      </c>
      <c r="B94" t="s">
        <v>1692</v>
      </c>
      <c r="C94" t="s">
        <v>1716</v>
      </c>
      <c r="D94" t="s">
        <v>1702</v>
      </c>
      <c r="E94" t="s">
        <v>1703</v>
      </c>
      <c r="F94" t="s">
        <v>89</v>
      </c>
      <c r="G94" t="s">
        <v>1105</v>
      </c>
      <c r="H94">
        <v>5</v>
      </c>
      <c r="I94">
        <v>3289.83</v>
      </c>
      <c r="J94">
        <v>16449.150000000001</v>
      </c>
    </row>
    <row r="95" spans="1:14">
      <c r="A95" s="25">
        <v>45014</v>
      </c>
      <c r="B95" t="s">
        <v>1694</v>
      </c>
      <c r="C95" t="s">
        <v>1135</v>
      </c>
      <c r="D95" t="s">
        <v>1673</v>
      </c>
      <c r="E95" t="s">
        <v>1674</v>
      </c>
      <c r="F95" t="s">
        <v>1687</v>
      </c>
      <c r="G95" t="s">
        <v>1708</v>
      </c>
      <c r="H95">
        <v>6</v>
      </c>
      <c r="I95">
        <v>549.79999999999995</v>
      </c>
      <c r="J95">
        <v>3298.8</v>
      </c>
    </row>
    <row r="96" spans="1:14">
      <c r="A96" s="25">
        <v>44960</v>
      </c>
      <c r="B96" t="s">
        <v>1698</v>
      </c>
      <c r="C96" t="s">
        <v>1684</v>
      </c>
      <c r="D96" t="s">
        <v>1678</v>
      </c>
      <c r="E96" t="s">
        <v>1679</v>
      </c>
      <c r="F96" t="s">
        <v>89</v>
      </c>
      <c r="G96" t="s">
        <v>1105</v>
      </c>
      <c r="H96">
        <v>20</v>
      </c>
      <c r="I96">
        <v>4397.46</v>
      </c>
      <c r="J96">
        <v>87949.2</v>
      </c>
    </row>
    <row r="97" spans="1:10">
      <c r="A97" s="25">
        <v>45057</v>
      </c>
      <c r="B97" t="s">
        <v>1694</v>
      </c>
      <c r="C97" t="s">
        <v>1682</v>
      </c>
      <c r="D97" t="s">
        <v>1683</v>
      </c>
      <c r="E97" t="s">
        <v>1679</v>
      </c>
      <c r="F97" t="s">
        <v>1687</v>
      </c>
      <c r="G97" t="s">
        <v>1688</v>
      </c>
      <c r="H97">
        <v>3</v>
      </c>
      <c r="I97">
        <v>3107.88</v>
      </c>
      <c r="J97">
        <v>9323.64</v>
      </c>
    </row>
    <row r="98" spans="1:10">
      <c r="A98" s="25">
        <v>45254</v>
      </c>
      <c r="B98" t="s">
        <v>1671</v>
      </c>
      <c r="C98" t="s">
        <v>1137</v>
      </c>
      <c r="D98" t="s">
        <v>1696</v>
      </c>
      <c r="E98" t="s">
        <v>1674</v>
      </c>
      <c r="F98" t="s">
        <v>101</v>
      </c>
      <c r="G98" t="s">
        <v>1719</v>
      </c>
      <c r="H98">
        <v>11</v>
      </c>
      <c r="I98">
        <v>1451.86</v>
      </c>
      <c r="J98">
        <v>15970.46</v>
      </c>
    </row>
    <row r="99" spans="1:10">
      <c r="A99" s="25">
        <v>45110</v>
      </c>
      <c r="B99" t="s">
        <v>1694</v>
      </c>
      <c r="C99" t="s">
        <v>1677</v>
      </c>
      <c r="D99" t="s">
        <v>1678</v>
      </c>
      <c r="E99" t="s">
        <v>1679</v>
      </c>
      <c r="F99" t="s">
        <v>1687</v>
      </c>
      <c r="G99" t="s">
        <v>1710</v>
      </c>
      <c r="H99">
        <v>13</v>
      </c>
      <c r="I99">
        <v>4087.03</v>
      </c>
      <c r="J99">
        <v>53131.39</v>
      </c>
    </row>
    <row r="100" spans="1:10">
      <c r="A100" s="25">
        <v>45171</v>
      </c>
      <c r="B100" t="s">
        <v>1671</v>
      </c>
      <c r="C100" t="s">
        <v>1701</v>
      </c>
      <c r="D100" t="s">
        <v>1702</v>
      </c>
      <c r="E100" t="s">
        <v>1703</v>
      </c>
      <c r="F100" t="s">
        <v>114</v>
      </c>
      <c r="G100" t="s">
        <v>1680</v>
      </c>
      <c r="H100">
        <v>12</v>
      </c>
      <c r="I100">
        <v>3040.08</v>
      </c>
      <c r="J100">
        <v>36480.959999999999</v>
      </c>
    </row>
    <row r="101" spans="1:10">
      <c r="A101" s="25">
        <v>45229</v>
      </c>
      <c r="B101" t="s">
        <v>1692</v>
      </c>
      <c r="C101" t="s">
        <v>1716</v>
      </c>
      <c r="D101" t="s">
        <v>1702</v>
      </c>
      <c r="E101" t="s">
        <v>1703</v>
      </c>
      <c r="F101" t="s">
        <v>1687</v>
      </c>
      <c r="G101" t="s">
        <v>1708</v>
      </c>
      <c r="H101">
        <v>19</v>
      </c>
      <c r="I101">
        <v>3968.42</v>
      </c>
      <c r="J101">
        <v>75399.98</v>
      </c>
    </row>
    <row r="102" spans="1:10">
      <c r="A102" s="25">
        <v>45122</v>
      </c>
      <c r="B102" t="s">
        <v>1705</v>
      </c>
      <c r="C102" t="s">
        <v>1693</v>
      </c>
      <c r="D102" t="s">
        <v>1683</v>
      </c>
      <c r="E102" t="s">
        <v>1679</v>
      </c>
      <c r="F102" t="s">
        <v>89</v>
      </c>
      <c r="G102" t="s">
        <v>1106</v>
      </c>
      <c r="H102">
        <v>4</v>
      </c>
      <c r="I102">
        <v>894.64</v>
      </c>
      <c r="J102">
        <v>3578.56</v>
      </c>
    </row>
    <row r="103" spans="1:10">
      <c r="A103" s="25">
        <v>45233</v>
      </c>
      <c r="B103" t="s">
        <v>1694</v>
      </c>
      <c r="C103" t="s">
        <v>1693</v>
      </c>
      <c r="D103" t="s">
        <v>1683</v>
      </c>
      <c r="E103" t="s">
        <v>1679</v>
      </c>
      <c r="F103" t="s">
        <v>1687</v>
      </c>
      <c r="G103" t="s">
        <v>1710</v>
      </c>
      <c r="H103">
        <v>20</v>
      </c>
      <c r="I103">
        <v>1787.99</v>
      </c>
      <c r="J103">
        <v>35759.800000000003</v>
      </c>
    </row>
    <row r="104" spans="1:10">
      <c r="A104" s="25">
        <v>45090</v>
      </c>
      <c r="B104" t="s">
        <v>1671</v>
      </c>
      <c r="C104" t="s">
        <v>1135</v>
      </c>
      <c r="D104" t="s">
        <v>1673</v>
      </c>
      <c r="E104" t="s">
        <v>1674</v>
      </c>
      <c r="F104" t="s">
        <v>101</v>
      </c>
      <c r="G104" t="s">
        <v>1709</v>
      </c>
      <c r="H104">
        <v>17</v>
      </c>
      <c r="I104">
        <v>2910.12</v>
      </c>
      <c r="J104">
        <v>49472.04</v>
      </c>
    </row>
    <row r="105" spans="1:10">
      <c r="A105" s="25">
        <v>44960</v>
      </c>
      <c r="B105" t="s">
        <v>1705</v>
      </c>
      <c r="C105" t="s">
        <v>1677</v>
      </c>
      <c r="D105" t="s">
        <v>1678</v>
      </c>
      <c r="E105" t="s">
        <v>1679</v>
      </c>
      <c r="F105" t="s">
        <v>1687</v>
      </c>
      <c r="G105" t="s">
        <v>1688</v>
      </c>
      <c r="H105">
        <v>16</v>
      </c>
      <c r="I105">
        <v>827.8</v>
      </c>
      <c r="J105">
        <v>13244.8</v>
      </c>
    </row>
    <row r="106" spans="1:10">
      <c r="A106" s="25">
        <v>45055</v>
      </c>
      <c r="B106" t="s">
        <v>1681</v>
      </c>
      <c r="C106" t="s">
        <v>1701</v>
      </c>
      <c r="D106" t="s">
        <v>1702</v>
      </c>
      <c r="E106" t="s">
        <v>1703</v>
      </c>
      <c r="F106" t="s">
        <v>114</v>
      </c>
      <c r="G106" t="s">
        <v>1691</v>
      </c>
      <c r="H106">
        <v>18</v>
      </c>
      <c r="I106">
        <v>3093.44</v>
      </c>
      <c r="J106">
        <v>55681.919999999998</v>
      </c>
    </row>
    <row r="107" spans="1:10">
      <c r="A107" s="25">
        <v>44946</v>
      </c>
      <c r="B107" t="s">
        <v>1694</v>
      </c>
      <c r="C107" t="s">
        <v>1690</v>
      </c>
      <c r="D107" t="s">
        <v>1678</v>
      </c>
      <c r="E107" t="s">
        <v>1679</v>
      </c>
      <c r="F107" t="s">
        <v>97</v>
      </c>
      <c r="G107" t="s">
        <v>1699</v>
      </c>
      <c r="H107">
        <v>10</v>
      </c>
      <c r="I107">
        <v>2469.04</v>
      </c>
      <c r="J107">
        <v>24690.400000000001</v>
      </c>
    </row>
    <row r="108" spans="1:10">
      <c r="A108" s="25">
        <v>45062</v>
      </c>
      <c r="B108" t="s">
        <v>1681</v>
      </c>
      <c r="C108" t="s">
        <v>1690</v>
      </c>
      <c r="D108" t="s">
        <v>1678</v>
      </c>
      <c r="E108" t="s">
        <v>1679</v>
      </c>
      <c r="F108" t="s">
        <v>114</v>
      </c>
      <c r="G108" t="s">
        <v>1680</v>
      </c>
      <c r="H108">
        <v>12</v>
      </c>
      <c r="I108">
        <v>2127.2800000000002</v>
      </c>
      <c r="J108">
        <v>25527.360000000001</v>
      </c>
    </row>
    <row r="109" spans="1:10">
      <c r="A109" s="25">
        <v>44944</v>
      </c>
      <c r="B109" t="s">
        <v>1692</v>
      </c>
      <c r="C109" t="s">
        <v>1690</v>
      </c>
      <c r="D109" t="s">
        <v>1678</v>
      </c>
      <c r="E109" t="s">
        <v>1679</v>
      </c>
      <c r="F109" t="s">
        <v>89</v>
      </c>
      <c r="G109" t="s">
        <v>1106</v>
      </c>
      <c r="H109">
        <v>1</v>
      </c>
      <c r="I109">
        <v>1811.76</v>
      </c>
      <c r="J109">
        <v>1811.76</v>
      </c>
    </row>
    <row r="110" spans="1:10">
      <c r="A110" s="25">
        <v>45075</v>
      </c>
      <c r="B110" t="s">
        <v>1700</v>
      </c>
      <c r="C110" t="s">
        <v>1707</v>
      </c>
      <c r="D110" t="s">
        <v>1683</v>
      </c>
      <c r="E110" t="s">
        <v>1679</v>
      </c>
      <c r="F110" t="s">
        <v>101</v>
      </c>
      <c r="G110" t="s">
        <v>1709</v>
      </c>
      <c r="H110">
        <v>4</v>
      </c>
      <c r="I110">
        <v>4485.82</v>
      </c>
      <c r="J110">
        <v>17943.28</v>
      </c>
    </row>
    <row r="111" spans="1:10">
      <c r="A111" s="25">
        <v>45172</v>
      </c>
      <c r="B111" t="s">
        <v>1700</v>
      </c>
      <c r="C111" t="s">
        <v>1693</v>
      </c>
      <c r="D111" t="s">
        <v>1683</v>
      </c>
      <c r="E111" t="s">
        <v>1679</v>
      </c>
      <c r="F111" t="s">
        <v>89</v>
      </c>
      <c r="G111" t="s">
        <v>1106</v>
      </c>
      <c r="H111">
        <v>8</v>
      </c>
      <c r="I111">
        <v>4649.3500000000004</v>
      </c>
      <c r="J111">
        <v>37194.800000000003</v>
      </c>
    </row>
    <row r="112" spans="1:10">
      <c r="A112" s="25">
        <v>45009</v>
      </c>
      <c r="B112" t="s">
        <v>1676</v>
      </c>
      <c r="C112" t="s">
        <v>1684</v>
      </c>
      <c r="D112" t="s">
        <v>1678</v>
      </c>
      <c r="E112" t="s">
        <v>1679</v>
      </c>
      <c r="F112" t="s">
        <v>101</v>
      </c>
      <c r="G112" t="s">
        <v>1719</v>
      </c>
      <c r="H112">
        <v>3</v>
      </c>
      <c r="I112">
        <v>4027.17</v>
      </c>
      <c r="J112">
        <v>12081.51</v>
      </c>
    </row>
    <row r="113" spans="1:10">
      <c r="A113" s="25">
        <v>45244</v>
      </c>
      <c r="B113" t="s">
        <v>1700</v>
      </c>
      <c r="C113" t="s">
        <v>1716</v>
      </c>
      <c r="D113" t="s">
        <v>1702</v>
      </c>
      <c r="E113" t="s">
        <v>1703</v>
      </c>
      <c r="F113" t="s">
        <v>89</v>
      </c>
      <c r="G113" t="s">
        <v>1713</v>
      </c>
      <c r="H113">
        <v>14</v>
      </c>
      <c r="I113">
        <v>4406.29</v>
      </c>
      <c r="J113">
        <v>61688.06</v>
      </c>
    </row>
    <row r="114" spans="1:10">
      <c r="A114" s="25">
        <v>45077</v>
      </c>
      <c r="B114" t="s">
        <v>1676</v>
      </c>
      <c r="C114" t="s">
        <v>1690</v>
      </c>
      <c r="D114" t="s">
        <v>1678</v>
      </c>
      <c r="E114" t="s">
        <v>1679</v>
      </c>
      <c r="F114" t="s">
        <v>1687</v>
      </c>
      <c r="G114" t="s">
        <v>1708</v>
      </c>
      <c r="H114">
        <v>20</v>
      </c>
      <c r="I114">
        <v>4072.4</v>
      </c>
      <c r="J114">
        <v>81448</v>
      </c>
    </row>
    <row r="115" spans="1:10">
      <c r="A115" s="25">
        <v>45098</v>
      </c>
      <c r="B115" t="s">
        <v>1689</v>
      </c>
      <c r="C115" t="s">
        <v>1716</v>
      </c>
      <c r="D115" t="s">
        <v>1702</v>
      </c>
      <c r="E115" t="s">
        <v>1703</v>
      </c>
      <c r="F115" t="s">
        <v>1687</v>
      </c>
      <c r="G115" t="s">
        <v>1710</v>
      </c>
      <c r="H115">
        <v>1</v>
      </c>
      <c r="I115">
        <v>4801.38</v>
      </c>
      <c r="J115">
        <v>4801.38</v>
      </c>
    </row>
    <row r="116" spans="1:10">
      <c r="A116" s="25">
        <v>44932</v>
      </c>
      <c r="B116" t="s">
        <v>1694</v>
      </c>
      <c r="C116" t="s">
        <v>1682</v>
      </c>
      <c r="D116" t="s">
        <v>1683</v>
      </c>
      <c r="E116" t="s">
        <v>1679</v>
      </c>
      <c r="F116" t="s">
        <v>97</v>
      </c>
      <c r="G116" t="s">
        <v>1699</v>
      </c>
      <c r="H116">
        <v>17</v>
      </c>
      <c r="I116">
        <v>828.26</v>
      </c>
      <c r="J116">
        <v>14080.42</v>
      </c>
    </row>
    <row r="117" spans="1:10">
      <c r="A117" s="25">
        <v>44935</v>
      </c>
      <c r="B117" t="s">
        <v>1686</v>
      </c>
      <c r="C117" t="s">
        <v>1137</v>
      </c>
      <c r="D117" t="s">
        <v>1696</v>
      </c>
      <c r="E117" t="s">
        <v>1674</v>
      </c>
      <c r="F117" t="s">
        <v>1687</v>
      </c>
      <c r="G117" t="s">
        <v>1708</v>
      </c>
      <c r="H117">
        <v>13</v>
      </c>
      <c r="I117">
        <v>4331.5</v>
      </c>
      <c r="J117">
        <v>56309.5</v>
      </c>
    </row>
    <row r="118" spans="1:10">
      <c r="A118" s="25">
        <v>45172</v>
      </c>
      <c r="B118" t="s">
        <v>1689</v>
      </c>
      <c r="C118" t="s">
        <v>1136</v>
      </c>
      <c r="D118" t="s">
        <v>1673</v>
      </c>
      <c r="E118" t="s">
        <v>1674</v>
      </c>
      <c r="F118" t="s">
        <v>97</v>
      </c>
      <c r="G118" t="s">
        <v>1699</v>
      </c>
      <c r="H118">
        <v>14</v>
      </c>
      <c r="I118">
        <v>3404.4</v>
      </c>
      <c r="J118">
        <v>47661.599999999999</v>
      </c>
    </row>
    <row r="119" spans="1:10">
      <c r="A119" s="25">
        <v>44956</v>
      </c>
      <c r="B119" t="s">
        <v>1700</v>
      </c>
      <c r="C119" t="s">
        <v>1672</v>
      </c>
      <c r="D119" t="s">
        <v>1673</v>
      </c>
      <c r="E119" t="s">
        <v>1674</v>
      </c>
      <c r="F119" t="s">
        <v>101</v>
      </c>
      <c r="G119" t="s">
        <v>1719</v>
      </c>
      <c r="H119">
        <v>20</v>
      </c>
      <c r="I119">
        <v>3734.44</v>
      </c>
      <c r="J119">
        <v>74688.800000000003</v>
      </c>
    </row>
    <row r="120" spans="1:10">
      <c r="A120" s="25">
        <v>44983</v>
      </c>
      <c r="B120" t="s">
        <v>1705</v>
      </c>
      <c r="C120" t="s">
        <v>1672</v>
      </c>
      <c r="D120" t="s">
        <v>1673</v>
      </c>
      <c r="E120" t="s">
        <v>1674</v>
      </c>
      <c r="F120" t="s">
        <v>101</v>
      </c>
      <c r="G120" t="s">
        <v>1709</v>
      </c>
      <c r="H120">
        <v>6</v>
      </c>
      <c r="I120">
        <v>112.76</v>
      </c>
      <c r="J120">
        <v>676.56</v>
      </c>
    </row>
    <row r="121" spans="1:10">
      <c r="A121" s="25">
        <v>45275</v>
      </c>
      <c r="B121" t="s">
        <v>1705</v>
      </c>
      <c r="C121" t="s">
        <v>1706</v>
      </c>
      <c r="D121" t="s">
        <v>1702</v>
      </c>
      <c r="E121" t="s">
        <v>1703</v>
      </c>
      <c r="F121" t="s">
        <v>89</v>
      </c>
      <c r="G121" t="s">
        <v>1105</v>
      </c>
      <c r="H121">
        <v>6</v>
      </c>
      <c r="I121">
        <v>4751.7700000000004</v>
      </c>
      <c r="J121">
        <v>28510.62</v>
      </c>
    </row>
    <row r="122" spans="1:10">
      <c r="A122" s="25">
        <v>45115</v>
      </c>
      <c r="B122" t="s">
        <v>1681</v>
      </c>
      <c r="C122" t="s">
        <v>1137</v>
      </c>
      <c r="D122" t="s">
        <v>1696</v>
      </c>
      <c r="E122" t="s">
        <v>1674</v>
      </c>
      <c r="F122" t="s">
        <v>1687</v>
      </c>
      <c r="G122" t="s">
        <v>1708</v>
      </c>
      <c r="H122">
        <v>4</v>
      </c>
      <c r="I122">
        <v>3214.1</v>
      </c>
      <c r="J122">
        <v>12856.4</v>
      </c>
    </row>
    <row r="123" spans="1:10">
      <c r="A123" s="25">
        <v>45192</v>
      </c>
      <c r="B123" t="s">
        <v>1671</v>
      </c>
      <c r="C123" t="s">
        <v>1706</v>
      </c>
      <c r="D123" t="s">
        <v>1702</v>
      </c>
      <c r="E123" t="s">
        <v>1703</v>
      </c>
      <c r="F123" t="s">
        <v>89</v>
      </c>
      <c r="G123" t="s">
        <v>1106</v>
      </c>
      <c r="H123">
        <v>20</v>
      </c>
      <c r="I123">
        <v>598.97</v>
      </c>
      <c r="J123">
        <v>11979.4</v>
      </c>
    </row>
    <row r="124" spans="1:10">
      <c r="A124" s="25">
        <v>45031</v>
      </c>
      <c r="B124" t="s">
        <v>1705</v>
      </c>
      <c r="C124" t="s">
        <v>1672</v>
      </c>
      <c r="D124" t="s">
        <v>1673</v>
      </c>
      <c r="E124" t="s">
        <v>1674</v>
      </c>
      <c r="F124" t="s">
        <v>101</v>
      </c>
      <c r="G124" t="s">
        <v>1709</v>
      </c>
      <c r="H124">
        <v>15</v>
      </c>
      <c r="I124">
        <v>1513.67</v>
      </c>
      <c r="J124">
        <v>22705.05</v>
      </c>
    </row>
    <row r="125" spans="1:10">
      <c r="A125" s="25">
        <v>44999</v>
      </c>
      <c r="B125" t="s">
        <v>1694</v>
      </c>
      <c r="C125" t="s">
        <v>1717</v>
      </c>
      <c r="D125" t="s">
        <v>1696</v>
      </c>
      <c r="E125" t="s">
        <v>1674</v>
      </c>
      <c r="F125" t="s">
        <v>97</v>
      </c>
      <c r="G125" t="s">
        <v>1697</v>
      </c>
      <c r="H125">
        <v>6</v>
      </c>
      <c r="I125">
        <v>194.62</v>
      </c>
      <c r="J125">
        <v>1167.72</v>
      </c>
    </row>
    <row r="126" spans="1:10">
      <c r="A126" s="25">
        <v>45261</v>
      </c>
      <c r="B126" t="s">
        <v>1698</v>
      </c>
      <c r="C126" t="s">
        <v>1717</v>
      </c>
      <c r="D126" t="s">
        <v>1696</v>
      </c>
      <c r="E126" t="s">
        <v>1674</v>
      </c>
      <c r="F126" t="s">
        <v>97</v>
      </c>
      <c r="G126" t="s">
        <v>1697</v>
      </c>
      <c r="H126">
        <v>6</v>
      </c>
      <c r="I126">
        <v>4508.3</v>
      </c>
      <c r="J126">
        <v>27049.8</v>
      </c>
    </row>
    <row r="127" spans="1:10">
      <c r="A127" s="25">
        <v>45180</v>
      </c>
      <c r="B127" t="s">
        <v>1692</v>
      </c>
      <c r="C127" t="s">
        <v>1695</v>
      </c>
      <c r="D127" t="s">
        <v>1696</v>
      </c>
      <c r="E127" t="s">
        <v>1674</v>
      </c>
      <c r="F127" t="s">
        <v>101</v>
      </c>
      <c r="G127" t="s">
        <v>1719</v>
      </c>
      <c r="H127">
        <v>20</v>
      </c>
      <c r="I127">
        <v>4055.72</v>
      </c>
      <c r="J127">
        <v>81114.399999999994</v>
      </c>
    </row>
    <row r="128" spans="1:10">
      <c r="A128" s="25">
        <v>45202</v>
      </c>
      <c r="B128" t="s">
        <v>1694</v>
      </c>
      <c r="C128" t="s">
        <v>1684</v>
      </c>
      <c r="D128" t="s">
        <v>1678</v>
      </c>
      <c r="E128" t="s">
        <v>1679</v>
      </c>
      <c r="F128" t="s">
        <v>101</v>
      </c>
      <c r="G128" t="s">
        <v>1719</v>
      </c>
      <c r="H128">
        <v>8</v>
      </c>
      <c r="I128">
        <v>2986.89</v>
      </c>
      <c r="J128">
        <v>23895.119999999999</v>
      </c>
    </row>
    <row r="129" spans="1:10">
      <c r="A129" s="25">
        <v>45041</v>
      </c>
      <c r="B129" t="s">
        <v>1689</v>
      </c>
      <c r="C129" t="s">
        <v>1701</v>
      </c>
      <c r="D129" t="s">
        <v>1702</v>
      </c>
      <c r="E129" t="s">
        <v>1703</v>
      </c>
      <c r="F129" t="s">
        <v>89</v>
      </c>
      <c r="G129" t="s">
        <v>1713</v>
      </c>
      <c r="H129">
        <v>7</v>
      </c>
      <c r="I129">
        <v>4933.0600000000004</v>
      </c>
      <c r="J129">
        <v>34531.42</v>
      </c>
    </row>
    <row r="130" spans="1:10">
      <c r="A130" s="25">
        <v>45194</v>
      </c>
      <c r="B130" t="s">
        <v>1700</v>
      </c>
      <c r="C130" t="s">
        <v>1682</v>
      </c>
      <c r="D130" t="s">
        <v>1683</v>
      </c>
      <c r="E130" t="s">
        <v>1679</v>
      </c>
      <c r="F130" t="s">
        <v>114</v>
      </c>
      <c r="G130" t="s">
        <v>1680</v>
      </c>
      <c r="H130">
        <v>4</v>
      </c>
      <c r="I130">
        <v>4837.17</v>
      </c>
      <c r="J130">
        <v>19348.68</v>
      </c>
    </row>
    <row r="131" spans="1:10">
      <c r="A131" s="25">
        <v>45203</v>
      </c>
      <c r="B131" t="s">
        <v>1694</v>
      </c>
      <c r="C131" t="s">
        <v>1706</v>
      </c>
      <c r="D131" t="s">
        <v>1702</v>
      </c>
      <c r="E131" t="s">
        <v>1703</v>
      </c>
      <c r="F131" t="s">
        <v>114</v>
      </c>
      <c r="G131" t="s">
        <v>1680</v>
      </c>
      <c r="H131">
        <v>1</v>
      </c>
      <c r="I131">
        <v>4813.2299999999996</v>
      </c>
      <c r="J131">
        <v>4813.2299999999996</v>
      </c>
    </row>
    <row r="132" spans="1:10">
      <c r="A132" s="25">
        <v>45012</v>
      </c>
      <c r="B132" t="s">
        <v>1694</v>
      </c>
      <c r="C132" t="s">
        <v>1693</v>
      </c>
      <c r="D132" t="s">
        <v>1683</v>
      </c>
      <c r="E132" t="s">
        <v>1679</v>
      </c>
      <c r="F132" t="s">
        <v>97</v>
      </c>
      <c r="G132" t="s">
        <v>1711</v>
      </c>
      <c r="H132">
        <v>16</v>
      </c>
      <c r="I132">
        <v>3158.66</v>
      </c>
      <c r="J132">
        <v>50538.559999999998</v>
      </c>
    </row>
    <row r="133" spans="1:10">
      <c r="A133" s="25">
        <v>45175</v>
      </c>
      <c r="B133" t="s">
        <v>1676</v>
      </c>
      <c r="C133" t="s">
        <v>1672</v>
      </c>
      <c r="D133" t="s">
        <v>1673</v>
      </c>
      <c r="E133" t="s">
        <v>1674</v>
      </c>
      <c r="F133" t="s">
        <v>89</v>
      </c>
      <c r="G133" t="s">
        <v>1106</v>
      </c>
      <c r="H133">
        <v>6</v>
      </c>
      <c r="I133">
        <v>2920.43</v>
      </c>
      <c r="J133">
        <v>17522.580000000002</v>
      </c>
    </row>
    <row r="134" spans="1:10">
      <c r="A134" s="25">
        <v>45267</v>
      </c>
      <c r="B134" t="s">
        <v>1676</v>
      </c>
      <c r="C134" t="s">
        <v>1672</v>
      </c>
      <c r="D134" t="s">
        <v>1673</v>
      </c>
      <c r="E134" t="s">
        <v>1674</v>
      </c>
      <c r="F134" t="s">
        <v>97</v>
      </c>
      <c r="G134" t="s">
        <v>1697</v>
      </c>
      <c r="H134">
        <v>12</v>
      </c>
      <c r="I134">
        <v>2170.02</v>
      </c>
      <c r="J134">
        <v>26040.240000000002</v>
      </c>
    </row>
    <row r="135" spans="1:10">
      <c r="A135" s="25">
        <v>45060</v>
      </c>
      <c r="B135" t="s">
        <v>1689</v>
      </c>
      <c r="C135" t="s">
        <v>1672</v>
      </c>
      <c r="D135" t="s">
        <v>1673</v>
      </c>
      <c r="E135" t="s">
        <v>1674</v>
      </c>
      <c r="F135" t="s">
        <v>89</v>
      </c>
      <c r="G135" t="s">
        <v>1105</v>
      </c>
      <c r="H135">
        <v>2</v>
      </c>
      <c r="I135">
        <v>4542.6099999999997</v>
      </c>
      <c r="J135">
        <v>9085.2199999999993</v>
      </c>
    </row>
    <row r="136" spans="1:10">
      <c r="A136" s="25">
        <v>45283</v>
      </c>
      <c r="B136" t="s">
        <v>1681</v>
      </c>
      <c r="C136" t="s">
        <v>1136</v>
      </c>
      <c r="D136" t="s">
        <v>1673</v>
      </c>
      <c r="E136" t="s">
        <v>1674</v>
      </c>
      <c r="F136" t="s">
        <v>89</v>
      </c>
      <c r="G136" t="s">
        <v>1105</v>
      </c>
      <c r="H136">
        <v>1</v>
      </c>
      <c r="I136">
        <v>3091.48</v>
      </c>
      <c r="J136">
        <v>3091.48</v>
      </c>
    </row>
    <row r="137" spans="1:10">
      <c r="A137" s="25">
        <v>44930</v>
      </c>
      <c r="B137" t="s">
        <v>1694</v>
      </c>
      <c r="C137" t="s">
        <v>1137</v>
      </c>
      <c r="D137" t="s">
        <v>1696</v>
      </c>
      <c r="E137" t="s">
        <v>1674</v>
      </c>
      <c r="F137" t="s">
        <v>101</v>
      </c>
      <c r="G137" t="s">
        <v>1675</v>
      </c>
      <c r="H137">
        <v>3</v>
      </c>
      <c r="I137">
        <v>2205.6</v>
      </c>
      <c r="J137">
        <v>6616.8</v>
      </c>
    </row>
    <row r="138" spans="1:10">
      <c r="A138" s="25">
        <v>45129</v>
      </c>
      <c r="B138" t="s">
        <v>1681</v>
      </c>
      <c r="C138" t="s">
        <v>1672</v>
      </c>
      <c r="D138" t="s">
        <v>1673</v>
      </c>
      <c r="E138" t="s">
        <v>1674</v>
      </c>
      <c r="F138" t="s">
        <v>89</v>
      </c>
      <c r="G138" t="s">
        <v>1713</v>
      </c>
      <c r="H138">
        <v>10</v>
      </c>
      <c r="I138">
        <v>4282.18</v>
      </c>
      <c r="J138">
        <v>42821.8</v>
      </c>
    </row>
    <row r="139" spans="1:10">
      <c r="A139" s="25">
        <v>45248</v>
      </c>
      <c r="B139" t="s">
        <v>1689</v>
      </c>
      <c r="C139" t="s">
        <v>1682</v>
      </c>
      <c r="D139" t="s">
        <v>1683</v>
      </c>
      <c r="E139" t="s">
        <v>1679</v>
      </c>
      <c r="F139" t="s">
        <v>114</v>
      </c>
      <c r="G139" t="s">
        <v>1680</v>
      </c>
      <c r="H139">
        <v>5</v>
      </c>
      <c r="I139">
        <v>4252.84</v>
      </c>
      <c r="J139">
        <v>21264.2</v>
      </c>
    </row>
    <row r="140" spans="1:10">
      <c r="A140" s="25">
        <v>44934</v>
      </c>
      <c r="B140" t="s">
        <v>1676</v>
      </c>
      <c r="C140" t="s">
        <v>1716</v>
      </c>
      <c r="D140" t="s">
        <v>1702</v>
      </c>
      <c r="E140" t="s">
        <v>1703</v>
      </c>
      <c r="F140" t="s">
        <v>101</v>
      </c>
      <c r="G140" t="s">
        <v>1719</v>
      </c>
      <c r="H140">
        <v>3</v>
      </c>
      <c r="I140">
        <v>916.33</v>
      </c>
      <c r="J140">
        <v>2748.99</v>
      </c>
    </row>
    <row r="141" spans="1:10">
      <c r="A141" s="25">
        <v>45029</v>
      </c>
      <c r="B141" t="s">
        <v>1676</v>
      </c>
      <c r="C141" t="s">
        <v>1695</v>
      </c>
      <c r="D141" t="s">
        <v>1696</v>
      </c>
      <c r="E141" t="s">
        <v>1674</v>
      </c>
      <c r="F141" t="s">
        <v>101</v>
      </c>
      <c r="G141" t="s">
        <v>1719</v>
      </c>
      <c r="H141">
        <v>3</v>
      </c>
      <c r="I141">
        <v>1270.1500000000001</v>
      </c>
      <c r="J141">
        <v>3810.45</v>
      </c>
    </row>
    <row r="142" spans="1:10">
      <c r="A142" s="25">
        <v>44968</v>
      </c>
      <c r="B142" t="s">
        <v>1681</v>
      </c>
      <c r="C142" t="s">
        <v>1677</v>
      </c>
      <c r="D142" t="s">
        <v>1678</v>
      </c>
      <c r="E142" t="s">
        <v>1679</v>
      </c>
      <c r="F142" t="s">
        <v>101</v>
      </c>
      <c r="G142" t="s">
        <v>1709</v>
      </c>
      <c r="H142">
        <v>6</v>
      </c>
      <c r="I142">
        <v>1750.35</v>
      </c>
      <c r="J142">
        <v>10502.1</v>
      </c>
    </row>
    <row r="143" spans="1:10">
      <c r="A143" s="25">
        <v>45230</v>
      </c>
      <c r="B143" t="s">
        <v>1671</v>
      </c>
      <c r="C143" t="s">
        <v>1677</v>
      </c>
      <c r="D143" t="s">
        <v>1678</v>
      </c>
      <c r="E143" t="s">
        <v>1679</v>
      </c>
      <c r="F143" t="s">
        <v>1687</v>
      </c>
      <c r="G143" t="s">
        <v>1688</v>
      </c>
      <c r="H143">
        <v>6</v>
      </c>
      <c r="I143">
        <v>1105.03</v>
      </c>
      <c r="J143">
        <v>6630.18</v>
      </c>
    </row>
    <row r="144" spans="1:10">
      <c r="A144" s="25">
        <v>45011</v>
      </c>
      <c r="B144" t="s">
        <v>1694</v>
      </c>
      <c r="C144" t="s">
        <v>1677</v>
      </c>
      <c r="D144" t="s">
        <v>1678</v>
      </c>
      <c r="E144" t="s">
        <v>1679</v>
      </c>
      <c r="F144" t="s">
        <v>101</v>
      </c>
      <c r="G144" t="s">
        <v>1675</v>
      </c>
      <c r="H144">
        <v>17</v>
      </c>
      <c r="I144">
        <v>1801.69</v>
      </c>
      <c r="J144">
        <v>30628.73</v>
      </c>
    </row>
    <row r="145" spans="1:10">
      <c r="A145" s="25">
        <v>45116</v>
      </c>
      <c r="B145" t="s">
        <v>1698</v>
      </c>
      <c r="C145" t="s">
        <v>1707</v>
      </c>
      <c r="D145" t="s">
        <v>1683</v>
      </c>
      <c r="E145" t="s">
        <v>1679</v>
      </c>
      <c r="F145" t="s">
        <v>89</v>
      </c>
      <c r="G145" t="s">
        <v>1105</v>
      </c>
      <c r="H145">
        <v>19</v>
      </c>
      <c r="I145">
        <v>717.29</v>
      </c>
      <c r="J145">
        <v>13628.51</v>
      </c>
    </row>
    <row r="146" spans="1:10">
      <c r="A146" s="25">
        <v>45221</v>
      </c>
      <c r="B146" t="s">
        <v>1681</v>
      </c>
      <c r="C146" t="s">
        <v>1717</v>
      </c>
      <c r="D146" t="s">
        <v>1696</v>
      </c>
      <c r="E146" t="s">
        <v>1674</v>
      </c>
      <c r="F146" t="s">
        <v>114</v>
      </c>
      <c r="G146" t="s">
        <v>1712</v>
      </c>
      <c r="H146">
        <v>2</v>
      </c>
      <c r="I146">
        <v>4547.16</v>
      </c>
      <c r="J146">
        <v>9094.32</v>
      </c>
    </row>
    <row r="147" spans="1:10">
      <c r="A147" s="25">
        <v>45234</v>
      </c>
      <c r="B147" t="s">
        <v>1694</v>
      </c>
      <c r="C147" t="s">
        <v>1716</v>
      </c>
      <c r="D147" t="s">
        <v>1702</v>
      </c>
      <c r="E147" t="s">
        <v>1703</v>
      </c>
      <c r="F147" t="s">
        <v>97</v>
      </c>
      <c r="G147" t="s">
        <v>1685</v>
      </c>
      <c r="H147">
        <v>2</v>
      </c>
      <c r="I147">
        <v>4818.49</v>
      </c>
      <c r="J147">
        <v>9636.98</v>
      </c>
    </row>
    <row r="148" spans="1:10">
      <c r="A148" s="25">
        <v>45240</v>
      </c>
      <c r="B148" t="s">
        <v>1686</v>
      </c>
      <c r="C148" t="s">
        <v>1690</v>
      </c>
      <c r="D148" t="s">
        <v>1678</v>
      </c>
      <c r="E148" t="s">
        <v>1679</v>
      </c>
      <c r="F148" t="s">
        <v>114</v>
      </c>
      <c r="G148" t="s">
        <v>1680</v>
      </c>
      <c r="H148">
        <v>14</v>
      </c>
      <c r="I148">
        <v>1410.91</v>
      </c>
      <c r="J148">
        <v>19752.740000000002</v>
      </c>
    </row>
    <row r="149" spans="1:10">
      <c r="A149" s="25">
        <v>45005</v>
      </c>
      <c r="B149" t="s">
        <v>1705</v>
      </c>
      <c r="C149" t="s">
        <v>1682</v>
      </c>
      <c r="D149" t="s">
        <v>1683</v>
      </c>
      <c r="E149" t="s">
        <v>1679</v>
      </c>
      <c r="F149" t="s">
        <v>97</v>
      </c>
      <c r="G149" t="s">
        <v>1685</v>
      </c>
      <c r="H149">
        <v>20</v>
      </c>
      <c r="I149">
        <v>239.35</v>
      </c>
      <c r="J149">
        <v>4787</v>
      </c>
    </row>
    <row r="150" spans="1:10">
      <c r="A150" s="25">
        <v>45079</v>
      </c>
      <c r="B150" t="s">
        <v>1689</v>
      </c>
      <c r="C150" t="s">
        <v>1717</v>
      </c>
      <c r="D150" t="s">
        <v>1696</v>
      </c>
      <c r="E150" t="s">
        <v>1674</v>
      </c>
      <c r="F150" t="s">
        <v>114</v>
      </c>
      <c r="G150" t="s">
        <v>1712</v>
      </c>
      <c r="H150">
        <v>16</v>
      </c>
      <c r="I150">
        <v>4096.74</v>
      </c>
      <c r="J150">
        <v>65547.839999999997</v>
      </c>
    </row>
    <row r="151" spans="1:10">
      <c r="A151" s="25">
        <v>44945</v>
      </c>
      <c r="B151" t="s">
        <v>1689</v>
      </c>
      <c r="C151" t="s">
        <v>1690</v>
      </c>
      <c r="D151" t="s">
        <v>1678</v>
      </c>
      <c r="E151" t="s">
        <v>1679</v>
      </c>
      <c r="F151" t="s">
        <v>114</v>
      </c>
      <c r="G151" t="s">
        <v>1691</v>
      </c>
      <c r="H151">
        <v>14</v>
      </c>
      <c r="I151">
        <v>3507.25</v>
      </c>
      <c r="J151">
        <v>49101.5</v>
      </c>
    </row>
    <row r="152" spans="1:10">
      <c r="A152" s="25">
        <v>44971</v>
      </c>
      <c r="B152" t="s">
        <v>1686</v>
      </c>
      <c r="C152" t="s">
        <v>1136</v>
      </c>
      <c r="D152" t="s">
        <v>1673</v>
      </c>
      <c r="E152" t="s">
        <v>1674</v>
      </c>
      <c r="F152" t="s">
        <v>114</v>
      </c>
      <c r="G152" t="s">
        <v>1712</v>
      </c>
      <c r="H152">
        <v>16</v>
      </c>
      <c r="I152">
        <v>4507.37</v>
      </c>
      <c r="J152">
        <v>72117.919999999998</v>
      </c>
    </row>
    <row r="153" spans="1:10">
      <c r="A153" s="25">
        <v>45072</v>
      </c>
      <c r="B153" t="s">
        <v>1689</v>
      </c>
      <c r="C153" t="s">
        <v>1716</v>
      </c>
      <c r="D153" t="s">
        <v>1702</v>
      </c>
      <c r="E153" t="s">
        <v>1703</v>
      </c>
      <c r="F153" t="s">
        <v>101</v>
      </c>
      <c r="G153" t="s">
        <v>1709</v>
      </c>
      <c r="H153">
        <v>10</v>
      </c>
      <c r="I153">
        <v>239.55</v>
      </c>
      <c r="J153">
        <v>2395.5</v>
      </c>
    </row>
    <row r="154" spans="1:10">
      <c r="A154" s="25">
        <v>45095</v>
      </c>
      <c r="B154" t="s">
        <v>1671</v>
      </c>
      <c r="C154" t="s">
        <v>1672</v>
      </c>
      <c r="D154" t="s">
        <v>1673</v>
      </c>
      <c r="E154" t="s">
        <v>1674</v>
      </c>
      <c r="F154" t="s">
        <v>114</v>
      </c>
      <c r="G154" t="s">
        <v>1691</v>
      </c>
      <c r="H154">
        <v>17</v>
      </c>
      <c r="I154">
        <v>679.78</v>
      </c>
      <c r="J154">
        <v>11556.26</v>
      </c>
    </row>
    <row r="155" spans="1:10">
      <c r="A155" s="25">
        <v>45255</v>
      </c>
      <c r="B155" t="s">
        <v>1689</v>
      </c>
      <c r="C155" t="s">
        <v>1693</v>
      </c>
      <c r="D155" t="s">
        <v>1683</v>
      </c>
      <c r="E155" t="s">
        <v>1679</v>
      </c>
      <c r="F155" t="s">
        <v>101</v>
      </c>
      <c r="G155" t="s">
        <v>1719</v>
      </c>
      <c r="H155">
        <v>18</v>
      </c>
      <c r="I155">
        <v>2658.57</v>
      </c>
      <c r="J155">
        <v>47854.26</v>
      </c>
    </row>
    <row r="156" spans="1:10">
      <c r="A156" s="25">
        <v>45062</v>
      </c>
      <c r="B156" t="s">
        <v>1698</v>
      </c>
      <c r="C156" t="s">
        <v>1677</v>
      </c>
      <c r="D156" t="s">
        <v>1678</v>
      </c>
      <c r="E156" t="s">
        <v>1679</v>
      </c>
      <c r="F156" t="s">
        <v>101</v>
      </c>
      <c r="G156" t="s">
        <v>1675</v>
      </c>
      <c r="H156">
        <v>18</v>
      </c>
      <c r="I156">
        <v>4937.99</v>
      </c>
      <c r="J156">
        <v>88883.82</v>
      </c>
    </row>
    <row r="157" spans="1:10">
      <c r="A157" s="25">
        <v>45244</v>
      </c>
      <c r="B157" t="s">
        <v>1698</v>
      </c>
      <c r="C157" t="s">
        <v>1137</v>
      </c>
      <c r="D157" t="s">
        <v>1696</v>
      </c>
      <c r="E157" t="s">
        <v>1674</v>
      </c>
      <c r="F157" t="s">
        <v>101</v>
      </c>
      <c r="G157" t="s">
        <v>1715</v>
      </c>
      <c r="H157">
        <v>17</v>
      </c>
      <c r="I157">
        <v>3421.31</v>
      </c>
      <c r="J157">
        <v>58162.27</v>
      </c>
    </row>
    <row r="158" spans="1:10">
      <c r="A158" s="25">
        <v>45248</v>
      </c>
      <c r="B158" t="s">
        <v>1705</v>
      </c>
      <c r="C158" t="s">
        <v>1706</v>
      </c>
      <c r="D158" t="s">
        <v>1702</v>
      </c>
      <c r="E158" t="s">
        <v>1703</v>
      </c>
      <c r="F158" t="s">
        <v>89</v>
      </c>
      <c r="G158" t="s">
        <v>1105</v>
      </c>
      <c r="H158">
        <v>4</v>
      </c>
      <c r="I158">
        <v>1555.9</v>
      </c>
      <c r="J158">
        <v>6223.6</v>
      </c>
    </row>
    <row r="159" spans="1:10">
      <c r="A159" s="25">
        <v>45076</v>
      </c>
      <c r="B159" t="s">
        <v>1692</v>
      </c>
      <c r="C159" t="s">
        <v>1136</v>
      </c>
      <c r="D159" t="s">
        <v>1673</v>
      </c>
      <c r="E159" t="s">
        <v>1674</v>
      </c>
      <c r="F159" t="s">
        <v>89</v>
      </c>
      <c r="G159" t="s">
        <v>1105</v>
      </c>
      <c r="H159">
        <v>12</v>
      </c>
      <c r="I159">
        <v>932.42</v>
      </c>
      <c r="J159">
        <v>11189.04</v>
      </c>
    </row>
    <row r="160" spans="1:10">
      <c r="A160" s="25">
        <v>45098</v>
      </c>
      <c r="B160" t="s">
        <v>1689</v>
      </c>
      <c r="C160" t="s">
        <v>1693</v>
      </c>
      <c r="D160" t="s">
        <v>1683</v>
      </c>
      <c r="E160" t="s">
        <v>1679</v>
      </c>
      <c r="F160" t="s">
        <v>101</v>
      </c>
      <c r="G160" t="s">
        <v>1719</v>
      </c>
      <c r="H160">
        <v>20</v>
      </c>
      <c r="I160">
        <v>459.48</v>
      </c>
      <c r="J160">
        <v>9189.6</v>
      </c>
    </row>
    <row r="161" spans="1:10">
      <c r="A161" s="25">
        <v>45014</v>
      </c>
      <c r="B161" t="s">
        <v>1676</v>
      </c>
      <c r="C161" t="s">
        <v>1682</v>
      </c>
      <c r="D161" t="s">
        <v>1683</v>
      </c>
      <c r="E161" t="s">
        <v>1679</v>
      </c>
      <c r="F161" t="s">
        <v>89</v>
      </c>
      <c r="G161" t="s">
        <v>1713</v>
      </c>
      <c r="H161">
        <v>5</v>
      </c>
      <c r="I161">
        <v>568.87</v>
      </c>
      <c r="J161">
        <v>2844.35</v>
      </c>
    </row>
    <row r="162" spans="1:10">
      <c r="A162" s="25">
        <v>45063</v>
      </c>
      <c r="B162" t="s">
        <v>1681</v>
      </c>
      <c r="C162" t="s">
        <v>1707</v>
      </c>
      <c r="D162" t="s">
        <v>1683</v>
      </c>
      <c r="E162" t="s">
        <v>1679</v>
      </c>
      <c r="F162" t="s">
        <v>97</v>
      </c>
      <c r="G162" t="s">
        <v>1711</v>
      </c>
      <c r="H162">
        <v>10</v>
      </c>
      <c r="I162">
        <v>1468.96</v>
      </c>
      <c r="J162">
        <v>14689.6</v>
      </c>
    </row>
    <row r="163" spans="1:10">
      <c r="A163" s="25">
        <v>45129</v>
      </c>
      <c r="B163" t="s">
        <v>1705</v>
      </c>
      <c r="C163" t="s">
        <v>1706</v>
      </c>
      <c r="D163" t="s">
        <v>1702</v>
      </c>
      <c r="E163" t="s">
        <v>1703</v>
      </c>
      <c r="F163" t="s">
        <v>101</v>
      </c>
      <c r="G163" t="s">
        <v>1719</v>
      </c>
      <c r="H163">
        <v>6</v>
      </c>
      <c r="I163">
        <v>3080.25</v>
      </c>
      <c r="J163">
        <v>18481.5</v>
      </c>
    </row>
    <row r="164" spans="1:10">
      <c r="A164" s="25">
        <v>45227</v>
      </c>
      <c r="B164" t="s">
        <v>1705</v>
      </c>
      <c r="C164" t="s">
        <v>1682</v>
      </c>
      <c r="D164" t="s">
        <v>1683</v>
      </c>
      <c r="E164" t="s">
        <v>1679</v>
      </c>
      <c r="F164" t="s">
        <v>97</v>
      </c>
      <c r="G164" t="s">
        <v>1697</v>
      </c>
      <c r="H164">
        <v>11</v>
      </c>
      <c r="I164">
        <v>1817.43</v>
      </c>
      <c r="J164">
        <v>19991.73</v>
      </c>
    </row>
    <row r="165" spans="1:10">
      <c r="A165" s="25">
        <v>45000</v>
      </c>
      <c r="B165" t="s">
        <v>1671</v>
      </c>
      <c r="C165" t="s">
        <v>1716</v>
      </c>
      <c r="D165" t="s">
        <v>1702</v>
      </c>
      <c r="E165" t="s">
        <v>1703</v>
      </c>
      <c r="F165" t="s">
        <v>114</v>
      </c>
      <c r="G165" t="s">
        <v>1712</v>
      </c>
      <c r="H165">
        <v>19</v>
      </c>
      <c r="I165">
        <v>3800.55</v>
      </c>
      <c r="J165">
        <v>72210.45</v>
      </c>
    </row>
    <row r="166" spans="1:10">
      <c r="A166" s="25">
        <v>45121</v>
      </c>
      <c r="B166" t="s">
        <v>1692</v>
      </c>
      <c r="C166" t="s">
        <v>1717</v>
      </c>
      <c r="D166" t="s">
        <v>1696</v>
      </c>
      <c r="E166" t="s">
        <v>1674</v>
      </c>
      <c r="F166" t="s">
        <v>89</v>
      </c>
      <c r="G166" t="s">
        <v>1105</v>
      </c>
      <c r="H166">
        <v>17</v>
      </c>
      <c r="I166">
        <v>2809.13</v>
      </c>
      <c r="J166">
        <v>47755.21</v>
      </c>
    </row>
    <row r="167" spans="1:10">
      <c r="A167" s="25">
        <v>45083</v>
      </c>
      <c r="B167" t="s">
        <v>1681</v>
      </c>
      <c r="C167" t="s">
        <v>1693</v>
      </c>
      <c r="D167" t="s">
        <v>1683</v>
      </c>
      <c r="E167" t="s">
        <v>1679</v>
      </c>
      <c r="F167" t="s">
        <v>114</v>
      </c>
      <c r="G167" t="s">
        <v>1680</v>
      </c>
      <c r="H167">
        <v>9</v>
      </c>
      <c r="I167">
        <v>4712.9799999999996</v>
      </c>
      <c r="J167">
        <v>42416.82</v>
      </c>
    </row>
    <row r="168" spans="1:10">
      <c r="A168" s="25">
        <v>45262</v>
      </c>
      <c r="B168" t="s">
        <v>1681</v>
      </c>
      <c r="C168" t="s">
        <v>1717</v>
      </c>
      <c r="D168" t="s">
        <v>1696</v>
      </c>
      <c r="E168" t="s">
        <v>1674</v>
      </c>
      <c r="F168" t="s">
        <v>89</v>
      </c>
      <c r="G168" t="s">
        <v>1714</v>
      </c>
      <c r="H168">
        <v>1</v>
      </c>
      <c r="I168">
        <v>4541.7700000000004</v>
      </c>
      <c r="J168">
        <v>4541.7700000000004</v>
      </c>
    </row>
    <row r="169" spans="1:10">
      <c r="A169" s="25">
        <v>44988</v>
      </c>
      <c r="B169" t="s">
        <v>1694</v>
      </c>
      <c r="C169" t="s">
        <v>1701</v>
      </c>
      <c r="D169" t="s">
        <v>1702</v>
      </c>
      <c r="E169" t="s">
        <v>1703</v>
      </c>
      <c r="F169" t="s">
        <v>89</v>
      </c>
      <c r="G169" t="s">
        <v>1106</v>
      </c>
      <c r="H169">
        <v>9</v>
      </c>
      <c r="I169">
        <v>3122.72</v>
      </c>
      <c r="J169">
        <v>28104.48</v>
      </c>
    </row>
    <row r="170" spans="1:10">
      <c r="A170" s="25">
        <v>45005</v>
      </c>
      <c r="B170" t="s">
        <v>1692</v>
      </c>
      <c r="C170" t="s">
        <v>1135</v>
      </c>
      <c r="D170" t="s">
        <v>1673</v>
      </c>
      <c r="E170" t="s">
        <v>1674</v>
      </c>
      <c r="F170" t="s">
        <v>114</v>
      </c>
      <c r="G170" t="s">
        <v>1712</v>
      </c>
      <c r="H170">
        <v>9</v>
      </c>
      <c r="I170">
        <v>4198.92</v>
      </c>
      <c r="J170">
        <v>37790.28</v>
      </c>
    </row>
    <row r="171" spans="1:10">
      <c r="A171" s="25">
        <v>44989</v>
      </c>
      <c r="B171" t="s">
        <v>1689</v>
      </c>
      <c r="C171" t="s">
        <v>1677</v>
      </c>
      <c r="D171" t="s">
        <v>1678</v>
      </c>
      <c r="E171" t="s">
        <v>1679</v>
      </c>
      <c r="F171" t="s">
        <v>101</v>
      </c>
      <c r="G171" t="s">
        <v>1715</v>
      </c>
      <c r="H171">
        <v>17</v>
      </c>
      <c r="I171">
        <v>4415.8500000000004</v>
      </c>
      <c r="J171">
        <v>75069.45</v>
      </c>
    </row>
    <row r="172" spans="1:10">
      <c r="A172" s="25">
        <v>45224</v>
      </c>
      <c r="B172" t="s">
        <v>1700</v>
      </c>
      <c r="C172" t="s">
        <v>1682</v>
      </c>
      <c r="D172" t="s">
        <v>1683</v>
      </c>
      <c r="E172" t="s">
        <v>1679</v>
      </c>
      <c r="F172" t="s">
        <v>1687</v>
      </c>
      <c r="G172" t="s">
        <v>1708</v>
      </c>
      <c r="H172">
        <v>16</v>
      </c>
      <c r="I172">
        <v>4684.8599999999997</v>
      </c>
      <c r="J172">
        <v>74957.759999999995</v>
      </c>
    </row>
    <row r="173" spans="1:10">
      <c r="A173" s="25">
        <v>45283</v>
      </c>
      <c r="B173" t="s">
        <v>1681</v>
      </c>
      <c r="C173" t="s">
        <v>1682</v>
      </c>
      <c r="D173" t="s">
        <v>1683</v>
      </c>
      <c r="E173" t="s">
        <v>1679</v>
      </c>
      <c r="F173" t="s">
        <v>101</v>
      </c>
      <c r="G173" t="s">
        <v>1709</v>
      </c>
      <c r="H173">
        <v>17</v>
      </c>
      <c r="I173">
        <v>4156.25</v>
      </c>
      <c r="J173">
        <v>70656.25</v>
      </c>
    </row>
    <row r="174" spans="1:10">
      <c r="A174" s="25">
        <v>45051</v>
      </c>
      <c r="B174" t="s">
        <v>1681</v>
      </c>
      <c r="C174" t="s">
        <v>1677</v>
      </c>
      <c r="D174" t="s">
        <v>1678</v>
      </c>
      <c r="E174" t="s">
        <v>1679</v>
      </c>
      <c r="F174" t="s">
        <v>114</v>
      </c>
      <c r="G174" t="s">
        <v>1712</v>
      </c>
      <c r="H174">
        <v>10</v>
      </c>
      <c r="I174">
        <v>3776.8</v>
      </c>
      <c r="J174">
        <v>37768</v>
      </c>
    </row>
    <row r="175" spans="1:10">
      <c r="A175" s="25">
        <v>44950</v>
      </c>
      <c r="B175" t="s">
        <v>1698</v>
      </c>
      <c r="C175" t="s">
        <v>1137</v>
      </c>
      <c r="D175" t="s">
        <v>1696</v>
      </c>
      <c r="E175" t="s">
        <v>1674</v>
      </c>
      <c r="F175" t="s">
        <v>89</v>
      </c>
      <c r="G175" t="s">
        <v>1105</v>
      </c>
      <c r="H175">
        <v>8</v>
      </c>
      <c r="I175">
        <v>310.33</v>
      </c>
      <c r="J175">
        <v>2482.64</v>
      </c>
    </row>
    <row r="176" spans="1:10">
      <c r="A176" s="25">
        <v>45051</v>
      </c>
      <c r="B176" t="s">
        <v>1689</v>
      </c>
      <c r="C176" t="s">
        <v>1717</v>
      </c>
      <c r="D176" t="s">
        <v>1696</v>
      </c>
      <c r="E176" t="s">
        <v>1674</v>
      </c>
      <c r="F176" t="s">
        <v>1687</v>
      </c>
      <c r="G176" t="s">
        <v>1704</v>
      </c>
      <c r="H176">
        <v>5</v>
      </c>
      <c r="I176">
        <v>1313.4</v>
      </c>
      <c r="J176">
        <v>6567</v>
      </c>
    </row>
    <row r="177" spans="1:10">
      <c r="A177" s="25">
        <v>45218</v>
      </c>
      <c r="B177" t="s">
        <v>1705</v>
      </c>
      <c r="C177" t="s">
        <v>1672</v>
      </c>
      <c r="D177" t="s">
        <v>1673</v>
      </c>
      <c r="E177" t="s">
        <v>1674</v>
      </c>
      <c r="F177" t="s">
        <v>1687</v>
      </c>
      <c r="G177" t="s">
        <v>1708</v>
      </c>
      <c r="H177">
        <v>6</v>
      </c>
      <c r="I177">
        <v>2332.11</v>
      </c>
      <c r="J177">
        <v>13992.66</v>
      </c>
    </row>
    <row r="178" spans="1:10">
      <c r="A178" s="25">
        <v>45045</v>
      </c>
      <c r="B178" t="s">
        <v>1676</v>
      </c>
      <c r="C178" t="s">
        <v>1716</v>
      </c>
      <c r="D178" t="s">
        <v>1702</v>
      </c>
      <c r="E178" t="s">
        <v>1703</v>
      </c>
      <c r="F178" t="s">
        <v>114</v>
      </c>
      <c r="G178" t="s">
        <v>1718</v>
      </c>
      <c r="H178">
        <v>3</v>
      </c>
      <c r="I178">
        <v>4955.22</v>
      </c>
      <c r="J178">
        <v>14865.66</v>
      </c>
    </row>
    <row r="179" spans="1:10">
      <c r="A179" s="25">
        <v>45243</v>
      </c>
      <c r="B179" t="s">
        <v>1676</v>
      </c>
      <c r="C179" t="s">
        <v>1672</v>
      </c>
      <c r="D179" t="s">
        <v>1673</v>
      </c>
      <c r="E179" t="s">
        <v>1674</v>
      </c>
      <c r="F179" t="s">
        <v>101</v>
      </c>
      <c r="G179" t="s">
        <v>1675</v>
      </c>
      <c r="H179">
        <v>17</v>
      </c>
      <c r="I179">
        <v>3827.64</v>
      </c>
      <c r="J179">
        <v>65069.88</v>
      </c>
    </row>
    <row r="180" spans="1:10">
      <c r="A180" s="25">
        <v>45173</v>
      </c>
      <c r="B180" t="s">
        <v>1671</v>
      </c>
      <c r="C180" t="s">
        <v>1137</v>
      </c>
      <c r="D180" t="s">
        <v>1696</v>
      </c>
      <c r="E180" t="s">
        <v>1674</v>
      </c>
      <c r="F180" t="s">
        <v>97</v>
      </c>
      <c r="G180" t="s">
        <v>1685</v>
      </c>
      <c r="H180">
        <v>17</v>
      </c>
      <c r="I180">
        <v>3857.33</v>
      </c>
      <c r="J180">
        <v>65574.61</v>
      </c>
    </row>
    <row r="181" spans="1:10">
      <c r="A181" s="25">
        <v>45256</v>
      </c>
      <c r="B181" t="s">
        <v>1681</v>
      </c>
      <c r="C181" t="s">
        <v>1684</v>
      </c>
      <c r="D181" t="s">
        <v>1678</v>
      </c>
      <c r="E181" t="s">
        <v>1679</v>
      </c>
      <c r="F181" t="s">
        <v>97</v>
      </c>
      <c r="G181" t="s">
        <v>1699</v>
      </c>
      <c r="H181">
        <v>8</v>
      </c>
      <c r="I181">
        <v>1421.21</v>
      </c>
      <c r="J181">
        <v>11369.68</v>
      </c>
    </row>
    <row r="182" spans="1:10">
      <c r="A182" s="25">
        <v>45104</v>
      </c>
      <c r="B182" t="s">
        <v>1676</v>
      </c>
      <c r="C182" t="s">
        <v>1135</v>
      </c>
      <c r="D182" t="s">
        <v>1673</v>
      </c>
      <c r="E182" t="s">
        <v>1674</v>
      </c>
      <c r="F182" t="s">
        <v>1687</v>
      </c>
      <c r="G182" t="s">
        <v>1710</v>
      </c>
      <c r="H182">
        <v>1</v>
      </c>
      <c r="I182">
        <v>1544.87</v>
      </c>
      <c r="J182">
        <v>1544.87</v>
      </c>
    </row>
    <row r="183" spans="1:10">
      <c r="A183" s="25">
        <v>45136</v>
      </c>
      <c r="B183" t="s">
        <v>1681</v>
      </c>
      <c r="C183" t="s">
        <v>1137</v>
      </c>
      <c r="D183" t="s">
        <v>1696</v>
      </c>
      <c r="E183" t="s">
        <v>1674</v>
      </c>
      <c r="F183" t="s">
        <v>1687</v>
      </c>
      <c r="G183" t="s">
        <v>1708</v>
      </c>
      <c r="H183">
        <v>14</v>
      </c>
      <c r="I183">
        <v>2764.71</v>
      </c>
      <c r="J183">
        <v>38705.94</v>
      </c>
    </row>
    <row r="184" spans="1:10">
      <c r="A184" s="25">
        <v>45111</v>
      </c>
      <c r="B184" t="s">
        <v>1692</v>
      </c>
      <c r="C184" t="s">
        <v>1693</v>
      </c>
      <c r="D184" t="s">
        <v>1683</v>
      </c>
      <c r="E184" t="s">
        <v>1679</v>
      </c>
      <c r="F184" t="s">
        <v>97</v>
      </c>
      <c r="G184" t="s">
        <v>1685</v>
      </c>
      <c r="H184">
        <v>9</v>
      </c>
      <c r="I184">
        <v>2210.8000000000002</v>
      </c>
      <c r="J184">
        <v>19897.2</v>
      </c>
    </row>
    <row r="185" spans="1:10">
      <c r="A185" s="25">
        <v>44928</v>
      </c>
      <c r="B185" t="s">
        <v>1681</v>
      </c>
      <c r="C185" t="s">
        <v>1690</v>
      </c>
      <c r="D185" t="s">
        <v>1678</v>
      </c>
      <c r="E185" t="s">
        <v>1679</v>
      </c>
      <c r="F185" t="s">
        <v>101</v>
      </c>
      <c r="G185" t="s">
        <v>1719</v>
      </c>
      <c r="H185">
        <v>3</v>
      </c>
      <c r="I185">
        <v>4359.8999999999996</v>
      </c>
      <c r="J185">
        <v>13079.7</v>
      </c>
    </row>
    <row r="186" spans="1:10">
      <c r="A186" s="25">
        <v>45012</v>
      </c>
      <c r="B186" t="s">
        <v>1698</v>
      </c>
      <c r="C186" t="s">
        <v>1682</v>
      </c>
      <c r="D186" t="s">
        <v>1683</v>
      </c>
      <c r="E186" t="s">
        <v>1679</v>
      </c>
      <c r="F186" t="s">
        <v>101</v>
      </c>
      <c r="G186" t="s">
        <v>1675</v>
      </c>
      <c r="H186">
        <v>7</v>
      </c>
      <c r="I186">
        <v>3836.77</v>
      </c>
      <c r="J186">
        <v>26857.39</v>
      </c>
    </row>
    <row r="187" spans="1:10">
      <c r="A187" s="25">
        <v>45217</v>
      </c>
      <c r="B187" t="s">
        <v>1694</v>
      </c>
      <c r="C187" t="s">
        <v>1137</v>
      </c>
      <c r="D187" t="s">
        <v>1696</v>
      </c>
      <c r="E187" t="s">
        <v>1674</v>
      </c>
      <c r="F187" t="s">
        <v>114</v>
      </c>
      <c r="G187" t="s">
        <v>1712</v>
      </c>
      <c r="H187">
        <v>7</v>
      </c>
      <c r="I187">
        <v>560.58000000000004</v>
      </c>
      <c r="J187">
        <v>3924.06</v>
      </c>
    </row>
    <row r="188" spans="1:10">
      <c r="A188" s="25">
        <v>45089</v>
      </c>
      <c r="B188" t="s">
        <v>1689</v>
      </c>
      <c r="C188" t="s">
        <v>1701</v>
      </c>
      <c r="D188" t="s">
        <v>1702</v>
      </c>
      <c r="E188" t="s">
        <v>1703</v>
      </c>
      <c r="F188" t="s">
        <v>89</v>
      </c>
      <c r="G188" t="s">
        <v>1105</v>
      </c>
      <c r="H188">
        <v>17</v>
      </c>
      <c r="I188">
        <v>1574.45</v>
      </c>
      <c r="J188">
        <v>26765.65</v>
      </c>
    </row>
    <row r="189" spans="1:10">
      <c r="A189" s="25">
        <v>44987</v>
      </c>
      <c r="B189" t="s">
        <v>1686</v>
      </c>
      <c r="C189" t="s">
        <v>1701</v>
      </c>
      <c r="D189" t="s">
        <v>1702</v>
      </c>
      <c r="E189" t="s">
        <v>1703</v>
      </c>
      <c r="F189" t="s">
        <v>101</v>
      </c>
      <c r="G189" t="s">
        <v>1675</v>
      </c>
      <c r="H189">
        <v>17</v>
      </c>
      <c r="I189">
        <v>578.66999999999996</v>
      </c>
      <c r="J189">
        <v>9837.39</v>
      </c>
    </row>
    <row r="190" spans="1:10">
      <c r="A190" s="25">
        <v>45286</v>
      </c>
      <c r="B190" t="s">
        <v>1694</v>
      </c>
      <c r="C190" t="s">
        <v>1677</v>
      </c>
      <c r="D190" t="s">
        <v>1678</v>
      </c>
      <c r="E190" t="s">
        <v>1679</v>
      </c>
      <c r="F190" t="s">
        <v>1687</v>
      </c>
      <c r="G190" t="s">
        <v>1688</v>
      </c>
      <c r="H190">
        <v>19</v>
      </c>
      <c r="I190">
        <v>1441.02</v>
      </c>
      <c r="J190">
        <v>27379.38</v>
      </c>
    </row>
    <row r="191" spans="1:10">
      <c r="A191" s="25">
        <v>45187</v>
      </c>
      <c r="B191" t="s">
        <v>1671</v>
      </c>
      <c r="C191" t="s">
        <v>1690</v>
      </c>
      <c r="D191" t="s">
        <v>1678</v>
      </c>
      <c r="E191" t="s">
        <v>1679</v>
      </c>
      <c r="F191" t="s">
        <v>101</v>
      </c>
      <c r="G191" t="s">
        <v>1715</v>
      </c>
      <c r="H191">
        <v>19</v>
      </c>
      <c r="I191">
        <v>618.02</v>
      </c>
      <c r="J191">
        <v>11742.38</v>
      </c>
    </row>
    <row r="192" spans="1:10">
      <c r="A192" s="25">
        <v>44971</v>
      </c>
      <c r="B192" t="s">
        <v>1698</v>
      </c>
      <c r="C192" t="s">
        <v>1717</v>
      </c>
      <c r="D192" t="s">
        <v>1696</v>
      </c>
      <c r="E192" t="s">
        <v>1674</v>
      </c>
      <c r="F192" t="s">
        <v>114</v>
      </c>
      <c r="G192" t="s">
        <v>1691</v>
      </c>
      <c r="H192">
        <v>15</v>
      </c>
      <c r="I192">
        <v>4093.93</v>
      </c>
      <c r="J192">
        <v>61408.95</v>
      </c>
    </row>
    <row r="193" spans="1:10">
      <c r="A193" s="25">
        <v>44956</v>
      </c>
      <c r="B193" t="s">
        <v>1676</v>
      </c>
      <c r="C193" t="s">
        <v>1695</v>
      </c>
      <c r="D193" t="s">
        <v>1696</v>
      </c>
      <c r="E193" t="s">
        <v>1674</v>
      </c>
      <c r="F193" t="s">
        <v>101</v>
      </c>
      <c r="G193" t="s">
        <v>1709</v>
      </c>
      <c r="H193">
        <v>16</v>
      </c>
      <c r="I193">
        <v>2714.37</v>
      </c>
      <c r="J193">
        <v>43429.919999999998</v>
      </c>
    </row>
    <row r="194" spans="1:10">
      <c r="A194" s="25">
        <v>45098</v>
      </c>
      <c r="B194" t="s">
        <v>1692</v>
      </c>
      <c r="C194" t="s">
        <v>1717</v>
      </c>
      <c r="D194" t="s">
        <v>1696</v>
      </c>
      <c r="E194" t="s">
        <v>1674</v>
      </c>
      <c r="F194" t="s">
        <v>97</v>
      </c>
      <c r="G194" t="s">
        <v>1685</v>
      </c>
      <c r="H194">
        <v>8</v>
      </c>
      <c r="I194">
        <v>4658.57</v>
      </c>
      <c r="J194">
        <v>37268.559999999998</v>
      </c>
    </row>
    <row r="195" spans="1:10">
      <c r="A195" s="25">
        <v>45150</v>
      </c>
      <c r="B195" t="s">
        <v>1694</v>
      </c>
      <c r="C195" t="s">
        <v>1672</v>
      </c>
      <c r="D195" t="s">
        <v>1673</v>
      </c>
      <c r="E195" t="s">
        <v>1674</v>
      </c>
      <c r="F195" t="s">
        <v>114</v>
      </c>
      <c r="G195" t="s">
        <v>1718</v>
      </c>
      <c r="H195">
        <v>20</v>
      </c>
      <c r="I195">
        <v>3203.76</v>
      </c>
      <c r="J195">
        <v>64075.199999999997</v>
      </c>
    </row>
    <row r="196" spans="1:10">
      <c r="A196" s="25">
        <v>45258</v>
      </c>
      <c r="B196" t="s">
        <v>1694</v>
      </c>
      <c r="C196" t="s">
        <v>1706</v>
      </c>
      <c r="D196" t="s">
        <v>1702</v>
      </c>
      <c r="E196" t="s">
        <v>1703</v>
      </c>
      <c r="F196" t="s">
        <v>89</v>
      </c>
      <c r="G196" t="s">
        <v>1713</v>
      </c>
      <c r="H196">
        <v>5</v>
      </c>
      <c r="I196">
        <v>3572.02</v>
      </c>
      <c r="J196">
        <v>17860.099999999999</v>
      </c>
    </row>
    <row r="197" spans="1:10">
      <c r="A197" s="25">
        <v>44951</v>
      </c>
      <c r="B197" t="s">
        <v>1671</v>
      </c>
      <c r="C197" t="s">
        <v>1137</v>
      </c>
      <c r="D197" t="s">
        <v>1696</v>
      </c>
      <c r="E197" t="s">
        <v>1674</v>
      </c>
      <c r="F197" t="s">
        <v>1687</v>
      </c>
      <c r="G197" t="s">
        <v>1710</v>
      </c>
      <c r="H197">
        <v>4</v>
      </c>
      <c r="I197">
        <v>328.82</v>
      </c>
      <c r="J197">
        <v>1315.28</v>
      </c>
    </row>
    <row r="198" spans="1:10">
      <c r="A198" s="25">
        <v>45083</v>
      </c>
      <c r="B198" t="s">
        <v>1671</v>
      </c>
      <c r="C198" t="s">
        <v>1716</v>
      </c>
      <c r="D198" t="s">
        <v>1702</v>
      </c>
      <c r="E198" t="s">
        <v>1703</v>
      </c>
      <c r="F198" t="s">
        <v>114</v>
      </c>
      <c r="G198" t="s">
        <v>1691</v>
      </c>
      <c r="H198">
        <v>10</v>
      </c>
      <c r="I198">
        <v>4210.63</v>
      </c>
      <c r="J198">
        <v>42106.3</v>
      </c>
    </row>
    <row r="199" spans="1:10">
      <c r="A199" s="25">
        <v>45007</v>
      </c>
      <c r="B199" t="s">
        <v>1686</v>
      </c>
      <c r="C199" t="s">
        <v>1682</v>
      </c>
      <c r="D199" t="s">
        <v>1683</v>
      </c>
      <c r="E199" t="s">
        <v>1679</v>
      </c>
      <c r="F199" t="s">
        <v>97</v>
      </c>
      <c r="G199" t="s">
        <v>1685</v>
      </c>
      <c r="H199">
        <v>15</v>
      </c>
      <c r="I199">
        <v>211.9</v>
      </c>
      <c r="J199">
        <v>3178.5</v>
      </c>
    </row>
    <row r="200" spans="1:10">
      <c r="A200" s="25">
        <v>44943</v>
      </c>
      <c r="B200" t="s">
        <v>1705</v>
      </c>
      <c r="C200" t="s">
        <v>1706</v>
      </c>
      <c r="D200" t="s">
        <v>1702</v>
      </c>
      <c r="E200" t="s">
        <v>1703</v>
      </c>
      <c r="F200" t="s">
        <v>101</v>
      </c>
      <c r="G200" t="s">
        <v>1675</v>
      </c>
      <c r="H200">
        <v>6</v>
      </c>
      <c r="I200">
        <v>1847.42</v>
      </c>
      <c r="J200">
        <v>11084.52</v>
      </c>
    </row>
    <row r="201" spans="1:10">
      <c r="A201" s="25">
        <v>45279</v>
      </c>
      <c r="B201" t="s">
        <v>1676</v>
      </c>
      <c r="C201" t="s">
        <v>1706</v>
      </c>
      <c r="D201" t="s">
        <v>1702</v>
      </c>
      <c r="E201" t="s">
        <v>1703</v>
      </c>
      <c r="F201" t="s">
        <v>1687</v>
      </c>
      <c r="G201" t="s">
        <v>1704</v>
      </c>
      <c r="H201">
        <v>15</v>
      </c>
      <c r="I201">
        <v>3875.6</v>
      </c>
      <c r="J201">
        <v>58134</v>
      </c>
    </row>
    <row r="202" spans="1:10">
      <c r="A202" s="25">
        <v>45124</v>
      </c>
      <c r="B202" t="s">
        <v>1692</v>
      </c>
      <c r="C202" t="s">
        <v>1706</v>
      </c>
      <c r="D202" t="s">
        <v>1702</v>
      </c>
      <c r="E202" t="s">
        <v>1703</v>
      </c>
      <c r="F202" t="s">
        <v>114</v>
      </c>
      <c r="G202" t="s">
        <v>1691</v>
      </c>
      <c r="H202">
        <v>1</v>
      </c>
      <c r="I202">
        <v>1323.63</v>
      </c>
      <c r="J202">
        <v>1323.63</v>
      </c>
    </row>
    <row r="203" spans="1:10">
      <c r="A203" s="25">
        <v>44988</v>
      </c>
      <c r="B203" t="s">
        <v>1700</v>
      </c>
      <c r="C203" t="s">
        <v>1137</v>
      </c>
      <c r="D203" t="s">
        <v>1696</v>
      </c>
      <c r="E203" t="s">
        <v>1674</v>
      </c>
      <c r="F203" t="s">
        <v>89</v>
      </c>
      <c r="G203" t="s">
        <v>1713</v>
      </c>
      <c r="H203">
        <v>18</v>
      </c>
      <c r="I203">
        <v>3916.11</v>
      </c>
      <c r="J203">
        <v>70489.98</v>
      </c>
    </row>
    <row r="204" spans="1:10">
      <c r="A204" s="25">
        <v>45002</v>
      </c>
      <c r="B204" t="s">
        <v>1681</v>
      </c>
      <c r="C204" t="s">
        <v>1695</v>
      </c>
      <c r="D204" t="s">
        <v>1696</v>
      </c>
      <c r="E204" t="s">
        <v>1674</v>
      </c>
      <c r="F204" t="s">
        <v>101</v>
      </c>
      <c r="G204" t="s">
        <v>1715</v>
      </c>
      <c r="H204">
        <v>16</v>
      </c>
      <c r="I204">
        <v>4624.91</v>
      </c>
      <c r="J204">
        <v>73998.559999999998</v>
      </c>
    </row>
    <row r="205" spans="1:10">
      <c r="A205" s="25">
        <v>45037</v>
      </c>
      <c r="B205" t="s">
        <v>1681</v>
      </c>
      <c r="C205" t="s">
        <v>1672</v>
      </c>
      <c r="D205" t="s">
        <v>1673</v>
      </c>
      <c r="E205" t="s">
        <v>1674</v>
      </c>
      <c r="F205" t="s">
        <v>114</v>
      </c>
      <c r="G205" t="s">
        <v>1718</v>
      </c>
      <c r="H205">
        <v>8</v>
      </c>
      <c r="I205">
        <v>4091.1</v>
      </c>
      <c r="J205">
        <v>32728.799999999999</v>
      </c>
    </row>
    <row r="206" spans="1:10">
      <c r="A206" s="25">
        <v>45157</v>
      </c>
      <c r="B206" t="s">
        <v>1671</v>
      </c>
      <c r="C206" t="s">
        <v>1672</v>
      </c>
      <c r="D206" t="s">
        <v>1673</v>
      </c>
      <c r="E206" t="s">
        <v>1674</v>
      </c>
      <c r="F206" t="s">
        <v>101</v>
      </c>
      <c r="G206" t="s">
        <v>1715</v>
      </c>
      <c r="H206">
        <v>16</v>
      </c>
      <c r="I206">
        <v>3369.55</v>
      </c>
      <c r="J206">
        <v>53912.800000000003</v>
      </c>
    </row>
    <row r="207" spans="1:10">
      <c r="A207" s="25">
        <v>45209</v>
      </c>
      <c r="B207" t="s">
        <v>1689</v>
      </c>
      <c r="C207" t="s">
        <v>1707</v>
      </c>
      <c r="D207" t="s">
        <v>1683</v>
      </c>
      <c r="E207" t="s">
        <v>1679</v>
      </c>
      <c r="F207" t="s">
        <v>101</v>
      </c>
      <c r="G207" t="s">
        <v>1709</v>
      </c>
      <c r="H207">
        <v>3</v>
      </c>
      <c r="I207">
        <v>3591.92</v>
      </c>
      <c r="J207">
        <v>10775.76</v>
      </c>
    </row>
    <row r="208" spans="1:10">
      <c r="A208" s="25">
        <v>45154</v>
      </c>
      <c r="B208" t="s">
        <v>1698</v>
      </c>
      <c r="C208" t="s">
        <v>1135</v>
      </c>
      <c r="D208" t="s">
        <v>1673</v>
      </c>
      <c r="E208" t="s">
        <v>1674</v>
      </c>
      <c r="F208" t="s">
        <v>97</v>
      </c>
      <c r="G208" t="s">
        <v>1685</v>
      </c>
      <c r="H208">
        <v>4</v>
      </c>
      <c r="I208">
        <v>4298.3500000000004</v>
      </c>
      <c r="J208">
        <v>17193.400000000001</v>
      </c>
    </row>
    <row r="209" spans="1:10">
      <c r="A209" s="25">
        <v>45145</v>
      </c>
      <c r="B209" t="s">
        <v>1671</v>
      </c>
      <c r="C209" t="s">
        <v>1137</v>
      </c>
      <c r="D209" t="s">
        <v>1696</v>
      </c>
      <c r="E209" t="s">
        <v>1674</v>
      </c>
      <c r="F209" t="s">
        <v>114</v>
      </c>
      <c r="G209" t="s">
        <v>1712</v>
      </c>
      <c r="H209">
        <v>11</v>
      </c>
      <c r="I209">
        <v>3687.73</v>
      </c>
      <c r="J209">
        <v>40565.03</v>
      </c>
    </row>
    <row r="210" spans="1:10">
      <c r="A210" s="25">
        <v>45218</v>
      </c>
      <c r="B210" t="s">
        <v>1676</v>
      </c>
      <c r="C210" t="s">
        <v>1695</v>
      </c>
      <c r="D210" t="s">
        <v>1696</v>
      </c>
      <c r="E210" t="s">
        <v>1674</v>
      </c>
      <c r="F210" t="s">
        <v>1687</v>
      </c>
      <c r="G210" t="s">
        <v>1710</v>
      </c>
      <c r="H210">
        <v>12</v>
      </c>
      <c r="I210">
        <v>548.36</v>
      </c>
      <c r="J210">
        <v>6580.32</v>
      </c>
    </row>
    <row r="211" spans="1:10">
      <c r="A211" s="25">
        <v>45086</v>
      </c>
      <c r="B211" t="s">
        <v>1694</v>
      </c>
      <c r="C211" t="s">
        <v>1682</v>
      </c>
      <c r="D211" t="s">
        <v>1683</v>
      </c>
      <c r="E211" t="s">
        <v>1679</v>
      </c>
      <c r="F211" t="s">
        <v>97</v>
      </c>
      <c r="G211" t="s">
        <v>1685</v>
      </c>
      <c r="H211">
        <v>6</v>
      </c>
      <c r="I211">
        <v>3931.61</v>
      </c>
      <c r="J211">
        <v>23589.66</v>
      </c>
    </row>
    <row r="212" spans="1:10">
      <c r="A212" s="25">
        <v>45118</v>
      </c>
      <c r="B212" t="s">
        <v>1671</v>
      </c>
      <c r="C212" t="s">
        <v>1672</v>
      </c>
      <c r="D212" t="s">
        <v>1673</v>
      </c>
      <c r="E212" t="s">
        <v>1674</v>
      </c>
      <c r="F212" t="s">
        <v>97</v>
      </c>
      <c r="G212" t="s">
        <v>1697</v>
      </c>
      <c r="H212">
        <v>18</v>
      </c>
      <c r="I212">
        <v>1120.0999999999999</v>
      </c>
      <c r="J212">
        <v>20161.8</v>
      </c>
    </row>
    <row r="213" spans="1:10">
      <c r="A213" s="25">
        <v>44970</v>
      </c>
      <c r="B213" t="s">
        <v>1700</v>
      </c>
      <c r="C213" t="s">
        <v>1693</v>
      </c>
      <c r="D213" t="s">
        <v>1683</v>
      </c>
      <c r="E213" t="s">
        <v>1679</v>
      </c>
      <c r="F213" t="s">
        <v>114</v>
      </c>
      <c r="G213" t="s">
        <v>1718</v>
      </c>
      <c r="H213">
        <v>11</v>
      </c>
      <c r="I213">
        <v>1473.35</v>
      </c>
      <c r="J213">
        <v>16206.85</v>
      </c>
    </row>
    <row r="214" spans="1:10">
      <c r="A214" s="25">
        <v>45185</v>
      </c>
      <c r="B214" t="s">
        <v>1686</v>
      </c>
      <c r="C214" t="s">
        <v>1137</v>
      </c>
      <c r="D214" t="s">
        <v>1696</v>
      </c>
      <c r="E214" t="s">
        <v>1674</v>
      </c>
      <c r="F214" t="s">
        <v>89</v>
      </c>
      <c r="G214" t="s">
        <v>1106</v>
      </c>
      <c r="H214">
        <v>6</v>
      </c>
      <c r="I214">
        <v>297.27</v>
      </c>
      <c r="J214">
        <v>1783.62</v>
      </c>
    </row>
    <row r="215" spans="1:10">
      <c r="A215" s="25">
        <v>45285</v>
      </c>
      <c r="B215" t="s">
        <v>1671</v>
      </c>
      <c r="C215" t="s">
        <v>1135</v>
      </c>
      <c r="D215" t="s">
        <v>1673</v>
      </c>
      <c r="E215" t="s">
        <v>1674</v>
      </c>
      <c r="F215" t="s">
        <v>1687</v>
      </c>
      <c r="G215" t="s">
        <v>1704</v>
      </c>
      <c r="H215">
        <v>5</v>
      </c>
      <c r="I215">
        <v>4872.8900000000003</v>
      </c>
      <c r="J215">
        <v>24364.45</v>
      </c>
    </row>
    <row r="216" spans="1:10">
      <c r="A216" s="25">
        <v>45122</v>
      </c>
      <c r="B216" t="s">
        <v>1692</v>
      </c>
      <c r="C216" t="s">
        <v>1701</v>
      </c>
      <c r="D216" t="s">
        <v>1702</v>
      </c>
      <c r="E216" t="s">
        <v>1703</v>
      </c>
      <c r="F216" t="s">
        <v>1687</v>
      </c>
      <c r="G216" t="s">
        <v>1708</v>
      </c>
      <c r="H216">
        <v>20</v>
      </c>
      <c r="I216">
        <v>4711.51</v>
      </c>
      <c r="J216">
        <v>94230.2</v>
      </c>
    </row>
    <row r="217" spans="1:10">
      <c r="A217" s="25">
        <v>45244</v>
      </c>
      <c r="B217" t="s">
        <v>1705</v>
      </c>
      <c r="C217" t="s">
        <v>1137</v>
      </c>
      <c r="D217" t="s">
        <v>1696</v>
      </c>
      <c r="E217" t="s">
        <v>1674</v>
      </c>
      <c r="F217" t="s">
        <v>89</v>
      </c>
      <c r="G217" t="s">
        <v>1106</v>
      </c>
      <c r="H217">
        <v>5</v>
      </c>
      <c r="I217">
        <v>4096.54</v>
      </c>
      <c r="J217">
        <v>20482.7</v>
      </c>
    </row>
    <row r="218" spans="1:10">
      <c r="A218" s="25">
        <v>45214</v>
      </c>
      <c r="B218" t="s">
        <v>1694</v>
      </c>
      <c r="C218" t="s">
        <v>1701</v>
      </c>
      <c r="D218" t="s">
        <v>1702</v>
      </c>
      <c r="E218" t="s">
        <v>1703</v>
      </c>
      <c r="F218" t="s">
        <v>1687</v>
      </c>
      <c r="G218" t="s">
        <v>1708</v>
      </c>
      <c r="H218">
        <v>6</v>
      </c>
      <c r="I218">
        <v>830.82</v>
      </c>
      <c r="J218">
        <v>4984.92</v>
      </c>
    </row>
    <row r="219" spans="1:10">
      <c r="A219" s="25">
        <v>45110</v>
      </c>
      <c r="B219" t="s">
        <v>1698</v>
      </c>
      <c r="C219" t="s">
        <v>1706</v>
      </c>
      <c r="D219" t="s">
        <v>1702</v>
      </c>
      <c r="E219" t="s">
        <v>1703</v>
      </c>
      <c r="F219" t="s">
        <v>1687</v>
      </c>
      <c r="G219" t="s">
        <v>1688</v>
      </c>
      <c r="H219">
        <v>3</v>
      </c>
      <c r="I219">
        <v>4637.38</v>
      </c>
      <c r="J219">
        <v>13912.14</v>
      </c>
    </row>
    <row r="220" spans="1:10">
      <c r="A220" s="25">
        <v>44959</v>
      </c>
      <c r="B220" t="s">
        <v>1700</v>
      </c>
      <c r="C220" t="s">
        <v>1682</v>
      </c>
      <c r="D220" t="s">
        <v>1683</v>
      </c>
      <c r="E220" t="s">
        <v>1679</v>
      </c>
      <c r="F220" t="s">
        <v>114</v>
      </c>
      <c r="G220" t="s">
        <v>1680</v>
      </c>
      <c r="H220">
        <v>5</v>
      </c>
      <c r="I220">
        <v>3770.1</v>
      </c>
      <c r="J220">
        <v>18850.5</v>
      </c>
    </row>
    <row r="221" spans="1:10">
      <c r="A221" s="25">
        <v>45260</v>
      </c>
      <c r="B221" t="s">
        <v>1689</v>
      </c>
      <c r="C221" t="s">
        <v>1707</v>
      </c>
      <c r="D221" t="s">
        <v>1683</v>
      </c>
      <c r="E221" t="s">
        <v>1679</v>
      </c>
      <c r="F221" t="s">
        <v>1687</v>
      </c>
      <c r="G221" t="s">
        <v>1704</v>
      </c>
      <c r="H221">
        <v>20</v>
      </c>
      <c r="I221">
        <v>285.95999999999998</v>
      </c>
      <c r="J221">
        <v>5719.2</v>
      </c>
    </row>
    <row r="222" spans="1:10">
      <c r="A222" s="25">
        <v>45024</v>
      </c>
      <c r="B222" t="s">
        <v>1692</v>
      </c>
      <c r="C222" t="s">
        <v>1706</v>
      </c>
      <c r="D222" t="s">
        <v>1702</v>
      </c>
      <c r="E222" t="s">
        <v>1703</v>
      </c>
      <c r="F222" t="s">
        <v>101</v>
      </c>
      <c r="G222" t="s">
        <v>1719</v>
      </c>
      <c r="H222">
        <v>6</v>
      </c>
      <c r="I222">
        <v>1912.36</v>
      </c>
      <c r="J222">
        <v>11474.16</v>
      </c>
    </row>
    <row r="223" spans="1:10">
      <c r="A223" s="25">
        <v>45099</v>
      </c>
      <c r="B223" t="s">
        <v>1676</v>
      </c>
      <c r="C223" t="s">
        <v>1717</v>
      </c>
      <c r="D223" t="s">
        <v>1696</v>
      </c>
      <c r="E223" t="s">
        <v>1674</v>
      </c>
      <c r="F223" t="s">
        <v>97</v>
      </c>
      <c r="G223" t="s">
        <v>1685</v>
      </c>
      <c r="H223">
        <v>19</v>
      </c>
      <c r="I223">
        <v>3648.27</v>
      </c>
      <c r="J223">
        <v>69317.13</v>
      </c>
    </row>
    <row r="224" spans="1:10">
      <c r="A224" s="25">
        <v>45081</v>
      </c>
      <c r="B224" t="s">
        <v>1681</v>
      </c>
      <c r="C224" t="s">
        <v>1682</v>
      </c>
      <c r="D224" t="s">
        <v>1683</v>
      </c>
      <c r="E224" t="s">
        <v>1679</v>
      </c>
      <c r="F224" t="s">
        <v>101</v>
      </c>
      <c r="G224" t="s">
        <v>1715</v>
      </c>
      <c r="H224">
        <v>20</v>
      </c>
      <c r="I224">
        <v>473.23</v>
      </c>
      <c r="J224">
        <v>9464.6</v>
      </c>
    </row>
    <row r="225" spans="1:10">
      <c r="A225" s="25">
        <v>45254</v>
      </c>
      <c r="B225" t="s">
        <v>1671</v>
      </c>
      <c r="C225" t="s">
        <v>1684</v>
      </c>
      <c r="D225" t="s">
        <v>1678</v>
      </c>
      <c r="E225" t="s">
        <v>1679</v>
      </c>
      <c r="F225" t="s">
        <v>89</v>
      </c>
      <c r="G225" t="s">
        <v>1105</v>
      </c>
      <c r="H225">
        <v>16</v>
      </c>
      <c r="I225">
        <v>1870.47</v>
      </c>
      <c r="J225">
        <v>29927.52</v>
      </c>
    </row>
    <row r="226" spans="1:10">
      <c r="A226" s="25">
        <v>45015</v>
      </c>
      <c r="B226" t="s">
        <v>1694</v>
      </c>
      <c r="C226" t="s">
        <v>1716</v>
      </c>
      <c r="D226" t="s">
        <v>1702</v>
      </c>
      <c r="E226" t="s">
        <v>1703</v>
      </c>
      <c r="F226" t="s">
        <v>1687</v>
      </c>
      <c r="G226" t="s">
        <v>1708</v>
      </c>
      <c r="H226">
        <v>18</v>
      </c>
      <c r="I226">
        <v>835.8</v>
      </c>
      <c r="J226">
        <v>15044.4</v>
      </c>
    </row>
    <row r="227" spans="1:10">
      <c r="A227" s="25">
        <v>45110</v>
      </c>
      <c r="B227" t="s">
        <v>1705</v>
      </c>
      <c r="C227" t="s">
        <v>1672</v>
      </c>
      <c r="D227" t="s">
        <v>1673</v>
      </c>
      <c r="E227" t="s">
        <v>1674</v>
      </c>
      <c r="F227" t="s">
        <v>114</v>
      </c>
      <c r="G227" t="s">
        <v>1712</v>
      </c>
      <c r="H227">
        <v>18</v>
      </c>
      <c r="I227">
        <v>4850.91</v>
      </c>
      <c r="J227">
        <v>87316.38</v>
      </c>
    </row>
    <row r="228" spans="1:10">
      <c r="A228" s="25">
        <v>45037</v>
      </c>
      <c r="B228" t="s">
        <v>1681</v>
      </c>
      <c r="C228" t="s">
        <v>1136</v>
      </c>
      <c r="D228" t="s">
        <v>1673</v>
      </c>
      <c r="E228" t="s">
        <v>1674</v>
      </c>
      <c r="F228" t="s">
        <v>101</v>
      </c>
      <c r="G228" t="s">
        <v>1675</v>
      </c>
      <c r="H228">
        <v>10</v>
      </c>
      <c r="I228">
        <v>2200.91</v>
      </c>
      <c r="J228">
        <v>22009.1</v>
      </c>
    </row>
    <row r="229" spans="1:10">
      <c r="A229" s="25">
        <v>45270</v>
      </c>
      <c r="B229" t="s">
        <v>1700</v>
      </c>
      <c r="C229" t="s">
        <v>1693</v>
      </c>
      <c r="D229" t="s">
        <v>1683</v>
      </c>
      <c r="E229" t="s">
        <v>1679</v>
      </c>
      <c r="F229" t="s">
        <v>89</v>
      </c>
      <c r="G229" t="s">
        <v>1105</v>
      </c>
      <c r="H229">
        <v>9</v>
      </c>
      <c r="I229">
        <v>1694.83</v>
      </c>
      <c r="J229">
        <v>15253.47</v>
      </c>
    </row>
    <row r="230" spans="1:10">
      <c r="A230" s="25">
        <v>44963</v>
      </c>
      <c r="B230" t="s">
        <v>1705</v>
      </c>
      <c r="C230" t="s">
        <v>1677</v>
      </c>
      <c r="D230" t="s">
        <v>1678</v>
      </c>
      <c r="E230" t="s">
        <v>1679</v>
      </c>
      <c r="F230" t="s">
        <v>101</v>
      </c>
      <c r="G230" t="s">
        <v>1715</v>
      </c>
      <c r="H230">
        <v>10</v>
      </c>
      <c r="I230">
        <v>1229.56</v>
      </c>
      <c r="J230">
        <v>12295.6</v>
      </c>
    </row>
    <row r="231" spans="1:10">
      <c r="A231" s="25">
        <v>44952</v>
      </c>
      <c r="B231" t="s">
        <v>1705</v>
      </c>
      <c r="C231" t="s">
        <v>1137</v>
      </c>
      <c r="D231" t="s">
        <v>1696</v>
      </c>
      <c r="E231" t="s">
        <v>1674</v>
      </c>
      <c r="F231" t="s">
        <v>1687</v>
      </c>
      <c r="G231" t="s">
        <v>1688</v>
      </c>
      <c r="H231">
        <v>14</v>
      </c>
      <c r="I231">
        <v>705.15</v>
      </c>
      <c r="J231">
        <v>9872.1</v>
      </c>
    </row>
    <row r="232" spans="1:10">
      <c r="A232" s="25">
        <v>45068</v>
      </c>
      <c r="B232" t="s">
        <v>1698</v>
      </c>
      <c r="C232" t="s">
        <v>1706</v>
      </c>
      <c r="D232" t="s">
        <v>1702</v>
      </c>
      <c r="E232" t="s">
        <v>1703</v>
      </c>
      <c r="F232" t="s">
        <v>97</v>
      </c>
      <c r="G232" t="s">
        <v>1697</v>
      </c>
      <c r="H232">
        <v>19</v>
      </c>
      <c r="I232">
        <v>3485.85</v>
      </c>
      <c r="J232">
        <v>66231.149999999994</v>
      </c>
    </row>
    <row r="233" spans="1:10">
      <c r="A233" s="25">
        <v>44977</v>
      </c>
      <c r="B233" t="s">
        <v>1676</v>
      </c>
      <c r="C233" t="s">
        <v>1701</v>
      </c>
      <c r="D233" t="s">
        <v>1702</v>
      </c>
      <c r="E233" t="s">
        <v>1703</v>
      </c>
      <c r="F233" t="s">
        <v>89</v>
      </c>
      <c r="G233" t="s">
        <v>1105</v>
      </c>
      <c r="H233">
        <v>10</v>
      </c>
      <c r="I233">
        <v>3633.26</v>
      </c>
      <c r="J233">
        <v>36332.6</v>
      </c>
    </row>
    <row r="234" spans="1:10">
      <c r="A234" s="25">
        <v>45179</v>
      </c>
      <c r="B234" t="s">
        <v>1698</v>
      </c>
      <c r="C234" t="s">
        <v>1672</v>
      </c>
      <c r="D234" t="s">
        <v>1673</v>
      </c>
      <c r="E234" t="s">
        <v>1674</v>
      </c>
      <c r="F234" t="s">
        <v>1687</v>
      </c>
      <c r="G234" t="s">
        <v>1710</v>
      </c>
      <c r="H234">
        <v>14</v>
      </c>
      <c r="I234">
        <v>1245.9000000000001</v>
      </c>
      <c r="J234">
        <v>17442.599999999999</v>
      </c>
    </row>
    <row r="235" spans="1:10">
      <c r="A235" s="25">
        <v>45257</v>
      </c>
      <c r="B235" t="s">
        <v>1686</v>
      </c>
      <c r="C235" t="s">
        <v>1701</v>
      </c>
      <c r="D235" t="s">
        <v>1702</v>
      </c>
      <c r="E235" t="s">
        <v>1703</v>
      </c>
      <c r="F235" t="s">
        <v>101</v>
      </c>
      <c r="G235" t="s">
        <v>1675</v>
      </c>
      <c r="H235">
        <v>4</v>
      </c>
      <c r="I235">
        <v>4553.5200000000004</v>
      </c>
      <c r="J235">
        <v>18214.080000000002</v>
      </c>
    </row>
    <row r="236" spans="1:10">
      <c r="A236" s="25">
        <v>45146</v>
      </c>
      <c r="B236" t="s">
        <v>1676</v>
      </c>
      <c r="C236" t="s">
        <v>1136</v>
      </c>
      <c r="D236" t="s">
        <v>1673</v>
      </c>
      <c r="E236" t="s">
        <v>1674</v>
      </c>
      <c r="F236" t="s">
        <v>101</v>
      </c>
      <c r="G236" t="s">
        <v>1709</v>
      </c>
      <c r="H236">
        <v>3</v>
      </c>
      <c r="I236">
        <v>1417.18</v>
      </c>
      <c r="J236">
        <v>4251.54</v>
      </c>
    </row>
    <row r="237" spans="1:10">
      <c r="A237" s="25">
        <v>45069</v>
      </c>
      <c r="B237" t="s">
        <v>1692</v>
      </c>
      <c r="C237" t="s">
        <v>1672</v>
      </c>
      <c r="D237" t="s">
        <v>1673</v>
      </c>
      <c r="E237" t="s">
        <v>1674</v>
      </c>
      <c r="F237" t="s">
        <v>89</v>
      </c>
      <c r="G237" t="s">
        <v>1714</v>
      </c>
      <c r="H237">
        <v>7</v>
      </c>
      <c r="I237">
        <v>1249.3599999999999</v>
      </c>
      <c r="J237">
        <v>8745.52</v>
      </c>
    </row>
    <row r="238" spans="1:10">
      <c r="A238" s="25">
        <v>45098</v>
      </c>
      <c r="B238" t="s">
        <v>1689</v>
      </c>
      <c r="C238" t="s">
        <v>1677</v>
      </c>
      <c r="D238" t="s">
        <v>1678</v>
      </c>
      <c r="E238" t="s">
        <v>1679</v>
      </c>
      <c r="F238" t="s">
        <v>97</v>
      </c>
      <c r="G238" t="s">
        <v>1711</v>
      </c>
      <c r="H238">
        <v>7</v>
      </c>
      <c r="I238">
        <v>3911.96</v>
      </c>
      <c r="J238">
        <v>27383.72</v>
      </c>
    </row>
    <row r="239" spans="1:10">
      <c r="A239" s="25">
        <v>45043</v>
      </c>
      <c r="B239" t="s">
        <v>1686</v>
      </c>
      <c r="C239" t="s">
        <v>1693</v>
      </c>
      <c r="D239" t="s">
        <v>1683</v>
      </c>
      <c r="E239" t="s">
        <v>1679</v>
      </c>
      <c r="F239" t="s">
        <v>97</v>
      </c>
      <c r="G239" t="s">
        <v>1697</v>
      </c>
      <c r="H239">
        <v>4</v>
      </c>
      <c r="I239">
        <v>3087.87</v>
      </c>
      <c r="J239">
        <v>12351.48</v>
      </c>
    </row>
    <row r="240" spans="1:10">
      <c r="A240" s="25">
        <v>45241</v>
      </c>
      <c r="B240" t="s">
        <v>1686</v>
      </c>
      <c r="C240" t="s">
        <v>1672</v>
      </c>
      <c r="D240" t="s">
        <v>1673</v>
      </c>
      <c r="E240" t="s">
        <v>1674</v>
      </c>
      <c r="F240" t="s">
        <v>89</v>
      </c>
      <c r="G240" t="s">
        <v>1714</v>
      </c>
      <c r="H240">
        <v>16</v>
      </c>
      <c r="I240">
        <v>628.15</v>
      </c>
      <c r="J240">
        <v>10050.4</v>
      </c>
    </row>
    <row r="241" spans="1:10">
      <c r="A241" s="25">
        <v>45137</v>
      </c>
      <c r="B241" t="s">
        <v>1692</v>
      </c>
      <c r="C241" t="s">
        <v>1682</v>
      </c>
      <c r="D241" t="s">
        <v>1683</v>
      </c>
      <c r="E241" t="s">
        <v>1679</v>
      </c>
      <c r="F241" t="s">
        <v>1687</v>
      </c>
      <c r="G241" t="s">
        <v>1710</v>
      </c>
      <c r="H241">
        <v>15</v>
      </c>
      <c r="I241">
        <v>3100.61</v>
      </c>
      <c r="J241">
        <v>46509.15</v>
      </c>
    </row>
    <row r="242" spans="1:10">
      <c r="A242" s="25">
        <v>45064</v>
      </c>
      <c r="B242" t="s">
        <v>1676</v>
      </c>
      <c r="C242" t="s">
        <v>1693</v>
      </c>
      <c r="D242" t="s">
        <v>1683</v>
      </c>
      <c r="E242" t="s">
        <v>1679</v>
      </c>
      <c r="F242" t="s">
        <v>97</v>
      </c>
      <c r="G242" t="s">
        <v>1697</v>
      </c>
      <c r="H242">
        <v>10</v>
      </c>
      <c r="I242">
        <v>4017.66</v>
      </c>
      <c r="J242">
        <v>40176.6</v>
      </c>
    </row>
    <row r="243" spans="1:10">
      <c r="A243" s="25">
        <v>45152</v>
      </c>
      <c r="B243" t="s">
        <v>1676</v>
      </c>
      <c r="C243" t="s">
        <v>1707</v>
      </c>
      <c r="D243" t="s">
        <v>1683</v>
      </c>
      <c r="E243" t="s">
        <v>1679</v>
      </c>
      <c r="F243" t="s">
        <v>101</v>
      </c>
      <c r="G243" t="s">
        <v>1709</v>
      </c>
      <c r="H243">
        <v>3</v>
      </c>
      <c r="I243">
        <v>3389.2</v>
      </c>
      <c r="J243">
        <v>10167.6</v>
      </c>
    </row>
    <row r="244" spans="1:10">
      <c r="A244" s="25">
        <v>45072</v>
      </c>
      <c r="B244" t="s">
        <v>1681</v>
      </c>
      <c r="C244" t="s">
        <v>1672</v>
      </c>
      <c r="D244" t="s">
        <v>1673</v>
      </c>
      <c r="E244" t="s">
        <v>1674</v>
      </c>
      <c r="F244" t="s">
        <v>1687</v>
      </c>
      <c r="G244" t="s">
        <v>1688</v>
      </c>
      <c r="H244">
        <v>20</v>
      </c>
      <c r="I244">
        <v>2441.83</v>
      </c>
      <c r="J244">
        <v>48836.6</v>
      </c>
    </row>
    <row r="245" spans="1:10">
      <c r="A245" s="25">
        <v>45269</v>
      </c>
      <c r="B245" t="s">
        <v>1676</v>
      </c>
      <c r="C245" t="s">
        <v>1716</v>
      </c>
      <c r="D245" t="s">
        <v>1702</v>
      </c>
      <c r="E245" t="s">
        <v>1703</v>
      </c>
      <c r="F245" t="s">
        <v>101</v>
      </c>
      <c r="G245" t="s">
        <v>1715</v>
      </c>
      <c r="H245">
        <v>17</v>
      </c>
      <c r="I245">
        <v>2655.98</v>
      </c>
      <c r="J245">
        <v>45151.66</v>
      </c>
    </row>
    <row r="246" spans="1:10">
      <c r="A246" s="25">
        <v>44929</v>
      </c>
      <c r="B246" t="s">
        <v>1676</v>
      </c>
      <c r="C246" t="s">
        <v>1693</v>
      </c>
      <c r="D246" t="s">
        <v>1683</v>
      </c>
      <c r="E246" t="s">
        <v>1679</v>
      </c>
      <c r="F246" t="s">
        <v>89</v>
      </c>
      <c r="G246" t="s">
        <v>1714</v>
      </c>
      <c r="H246">
        <v>3</v>
      </c>
      <c r="I246">
        <v>4908.74</v>
      </c>
      <c r="J246">
        <v>14726.22</v>
      </c>
    </row>
    <row r="247" spans="1:10">
      <c r="A247" s="25">
        <v>45192</v>
      </c>
      <c r="B247" t="s">
        <v>1698</v>
      </c>
      <c r="C247" t="s">
        <v>1706</v>
      </c>
      <c r="D247" t="s">
        <v>1702</v>
      </c>
      <c r="E247" t="s">
        <v>1703</v>
      </c>
      <c r="F247" t="s">
        <v>89</v>
      </c>
      <c r="G247" t="s">
        <v>1714</v>
      </c>
      <c r="H247">
        <v>13</v>
      </c>
      <c r="I247">
        <v>4121.8</v>
      </c>
      <c r="J247">
        <v>53583.4</v>
      </c>
    </row>
    <row r="248" spans="1:10">
      <c r="A248" s="25">
        <v>44991</v>
      </c>
      <c r="B248" t="s">
        <v>1705</v>
      </c>
      <c r="C248" t="s">
        <v>1672</v>
      </c>
      <c r="D248" t="s">
        <v>1673</v>
      </c>
      <c r="E248" t="s">
        <v>1674</v>
      </c>
      <c r="F248" t="s">
        <v>89</v>
      </c>
      <c r="G248" t="s">
        <v>1714</v>
      </c>
      <c r="H248">
        <v>7</v>
      </c>
      <c r="I248">
        <v>2083.7800000000002</v>
      </c>
      <c r="J248">
        <v>14586.46</v>
      </c>
    </row>
    <row r="249" spans="1:10">
      <c r="A249" s="25">
        <v>44967</v>
      </c>
      <c r="B249" t="s">
        <v>1692</v>
      </c>
      <c r="C249" t="s">
        <v>1136</v>
      </c>
      <c r="D249" t="s">
        <v>1673</v>
      </c>
      <c r="E249" t="s">
        <v>1674</v>
      </c>
      <c r="F249" t="s">
        <v>97</v>
      </c>
      <c r="G249" t="s">
        <v>1711</v>
      </c>
      <c r="H249">
        <v>4</v>
      </c>
      <c r="I249">
        <v>697.88</v>
      </c>
      <c r="J249">
        <v>2791.52</v>
      </c>
    </row>
    <row r="250" spans="1:10">
      <c r="A250" s="25">
        <v>45017</v>
      </c>
      <c r="B250" t="s">
        <v>1705</v>
      </c>
      <c r="C250" t="s">
        <v>1701</v>
      </c>
      <c r="D250" t="s">
        <v>1702</v>
      </c>
      <c r="E250" t="s">
        <v>1703</v>
      </c>
      <c r="F250" t="s">
        <v>89</v>
      </c>
      <c r="G250" t="s">
        <v>1713</v>
      </c>
      <c r="H250">
        <v>3</v>
      </c>
      <c r="I250">
        <v>3754.7</v>
      </c>
      <c r="J250">
        <v>11264.1</v>
      </c>
    </row>
    <row r="251" spans="1:10">
      <c r="A251" s="25">
        <v>45212</v>
      </c>
      <c r="B251" t="s">
        <v>1681</v>
      </c>
      <c r="C251" t="s">
        <v>1677</v>
      </c>
      <c r="D251" t="s">
        <v>1678</v>
      </c>
      <c r="E251" t="s">
        <v>1679</v>
      </c>
      <c r="F251" t="s">
        <v>101</v>
      </c>
      <c r="G251" t="s">
        <v>1719</v>
      </c>
      <c r="H251">
        <v>20</v>
      </c>
      <c r="I251">
        <v>2449.44</v>
      </c>
      <c r="J251">
        <v>48988.800000000003</v>
      </c>
    </row>
    <row r="252" spans="1:10">
      <c r="A252" s="25">
        <v>45109</v>
      </c>
      <c r="B252" t="s">
        <v>1686</v>
      </c>
      <c r="C252" t="s">
        <v>1690</v>
      </c>
      <c r="D252" t="s">
        <v>1678</v>
      </c>
      <c r="E252" t="s">
        <v>1679</v>
      </c>
      <c r="F252" t="s">
        <v>89</v>
      </c>
      <c r="G252" t="s">
        <v>1106</v>
      </c>
      <c r="H252">
        <v>6</v>
      </c>
      <c r="I252">
        <v>2862.86</v>
      </c>
      <c r="J252">
        <v>17177.16</v>
      </c>
    </row>
    <row r="253" spans="1:10">
      <c r="A253" s="25">
        <v>45092</v>
      </c>
      <c r="B253" t="s">
        <v>1694</v>
      </c>
      <c r="C253" t="s">
        <v>1690</v>
      </c>
      <c r="D253" t="s">
        <v>1678</v>
      </c>
      <c r="E253" t="s">
        <v>1679</v>
      </c>
      <c r="F253" t="s">
        <v>114</v>
      </c>
      <c r="G253" t="s">
        <v>1680</v>
      </c>
      <c r="H253">
        <v>4</v>
      </c>
      <c r="I253">
        <v>4795.3999999999996</v>
      </c>
      <c r="J253">
        <v>19181.599999999999</v>
      </c>
    </row>
    <row r="254" spans="1:10">
      <c r="A254" s="25">
        <v>45242</v>
      </c>
      <c r="B254" t="s">
        <v>1694</v>
      </c>
      <c r="C254" t="s">
        <v>1701</v>
      </c>
      <c r="D254" t="s">
        <v>1702</v>
      </c>
      <c r="E254" t="s">
        <v>1703</v>
      </c>
      <c r="F254" t="s">
        <v>101</v>
      </c>
      <c r="G254" t="s">
        <v>1715</v>
      </c>
      <c r="H254">
        <v>3</v>
      </c>
      <c r="I254">
        <v>672.84</v>
      </c>
      <c r="J254">
        <v>2018.52</v>
      </c>
    </row>
    <row r="255" spans="1:10">
      <c r="A255" s="25">
        <v>45175</v>
      </c>
      <c r="B255" t="s">
        <v>1705</v>
      </c>
      <c r="C255" t="s">
        <v>1707</v>
      </c>
      <c r="D255" t="s">
        <v>1683</v>
      </c>
      <c r="E255" t="s">
        <v>1679</v>
      </c>
      <c r="F255" t="s">
        <v>101</v>
      </c>
      <c r="G255" t="s">
        <v>1719</v>
      </c>
      <c r="H255">
        <v>5</v>
      </c>
      <c r="I255">
        <v>4423.53</v>
      </c>
      <c r="J255">
        <v>22117.65</v>
      </c>
    </row>
    <row r="256" spans="1:10">
      <c r="A256" s="25">
        <v>45049</v>
      </c>
      <c r="B256" t="s">
        <v>1694</v>
      </c>
      <c r="C256" t="s">
        <v>1690</v>
      </c>
      <c r="D256" t="s">
        <v>1678</v>
      </c>
      <c r="E256" t="s">
        <v>1679</v>
      </c>
      <c r="F256" t="s">
        <v>101</v>
      </c>
      <c r="G256" t="s">
        <v>1719</v>
      </c>
      <c r="H256">
        <v>13</v>
      </c>
      <c r="I256">
        <v>1330.85</v>
      </c>
      <c r="J256">
        <v>17301.05</v>
      </c>
    </row>
    <row r="257" spans="1:10">
      <c r="A257" s="25">
        <v>45168</v>
      </c>
      <c r="B257" t="s">
        <v>1705</v>
      </c>
      <c r="C257" t="s">
        <v>1672</v>
      </c>
      <c r="D257" t="s">
        <v>1673</v>
      </c>
      <c r="E257" t="s">
        <v>1674</v>
      </c>
      <c r="F257" t="s">
        <v>114</v>
      </c>
      <c r="G257" t="s">
        <v>1712</v>
      </c>
      <c r="H257">
        <v>2</v>
      </c>
      <c r="I257">
        <v>1785.76</v>
      </c>
      <c r="J257">
        <v>3571.52</v>
      </c>
    </row>
    <row r="258" spans="1:10">
      <c r="A258" s="25">
        <v>44948</v>
      </c>
      <c r="B258" t="s">
        <v>1681</v>
      </c>
      <c r="C258" t="s">
        <v>1701</v>
      </c>
      <c r="D258" t="s">
        <v>1702</v>
      </c>
      <c r="E258" t="s">
        <v>1703</v>
      </c>
      <c r="F258" t="s">
        <v>101</v>
      </c>
      <c r="G258" t="s">
        <v>1715</v>
      </c>
      <c r="H258">
        <v>10</v>
      </c>
      <c r="I258">
        <v>505.39</v>
      </c>
      <c r="J258">
        <v>5053.8999999999996</v>
      </c>
    </row>
    <row r="259" spans="1:10">
      <c r="A259" s="25">
        <v>45255</v>
      </c>
      <c r="B259" t="s">
        <v>1689</v>
      </c>
      <c r="C259" t="s">
        <v>1682</v>
      </c>
      <c r="D259" t="s">
        <v>1683</v>
      </c>
      <c r="E259" t="s">
        <v>1679</v>
      </c>
      <c r="F259" t="s">
        <v>89</v>
      </c>
      <c r="G259" t="s">
        <v>1713</v>
      </c>
      <c r="H259">
        <v>1</v>
      </c>
      <c r="I259">
        <v>4966.8599999999997</v>
      </c>
      <c r="J259">
        <v>4966.8599999999997</v>
      </c>
    </row>
    <row r="260" spans="1:10">
      <c r="A260" s="25">
        <v>45182</v>
      </c>
      <c r="B260" t="s">
        <v>1681</v>
      </c>
      <c r="C260" t="s">
        <v>1717</v>
      </c>
      <c r="D260" t="s">
        <v>1696</v>
      </c>
      <c r="E260" t="s">
        <v>1674</v>
      </c>
      <c r="F260" t="s">
        <v>101</v>
      </c>
      <c r="G260" t="s">
        <v>1709</v>
      </c>
      <c r="H260">
        <v>5</v>
      </c>
      <c r="I260">
        <v>4988.76</v>
      </c>
      <c r="J260">
        <v>24943.8</v>
      </c>
    </row>
    <row r="261" spans="1:10">
      <c r="A261" s="25">
        <v>45067</v>
      </c>
      <c r="B261" t="s">
        <v>1692</v>
      </c>
      <c r="C261" t="s">
        <v>1693</v>
      </c>
      <c r="D261" t="s">
        <v>1683</v>
      </c>
      <c r="E261" t="s">
        <v>1679</v>
      </c>
      <c r="F261" t="s">
        <v>89</v>
      </c>
      <c r="G261" t="s">
        <v>1713</v>
      </c>
      <c r="H261">
        <v>18</v>
      </c>
      <c r="I261">
        <v>1745.63</v>
      </c>
      <c r="J261">
        <v>31421.34</v>
      </c>
    </row>
    <row r="262" spans="1:10">
      <c r="A262" s="25">
        <v>45274</v>
      </c>
      <c r="B262" t="s">
        <v>1681</v>
      </c>
      <c r="C262" t="s">
        <v>1135</v>
      </c>
      <c r="D262" t="s">
        <v>1673</v>
      </c>
      <c r="E262" t="s">
        <v>1674</v>
      </c>
      <c r="F262" t="s">
        <v>97</v>
      </c>
      <c r="G262" t="s">
        <v>1711</v>
      </c>
      <c r="H262">
        <v>2</v>
      </c>
      <c r="I262">
        <v>3024.56</v>
      </c>
      <c r="J262">
        <v>6049.12</v>
      </c>
    </row>
    <row r="263" spans="1:10">
      <c r="A263" s="25">
        <v>45083</v>
      </c>
      <c r="B263" t="s">
        <v>1698</v>
      </c>
      <c r="C263" t="s">
        <v>1677</v>
      </c>
      <c r="D263" t="s">
        <v>1678</v>
      </c>
      <c r="E263" t="s">
        <v>1679</v>
      </c>
      <c r="F263" t="s">
        <v>114</v>
      </c>
      <c r="G263" t="s">
        <v>1691</v>
      </c>
      <c r="H263">
        <v>15</v>
      </c>
      <c r="I263">
        <v>4599.74</v>
      </c>
      <c r="J263">
        <v>68996.100000000006</v>
      </c>
    </row>
    <row r="264" spans="1:10">
      <c r="A264" s="25">
        <v>45286</v>
      </c>
      <c r="B264" t="s">
        <v>1681</v>
      </c>
      <c r="C264" t="s">
        <v>1701</v>
      </c>
      <c r="D264" t="s">
        <v>1702</v>
      </c>
      <c r="E264" t="s">
        <v>1703</v>
      </c>
      <c r="F264" t="s">
        <v>1687</v>
      </c>
      <c r="G264" t="s">
        <v>1710</v>
      </c>
      <c r="H264">
        <v>18</v>
      </c>
      <c r="I264">
        <v>330.49</v>
      </c>
      <c r="J264">
        <v>5948.82</v>
      </c>
    </row>
    <row r="265" spans="1:10">
      <c r="A265" s="25">
        <v>45284</v>
      </c>
      <c r="B265" t="s">
        <v>1686</v>
      </c>
      <c r="C265" t="s">
        <v>1707</v>
      </c>
      <c r="D265" t="s">
        <v>1683</v>
      </c>
      <c r="E265" t="s">
        <v>1679</v>
      </c>
      <c r="F265" t="s">
        <v>97</v>
      </c>
      <c r="G265" t="s">
        <v>1685</v>
      </c>
      <c r="H265">
        <v>8</v>
      </c>
      <c r="I265">
        <v>4775.74</v>
      </c>
      <c r="J265">
        <v>38205.919999999998</v>
      </c>
    </row>
    <row r="266" spans="1:10">
      <c r="A266" s="25">
        <v>45225</v>
      </c>
      <c r="B266" t="s">
        <v>1705</v>
      </c>
      <c r="C266" t="s">
        <v>1717</v>
      </c>
      <c r="D266" t="s">
        <v>1696</v>
      </c>
      <c r="E266" t="s">
        <v>1674</v>
      </c>
      <c r="F266" t="s">
        <v>114</v>
      </c>
      <c r="G266" t="s">
        <v>1691</v>
      </c>
      <c r="H266">
        <v>16</v>
      </c>
      <c r="I266">
        <v>2329.86</v>
      </c>
      <c r="J266">
        <v>37277.760000000002</v>
      </c>
    </row>
    <row r="267" spans="1:10">
      <c r="A267" s="25">
        <v>45098</v>
      </c>
      <c r="B267" t="s">
        <v>1676</v>
      </c>
      <c r="C267" t="s">
        <v>1695</v>
      </c>
      <c r="D267" t="s">
        <v>1696</v>
      </c>
      <c r="E267" t="s">
        <v>1674</v>
      </c>
      <c r="F267" t="s">
        <v>89</v>
      </c>
      <c r="G267" t="s">
        <v>1105</v>
      </c>
      <c r="H267">
        <v>16</v>
      </c>
      <c r="I267">
        <v>1426.64</v>
      </c>
      <c r="J267">
        <v>22826.240000000002</v>
      </c>
    </row>
    <row r="268" spans="1:10">
      <c r="A268" s="25">
        <v>45070</v>
      </c>
      <c r="B268" t="s">
        <v>1689</v>
      </c>
      <c r="C268" t="s">
        <v>1717</v>
      </c>
      <c r="D268" t="s">
        <v>1696</v>
      </c>
      <c r="E268" t="s">
        <v>1674</v>
      </c>
      <c r="F268" t="s">
        <v>97</v>
      </c>
      <c r="G268" t="s">
        <v>1699</v>
      </c>
      <c r="H268">
        <v>8</v>
      </c>
      <c r="I268">
        <v>2663.16</v>
      </c>
      <c r="J268">
        <v>21305.279999999999</v>
      </c>
    </row>
    <row r="269" spans="1:10">
      <c r="A269" s="25">
        <v>44996</v>
      </c>
      <c r="B269" t="s">
        <v>1700</v>
      </c>
      <c r="C269" t="s">
        <v>1695</v>
      </c>
      <c r="D269" t="s">
        <v>1696</v>
      </c>
      <c r="E269" t="s">
        <v>1674</v>
      </c>
      <c r="F269" t="s">
        <v>97</v>
      </c>
      <c r="G269" t="s">
        <v>1685</v>
      </c>
      <c r="H269">
        <v>20</v>
      </c>
      <c r="I269">
        <v>1690.56</v>
      </c>
      <c r="J269">
        <v>33811.199999999997</v>
      </c>
    </row>
    <row r="270" spans="1:10">
      <c r="A270" s="25">
        <v>44947</v>
      </c>
      <c r="B270" t="s">
        <v>1700</v>
      </c>
      <c r="C270" t="s">
        <v>1136</v>
      </c>
      <c r="D270" t="s">
        <v>1673</v>
      </c>
      <c r="E270" t="s">
        <v>1674</v>
      </c>
      <c r="F270" t="s">
        <v>97</v>
      </c>
      <c r="G270" t="s">
        <v>1685</v>
      </c>
      <c r="H270">
        <v>1</v>
      </c>
      <c r="I270">
        <v>776.08</v>
      </c>
      <c r="J270">
        <v>776.08</v>
      </c>
    </row>
    <row r="271" spans="1:10">
      <c r="A271" s="25">
        <v>45018</v>
      </c>
      <c r="B271" t="s">
        <v>1676</v>
      </c>
      <c r="C271" t="s">
        <v>1682</v>
      </c>
      <c r="D271" t="s">
        <v>1683</v>
      </c>
      <c r="E271" t="s">
        <v>1679</v>
      </c>
      <c r="F271" t="s">
        <v>1687</v>
      </c>
      <c r="G271" t="s">
        <v>1708</v>
      </c>
      <c r="H271">
        <v>3</v>
      </c>
      <c r="I271">
        <v>1435.01</v>
      </c>
      <c r="J271">
        <v>4305.03</v>
      </c>
    </row>
    <row r="272" spans="1:10">
      <c r="A272" s="25">
        <v>45176</v>
      </c>
      <c r="B272" t="s">
        <v>1686</v>
      </c>
      <c r="C272" t="s">
        <v>1137</v>
      </c>
      <c r="D272" t="s">
        <v>1696</v>
      </c>
      <c r="E272" t="s">
        <v>1674</v>
      </c>
      <c r="F272" t="s">
        <v>114</v>
      </c>
      <c r="G272" t="s">
        <v>1712</v>
      </c>
      <c r="H272">
        <v>16</v>
      </c>
      <c r="I272">
        <v>1473.98</v>
      </c>
      <c r="J272">
        <v>23583.68</v>
      </c>
    </row>
    <row r="273" spans="1:10">
      <c r="A273" s="25">
        <v>45235</v>
      </c>
      <c r="B273" t="s">
        <v>1700</v>
      </c>
      <c r="C273" t="s">
        <v>1716</v>
      </c>
      <c r="D273" t="s">
        <v>1702</v>
      </c>
      <c r="E273" t="s">
        <v>1703</v>
      </c>
      <c r="F273" t="s">
        <v>101</v>
      </c>
      <c r="G273" t="s">
        <v>1709</v>
      </c>
      <c r="H273">
        <v>6</v>
      </c>
      <c r="I273">
        <v>1822.86</v>
      </c>
      <c r="J273">
        <v>10937.16</v>
      </c>
    </row>
    <row r="274" spans="1:10">
      <c r="A274" s="25">
        <v>44963</v>
      </c>
      <c r="B274" t="s">
        <v>1700</v>
      </c>
      <c r="C274" t="s">
        <v>1684</v>
      </c>
      <c r="D274" t="s">
        <v>1678</v>
      </c>
      <c r="E274" t="s">
        <v>1679</v>
      </c>
      <c r="F274" t="s">
        <v>97</v>
      </c>
      <c r="G274" t="s">
        <v>1697</v>
      </c>
      <c r="H274">
        <v>13</v>
      </c>
      <c r="I274">
        <v>739.6</v>
      </c>
      <c r="J274">
        <v>9614.7999999999993</v>
      </c>
    </row>
    <row r="275" spans="1:10">
      <c r="A275" s="25">
        <v>44994</v>
      </c>
      <c r="B275" t="s">
        <v>1692</v>
      </c>
      <c r="C275" t="s">
        <v>1695</v>
      </c>
      <c r="D275" t="s">
        <v>1696</v>
      </c>
      <c r="E275" t="s">
        <v>1674</v>
      </c>
      <c r="F275" t="s">
        <v>1687</v>
      </c>
      <c r="G275" t="s">
        <v>1710</v>
      </c>
      <c r="H275">
        <v>11</v>
      </c>
      <c r="I275">
        <v>4209.66</v>
      </c>
      <c r="J275">
        <v>46306.26</v>
      </c>
    </row>
    <row r="276" spans="1:10">
      <c r="A276" s="25">
        <v>44986</v>
      </c>
      <c r="B276" t="s">
        <v>1676</v>
      </c>
      <c r="C276" t="s">
        <v>1707</v>
      </c>
      <c r="D276" t="s">
        <v>1683</v>
      </c>
      <c r="E276" t="s">
        <v>1679</v>
      </c>
      <c r="F276" t="s">
        <v>89</v>
      </c>
      <c r="G276" t="s">
        <v>1106</v>
      </c>
      <c r="H276">
        <v>8</v>
      </c>
      <c r="I276">
        <v>4105.17</v>
      </c>
      <c r="J276">
        <v>32841.360000000001</v>
      </c>
    </row>
    <row r="277" spans="1:10">
      <c r="A277" s="25">
        <v>45072</v>
      </c>
      <c r="B277" t="s">
        <v>1692</v>
      </c>
      <c r="C277" t="s">
        <v>1701</v>
      </c>
      <c r="D277" t="s">
        <v>1702</v>
      </c>
      <c r="E277" t="s">
        <v>1703</v>
      </c>
      <c r="F277" t="s">
        <v>101</v>
      </c>
      <c r="G277" t="s">
        <v>1675</v>
      </c>
      <c r="H277">
        <v>2</v>
      </c>
      <c r="I277">
        <v>4100.3999999999996</v>
      </c>
      <c r="J277">
        <v>8200.7999999999993</v>
      </c>
    </row>
    <row r="278" spans="1:10">
      <c r="A278" s="25">
        <v>45221</v>
      </c>
      <c r="B278" t="s">
        <v>1676</v>
      </c>
      <c r="C278" t="s">
        <v>1677</v>
      </c>
      <c r="D278" t="s">
        <v>1678</v>
      </c>
      <c r="E278" t="s">
        <v>1679</v>
      </c>
      <c r="F278" t="s">
        <v>1687</v>
      </c>
      <c r="G278" t="s">
        <v>1688</v>
      </c>
      <c r="H278">
        <v>20</v>
      </c>
      <c r="I278">
        <v>2295.08</v>
      </c>
      <c r="J278">
        <v>45901.599999999999</v>
      </c>
    </row>
    <row r="279" spans="1:10">
      <c r="A279" s="25">
        <v>45241</v>
      </c>
      <c r="B279" t="s">
        <v>1700</v>
      </c>
      <c r="C279" t="s">
        <v>1135</v>
      </c>
      <c r="D279" t="s">
        <v>1673</v>
      </c>
      <c r="E279" t="s">
        <v>1674</v>
      </c>
      <c r="F279" t="s">
        <v>1687</v>
      </c>
      <c r="G279" t="s">
        <v>1704</v>
      </c>
      <c r="H279">
        <v>20</v>
      </c>
      <c r="I279">
        <v>4970.33</v>
      </c>
      <c r="J279">
        <v>99406.6</v>
      </c>
    </row>
    <row r="280" spans="1:10">
      <c r="A280" s="25">
        <v>45272</v>
      </c>
      <c r="B280" t="s">
        <v>1692</v>
      </c>
      <c r="C280" t="s">
        <v>1717</v>
      </c>
      <c r="D280" t="s">
        <v>1696</v>
      </c>
      <c r="E280" t="s">
        <v>1674</v>
      </c>
      <c r="F280" t="s">
        <v>101</v>
      </c>
      <c r="G280" t="s">
        <v>1709</v>
      </c>
      <c r="H280">
        <v>12</v>
      </c>
      <c r="I280">
        <v>3939.5</v>
      </c>
      <c r="J280">
        <v>47274</v>
      </c>
    </row>
    <row r="281" spans="1:10">
      <c r="A281" s="25">
        <v>45224</v>
      </c>
      <c r="B281" t="s">
        <v>1694</v>
      </c>
      <c r="C281" t="s">
        <v>1693</v>
      </c>
      <c r="D281" t="s">
        <v>1683</v>
      </c>
      <c r="E281" t="s">
        <v>1679</v>
      </c>
      <c r="F281" t="s">
        <v>89</v>
      </c>
      <c r="G281" t="s">
        <v>1713</v>
      </c>
      <c r="H281">
        <v>15</v>
      </c>
      <c r="I281">
        <v>1450.75</v>
      </c>
      <c r="J281">
        <v>21761.25</v>
      </c>
    </row>
    <row r="282" spans="1:10">
      <c r="A282" s="25">
        <v>45235</v>
      </c>
      <c r="B282" t="s">
        <v>1694</v>
      </c>
      <c r="C282" t="s">
        <v>1684</v>
      </c>
      <c r="D282" t="s">
        <v>1678</v>
      </c>
      <c r="E282" t="s">
        <v>1679</v>
      </c>
      <c r="F282" t="s">
        <v>101</v>
      </c>
      <c r="G282" t="s">
        <v>1675</v>
      </c>
      <c r="H282">
        <v>8</v>
      </c>
      <c r="I282">
        <v>3279.33</v>
      </c>
      <c r="J282">
        <v>26234.639999999999</v>
      </c>
    </row>
    <row r="283" spans="1:10">
      <c r="A283" s="25">
        <v>44953</v>
      </c>
      <c r="B283" t="s">
        <v>1700</v>
      </c>
      <c r="C283" t="s">
        <v>1136</v>
      </c>
      <c r="D283" t="s">
        <v>1673</v>
      </c>
      <c r="E283" t="s">
        <v>1674</v>
      </c>
      <c r="F283" t="s">
        <v>97</v>
      </c>
      <c r="G283" t="s">
        <v>1699</v>
      </c>
      <c r="H283">
        <v>7</v>
      </c>
      <c r="I283">
        <v>579.91999999999996</v>
      </c>
      <c r="J283">
        <v>4059.44</v>
      </c>
    </row>
    <row r="284" spans="1:10">
      <c r="A284" s="25">
        <v>44962</v>
      </c>
      <c r="B284" t="s">
        <v>1694</v>
      </c>
      <c r="C284" t="s">
        <v>1684</v>
      </c>
      <c r="D284" t="s">
        <v>1678</v>
      </c>
      <c r="E284" t="s">
        <v>1679</v>
      </c>
      <c r="F284" t="s">
        <v>89</v>
      </c>
      <c r="G284" t="s">
        <v>1105</v>
      </c>
      <c r="H284">
        <v>10</v>
      </c>
      <c r="I284">
        <v>2515.54</v>
      </c>
      <c r="J284">
        <v>25155.4</v>
      </c>
    </row>
    <row r="285" spans="1:10">
      <c r="A285" s="25">
        <v>45005</v>
      </c>
      <c r="B285" t="s">
        <v>1686</v>
      </c>
      <c r="C285" t="s">
        <v>1136</v>
      </c>
      <c r="D285" t="s">
        <v>1673</v>
      </c>
      <c r="E285" t="s">
        <v>1674</v>
      </c>
      <c r="F285" t="s">
        <v>1687</v>
      </c>
      <c r="G285" t="s">
        <v>1704</v>
      </c>
      <c r="H285">
        <v>10</v>
      </c>
      <c r="I285">
        <v>2976.69</v>
      </c>
      <c r="J285">
        <v>29766.9</v>
      </c>
    </row>
    <row r="286" spans="1:10">
      <c r="A286" s="25">
        <v>45044</v>
      </c>
      <c r="B286" t="s">
        <v>1686</v>
      </c>
      <c r="C286" t="s">
        <v>1677</v>
      </c>
      <c r="D286" t="s">
        <v>1678</v>
      </c>
      <c r="E286" t="s">
        <v>1679</v>
      </c>
      <c r="F286" t="s">
        <v>1687</v>
      </c>
      <c r="G286" t="s">
        <v>1710</v>
      </c>
      <c r="H286">
        <v>16</v>
      </c>
      <c r="I286">
        <v>4047.21</v>
      </c>
      <c r="J286">
        <v>64755.360000000001</v>
      </c>
    </row>
    <row r="287" spans="1:10">
      <c r="A287" s="25">
        <v>45026</v>
      </c>
      <c r="B287" t="s">
        <v>1689</v>
      </c>
      <c r="C287" t="s">
        <v>1137</v>
      </c>
      <c r="D287" t="s">
        <v>1696</v>
      </c>
      <c r="E287" t="s">
        <v>1674</v>
      </c>
      <c r="F287" t="s">
        <v>1687</v>
      </c>
      <c r="G287" t="s">
        <v>1708</v>
      </c>
      <c r="H287">
        <v>18</v>
      </c>
      <c r="I287">
        <v>2825.07</v>
      </c>
      <c r="J287">
        <v>50851.26</v>
      </c>
    </row>
    <row r="288" spans="1:10">
      <c r="A288" s="25">
        <v>45067</v>
      </c>
      <c r="B288" t="s">
        <v>1692</v>
      </c>
      <c r="C288" t="s">
        <v>1690</v>
      </c>
      <c r="D288" t="s">
        <v>1678</v>
      </c>
      <c r="E288" t="s">
        <v>1679</v>
      </c>
      <c r="F288" t="s">
        <v>97</v>
      </c>
      <c r="G288" t="s">
        <v>1711</v>
      </c>
      <c r="H288">
        <v>13</v>
      </c>
      <c r="I288">
        <v>1406.82</v>
      </c>
      <c r="J288">
        <v>18288.66</v>
      </c>
    </row>
    <row r="289" spans="1:10">
      <c r="A289" s="25">
        <v>45038</v>
      </c>
      <c r="B289" t="s">
        <v>1705</v>
      </c>
      <c r="C289" t="s">
        <v>1672</v>
      </c>
      <c r="D289" t="s">
        <v>1673</v>
      </c>
      <c r="E289" t="s">
        <v>1674</v>
      </c>
      <c r="F289" t="s">
        <v>114</v>
      </c>
      <c r="G289" t="s">
        <v>1718</v>
      </c>
      <c r="H289">
        <v>16</v>
      </c>
      <c r="I289">
        <v>1090.18</v>
      </c>
      <c r="J289">
        <v>17442.88</v>
      </c>
    </row>
    <row r="290" spans="1:10">
      <c r="A290" s="25">
        <v>44960</v>
      </c>
      <c r="B290" t="s">
        <v>1698</v>
      </c>
      <c r="C290" t="s">
        <v>1716</v>
      </c>
      <c r="D290" t="s">
        <v>1702</v>
      </c>
      <c r="E290" t="s">
        <v>1703</v>
      </c>
      <c r="F290" t="s">
        <v>89</v>
      </c>
      <c r="G290" t="s">
        <v>1713</v>
      </c>
      <c r="H290">
        <v>12</v>
      </c>
      <c r="I290">
        <v>3696.43</v>
      </c>
      <c r="J290">
        <v>44357.16</v>
      </c>
    </row>
    <row r="291" spans="1:10">
      <c r="A291" s="25">
        <v>45239</v>
      </c>
      <c r="B291" t="s">
        <v>1686</v>
      </c>
      <c r="C291" t="s">
        <v>1707</v>
      </c>
      <c r="D291" t="s">
        <v>1683</v>
      </c>
      <c r="E291" t="s">
        <v>1679</v>
      </c>
      <c r="F291" t="s">
        <v>89</v>
      </c>
      <c r="G291" t="s">
        <v>1713</v>
      </c>
      <c r="H291">
        <v>7</v>
      </c>
      <c r="I291">
        <v>4535.1400000000003</v>
      </c>
      <c r="J291">
        <v>31745.98</v>
      </c>
    </row>
    <row r="292" spans="1:10">
      <c r="A292" s="25">
        <v>45232</v>
      </c>
      <c r="B292" t="s">
        <v>1689</v>
      </c>
      <c r="C292" t="s">
        <v>1677</v>
      </c>
      <c r="D292" t="s">
        <v>1678</v>
      </c>
      <c r="E292" t="s">
        <v>1679</v>
      </c>
      <c r="F292" t="s">
        <v>1687</v>
      </c>
      <c r="G292" t="s">
        <v>1710</v>
      </c>
      <c r="H292">
        <v>3</v>
      </c>
      <c r="I292">
        <v>4931.6899999999996</v>
      </c>
      <c r="J292">
        <v>14795.07</v>
      </c>
    </row>
    <row r="293" spans="1:10">
      <c r="A293" s="25">
        <v>45037</v>
      </c>
      <c r="B293" t="s">
        <v>1705</v>
      </c>
      <c r="C293" t="s">
        <v>1706</v>
      </c>
      <c r="D293" t="s">
        <v>1702</v>
      </c>
      <c r="E293" t="s">
        <v>1703</v>
      </c>
      <c r="F293" t="s">
        <v>1687</v>
      </c>
      <c r="G293" t="s">
        <v>1688</v>
      </c>
      <c r="H293">
        <v>16</v>
      </c>
      <c r="I293">
        <v>3263.65</v>
      </c>
      <c r="J293">
        <v>52218.400000000001</v>
      </c>
    </row>
    <row r="294" spans="1:10">
      <c r="A294" s="25">
        <v>45046</v>
      </c>
      <c r="B294" t="s">
        <v>1681</v>
      </c>
      <c r="C294" t="s">
        <v>1135</v>
      </c>
      <c r="D294" t="s">
        <v>1673</v>
      </c>
      <c r="E294" t="s">
        <v>1674</v>
      </c>
      <c r="F294" t="s">
        <v>114</v>
      </c>
      <c r="G294" t="s">
        <v>1712</v>
      </c>
      <c r="H294">
        <v>17</v>
      </c>
      <c r="I294">
        <v>4083.07</v>
      </c>
      <c r="J294">
        <v>69412.19</v>
      </c>
    </row>
    <row r="295" spans="1:10">
      <c r="A295" s="25">
        <v>44975</v>
      </c>
      <c r="B295" t="s">
        <v>1694</v>
      </c>
      <c r="C295" t="s">
        <v>1136</v>
      </c>
      <c r="D295" t="s">
        <v>1673</v>
      </c>
      <c r="E295" t="s">
        <v>1674</v>
      </c>
      <c r="F295" t="s">
        <v>114</v>
      </c>
      <c r="G295" t="s">
        <v>1680</v>
      </c>
      <c r="H295">
        <v>12</v>
      </c>
      <c r="I295">
        <v>528.69000000000005</v>
      </c>
      <c r="J295">
        <v>6344.28</v>
      </c>
    </row>
    <row r="296" spans="1:10">
      <c r="A296" s="25">
        <v>45142</v>
      </c>
      <c r="B296" t="s">
        <v>1700</v>
      </c>
      <c r="C296" t="s">
        <v>1684</v>
      </c>
      <c r="D296" t="s">
        <v>1678</v>
      </c>
      <c r="E296" t="s">
        <v>1679</v>
      </c>
      <c r="F296" t="s">
        <v>89</v>
      </c>
      <c r="G296" t="s">
        <v>1714</v>
      </c>
      <c r="H296">
        <v>8</v>
      </c>
      <c r="I296">
        <v>528.92999999999995</v>
      </c>
      <c r="J296">
        <v>4231.4399999999996</v>
      </c>
    </row>
    <row r="297" spans="1:10">
      <c r="A297" s="25">
        <v>45150</v>
      </c>
      <c r="B297" t="s">
        <v>1671</v>
      </c>
      <c r="C297" t="s">
        <v>1135</v>
      </c>
      <c r="D297" t="s">
        <v>1673</v>
      </c>
      <c r="E297" t="s">
        <v>1674</v>
      </c>
      <c r="F297" t="s">
        <v>1687</v>
      </c>
      <c r="G297" t="s">
        <v>1688</v>
      </c>
      <c r="H297">
        <v>11</v>
      </c>
      <c r="I297">
        <v>1749.31</v>
      </c>
      <c r="J297">
        <v>19242.41</v>
      </c>
    </row>
    <row r="298" spans="1:10">
      <c r="A298" s="25">
        <v>45262</v>
      </c>
      <c r="B298" t="s">
        <v>1671</v>
      </c>
      <c r="C298" t="s">
        <v>1672</v>
      </c>
      <c r="D298" t="s">
        <v>1673</v>
      </c>
      <c r="E298" t="s">
        <v>1674</v>
      </c>
      <c r="F298" t="s">
        <v>114</v>
      </c>
      <c r="G298" t="s">
        <v>1680</v>
      </c>
      <c r="H298">
        <v>11</v>
      </c>
      <c r="I298">
        <v>2635.95</v>
      </c>
      <c r="J298">
        <v>28995.45</v>
      </c>
    </row>
    <row r="299" spans="1:10">
      <c r="A299" s="25">
        <v>45275</v>
      </c>
      <c r="B299" t="s">
        <v>1692</v>
      </c>
      <c r="C299" t="s">
        <v>1672</v>
      </c>
      <c r="D299" t="s">
        <v>1673</v>
      </c>
      <c r="E299" t="s">
        <v>1674</v>
      </c>
      <c r="F299" t="s">
        <v>1687</v>
      </c>
      <c r="G299" t="s">
        <v>1688</v>
      </c>
      <c r="H299">
        <v>6</v>
      </c>
      <c r="I299">
        <v>2850.31</v>
      </c>
      <c r="J299">
        <v>17101.86</v>
      </c>
    </row>
    <row r="300" spans="1:10">
      <c r="A300" s="25">
        <v>45029</v>
      </c>
      <c r="B300" t="s">
        <v>1705</v>
      </c>
      <c r="C300" t="s">
        <v>1682</v>
      </c>
      <c r="D300" t="s">
        <v>1683</v>
      </c>
      <c r="E300" t="s">
        <v>1679</v>
      </c>
      <c r="F300" t="s">
        <v>89</v>
      </c>
      <c r="G300" t="s">
        <v>1106</v>
      </c>
      <c r="H300">
        <v>5</v>
      </c>
      <c r="I300">
        <v>1413.03</v>
      </c>
      <c r="J300">
        <v>7065.15</v>
      </c>
    </row>
    <row r="301" spans="1:10">
      <c r="A301" s="25">
        <v>45291</v>
      </c>
      <c r="B301" t="s">
        <v>1689</v>
      </c>
      <c r="C301" t="s">
        <v>1136</v>
      </c>
      <c r="D301" t="s">
        <v>1673</v>
      </c>
      <c r="E301" t="s">
        <v>1674</v>
      </c>
      <c r="F301" t="s">
        <v>89</v>
      </c>
      <c r="G301" t="s">
        <v>1713</v>
      </c>
      <c r="H301">
        <v>14</v>
      </c>
      <c r="I301">
        <v>4541.87</v>
      </c>
      <c r="J301">
        <v>63586.18</v>
      </c>
    </row>
    <row r="302" spans="1:10">
      <c r="A302" s="25">
        <v>45076</v>
      </c>
      <c r="B302" t="s">
        <v>1689</v>
      </c>
      <c r="C302" t="s">
        <v>1701</v>
      </c>
      <c r="D302" t="s">
        <v>1702</v>
      </c>
      <c r="E302" t="s">
        <v>1703</v>
      </c>
      <c r="F302" t="s">
        <v>97</v>
      </c>
      <c r="G302" t="s">
        <v>1699</v>
      </c>
      <c r="H302">
        <v>5</v>
      </c>
      <c r="I302">
        <v>3395.71</v>
      </c>
      <c r="J302">
        <v>16978.55</v>
      </c>
    </row>
    <row r="303" spans="1:10">
      <c r="A303" s="25">
        <v>45237</v>
      </c>
      <c r="B303" t="s">
        <v>1686</v>
      </c>
      <c r="C303" t="s">
        <v>1695</v>
      </c>
      <c r="D303" t="s">
        <v>1696</v>
      </c>
      <c r="E303" t="s">
        <v>1674</v>
      </c>
      <c r="F303" t="s">
        <v>114</v>
      </c>
      <c r="G303" t="s">
        <v>1712</v>
      </c>
      <c r="H303">
        <v>2</v>
      </c>
      <c r="I303">
        <v>4050.46</v>
      </c>
      <c r="J303">
        <v>8100.92</v>
      </c>
    </row>
    <row r="304" spans="1:10">
      <c r="A304" s="25">
        <v>45141</v>
      </c>
      <c r="B304" t="s">
        <v>1698</v>
      </c>
      <c r="C304" t="s">
        <v>1717</v>
      </c>
      <c r="D304" t="s">
        <v>1696</v>
      </c>
      <c r="E304" t="s">
        <v>1674</v>
      </c>
      <c r="F304" t="s">
        <v>97</v>
      </c>
      <c r="G304" t="s">
        <v>1685</v>
      </c>
      <c r="H304">
        <v>6</v>
      </c>
      <c r="I304">
        <v>3617.81</v>
      </c>
      <c r="J304">
        <v>21706.86</v>
      </c>
    </row>
    <row r="305" spans="1:10">
      <c r="A305" s="25">
        <v>45158</v>
      </c>
      <c r="B305" t="s">
        <v>1686</v>
      </c>
      <c r="C305" t="s">
        <v>1677</v>
      </c>
      <c r="D305" t="s">
        <v>1678</v>
      </c>
      <c r="E305" t="s">
        <v>1679</v>
      </c>
      <c r="F305" t="s">
        <v>1687</v>
      </c>
      <c r="G305" t="s">
        <v>1704</v>
      </c>
      <c r="H305">
        <v>11</v>
      </c>
      <c r="I305">
        <v>1527.71</v>
      </c>
      <c r="J305">
        <v>16804.810000000001</v>
      </c>
    </row>
    <row r="306" spans="1:10">
      <c r="A306" s="25">
        <v>44963</v>
      </c>
      <c r="B306" t="s">
        <v>1698</v>
      </c>
      <c r="C306" t="s">
        <v>1716</v>
      </c>
      <c r="D306" t="s">
        <v>1702</v>
      </c>
      <c r="E306" t="s">
        <v>1703</v>
      </c>
      <c r="F306" t="s">
        <v>89</v>
      </c>
      <c r="G306" t="s">
        <v>1714</v>
      </c>
      <c r="H306">
        <v>7</v>
      </c>
      <c r="I306">
        <v>1420.32</v>
      </c>
      <c r="J306">
        <v>9942.24</v>
      </c>
    </row>
    <row r="307" spans="1:10">
      <c r="A307" s="25">
        <v>44952</v>
      </c>
      <c r="B307" t="s">
        <v>1689</v>
      </c>
      <c r="C307" t="s">
        <v>1684</v>
      </c>
      <c r="D307" t="s">
        <v>1678</v>
      </c>
      <c r="E307" t="s">
        <v>1679</v>
      </c>
      <c r="F307" t="s">
        <v>89</v>
      </c>
      <c r="G307" t="s">
        <v>1105</v>
      </c>
      <c r="H307">
        <v>17</v>
      </c>
      <c r="I307">
        <v>1336.86</v>
      </c>
      <c r="J307">
        <v>22726.62</v>
      </c>
    </row>
    <row r="308" spans="1:10">
      <c r="A308" s="25">
        <v>44936</v>
      </c>
      <c r="B308" t="s">
        <v>1671</v>
      </c>
      <c r="C308" t="s">
        <v>1717</v>
      </c>
      <c r="D308" t="s">
        <v>1696</v>
      </c>
      <c r="E308" t="s">
        <v>1674</v>
      </c>
      <c r="F308" t="s">
        <v>97</v>
      </c>
      <c r="G308" t="s">
        <v>1685</v>
      </c>
      <c r="H308">
        <v>15</v>
      </c>
      <c r="I308">
        <v>359.4</v>
      </c>
      <c r="J308">
        <v>5391</v>
      </c>
    </row>
    <row r="309" spans="1:10">
      <c r="A309" s="25">
        <v>45192</v>
      </c>
      <c r="B309" t="s">
        <v>1700</v>
      </c>
      <c r="C309" t="s">
        <v>1716</v>
      </c>
      <c r="D309" t="s">
        <v>1702</v>
      </c>
      <c r="E309" t="s">
        <v>1703</v>
      </c>
      <c r="F309" t="s">
        <v>101</v>
      </c>
      <c r="G309" t="s">
        <v>1719</v>
      </c>
      <c r="H309">
        <v>6</v>
      </c>
      <c r="I309">
        <v>4109.0200000000004</v>
      </c>
      <c r="J309">
        <v>24654.12</v>
      </c>
    </row>
    <row r="310" spans="1:10">
      <c r="A310" s="25">
        <v>44965</v>
      </c>
      <c r="B310" t="s">
        <v>1681</v>
      </c>
      <c r="C310" t="s">
        <v>1682</v>
      </c>
      <c r="D310" t="s">
        <v>1683</v>
      </c>
      <c r="E310" t="s">
        <v>1679</v>
      </c>
      <c r="F310" t="s">
        <v>101</v>
      </c>
      <c r="G310" t="s">
        <v>1675</v>
      </c>
      <c r="H310">
        <v>12</v>
      </c>
      <c r="I310">
        <v>3700.23</v>
      </c>
      <c r="J310">
        <v>44402.76</v>
      </c>
    </row>
    <row r="311" spans="1:10">
      <c r="A311" s="25">
        <v>45015</v>
      </c>
      <c r="B311" t="s">
        <v>1686</v>
      </c>
      <c r="C311" t="s">
        <v>1684</v>
      </c>
      <c r="D311" t="s">
        <v>1678</v>
      </c>
      <c r="E311" t="s">
        <v>1679</v>
      </c>
      <c r="F311" t="s">
        <v>101</v>
      </c>
      <c r="G311" t="s">
        <v>1719</v>
      </c>
      <c r="H311">
        <v>5</v>
      </c>
      <c r="I311">
        <v>221.41</v>
      </c>
      <c r="J311">
        <v>1107.05</v>
      </c>
    </row>
    <row r="312" spans="1:10">
      <c r="A312" s="25">
        <v>45075</v>
      </c>
      <c r="B312" t="s">
        <v>1700</v>
      </c>
      <c r="C312" t="s">
        <v>1707</v>
      </c>
      <c r="D312" t="s">
        <v>1683</v>
      </c>
      <c r="E312" t="s">
        <v>1679</v>
      </c>
      <c r="F312" t="s">
        <v>97</v>
      </c>
      <c r="G312" t="s">
        <v>1685</v>
      </c>
      <c r="H312">
        <v>12</v>
      </c>
      <c r="I312">
        <v>4446.1499999999996</v>
      </c>
      <c r="J312">
        <v>53353.8</v>
      </c>
    </row>
    <row r="313" spans="1:10">
      <c r="A313" s="25">
        <v>45115</v>
      </c>
      <c r="B313" t="s">
        <v>1689</v>
      </c>
      <c r="C313" t="s">
        <v>1707</v>
      </c>
      <c r="D313" t="s">
        <v>1683</v>
      </c>
      <c r="E313" t="s">
        <v>1679</v>
      </c>
      <c r="F313" t="s">
        <v>1687</v>
      </c>
      <c r="G313" t="s">
        <v>1688</v>
      </c>
      <c r="H313">
        <v>12</v>
      </c>
      <c r="I313">
        <v>2393.9699999999998</v>
      </c>
      <c r="J313">
        <v>28727.64</v>
      </c>
    </row>
    <row r="314" spans="1:10">
      <c r="A314" s="25">
        <v>45089</v>
      </c>
      <c r="B314" t="s">
        <v>1692</v>
      </c>
      <c r="C314" t="s">
        <v>1701</v>
      </c>
      <c r="D314" t="s">
        <v>1702</v>
      </c>
      <c r="E314" t="s">
        <v>1703</v>
      </c>
      <c r="F314" t="s">
        <v>1687</v>
      </c>
      <c r="G314" t="s">
        <v>1708</v>
      </c>
      <c r="H314">
        <v>7</v>
      </c>
      <c r="I314">
        <v>256.57</v>
      </c>
      <c r="J314">
        <v>1795.99</v>
      </c>
    </row>
    <row r="315" spans="1:10">
      <c r="A315" s="25">
        <v>45071</v>
      </c>
      <c r="B315" t="s">
        <v>1700</v>
      </c>
      <c r="C315" t="s">
        <v>1690</v>
      </c>
      <c r="D315" t="s">
        <v>1678</v>
      </c>
      <c r="E315" t="s">
        <v>1679</v>
      </c>
      <c r="F315" t="s">
        <v>97</v>
      </c>
      <c r="G315" t="s">
        <v>1711</v>
      </c>
      <c r="H315">
        <v>9</v>
      </c>
      <c r="I315">
        <v>4218.3599999999997</v>
      </c>
      <c r="J315">
        <v>37965.24</v>
      </c>
    </row>
    <row r="316" spans="1:10">
      <c r="A316" s="25">
        <v>45121</v>
      </c>
      <c r="B316" t="s">
        <v>1689</v>
      </c>
      <c r="C316" t="s">
        <v>1701</v>
      </c>
      <c r="D316" t="s">
        <v>1702</v>
      </c>
      <c r="E316" t="s">
        <v>1703</v>
      </c>
      <c r="F316" t="s">
        <v>97</v>
      </c>
      <c r="G316" t="s">
        <v>1697</v>
      </c>
      <c r="H316">
        <v>8</v>
      </c>
      <c r="I316">
        <v>4930.67</v>
      </c>
      <c r="J316">
        <v>39445.360000000001</v>
      </c>
    </row>
    <row r="317" spans="1:10">
      <c r="A317" s="25">
        <v>45186</v>
      </c>
      <c r="B317" t="s">
        <v>1676</v>
      </c>
      <c r="C317" t="s">
        <v>1684</v>
      </c>
      <c r="D317" t="s">
        <v>1678</v>
      </c>
      <c r="E317" t="s">
        <v>1679</v>
      </c>
      <c r="F317" t="s">
        <v>97</v>
      </c>
      <c r="G317" t="s">
        <v>1697</v>
      </c>
      <c r="H317">
        <v>2</v>
      </c>
      <c r="I317">
        <v>1264.68</v>
      </c>
      <c r="J317">
        <v>2529.36</v>
      </c>
    </row>
    <row r="318" spans="1:10">
      <c r="A318" s="25">
        <v>45084</v>
      </c>
      <c r="B318" t="s">
        <v>1671</v>
      </c>
      <c r="C318" t="s">
        <v>1136</v>
      </c>
      <c r="D318" t="s">
        <v>1673</v>
      </c>
      <c r="E318" t="s">
        <v>1674</v>
      </c>
      <c r="F318" t="s">
        <v>114</v>
      </c>
      <c r="G318" t="s">
        <v>1691</v>
      </c>
      <c r="H318">
        <v>16</v>
      </c>
      <c r="I318">
        <v>2192.7399999999998</v>
      </c>
      <c r="J318">
        <v>35083.839999999997</v>
      </c>
    </row>
    <row r="319" spans="1:10">
      <c r="A319" s="25">
        <v>45258</v>
      </c>
      <c r="B319" t="s">
        <v>1676</v>
      </c>
      <c r="C319" t="s">
        <v>1136</v>
      </c>
      <c r="D319" t="s">
        <v>1673</v>
      </c>
      <c r="E319" t="s">
        <v>1674</v>
      </c>
      <c r="F319" t="s">
        <v>1687</v>
      </c>
      <c r="G319" t="s">
        <v>1704</v>
      </c>
      <c r="H319">
        <v>14</v>
      </c>
      <c r="I319">
        <v>3943.42</v>
      </c>
      <c r="J319">
        <v>55207.88</v>
      </c>
    </row>
    <row r="320" spans="1:10">
      <c r="A320" s="25">
        <v>45172</v>
      </c>
      <c r="B320" t="s">
        <v>1698</v>
      </c>
      <c r="C320" t="s">
        <v>1137</v>
      </c>
      <c r="D320" t="s">
        <v>1696</v>
      </c>
      <c r="E320" t="s">
        <v>1674</v>
      </c>
      <c r="F320" t="s">
        <v>1687</v>
      </c>
      <c r="G320" t="s">
        <v>1710</v>
      </c>
      <c r="H320">
        <v>11</v>
      </c>
      <c r="I320">
        <v>2951.18</v>
      </c>
      <c r="J320">
        <v>32462.98</v>
      </c>
    </row>
    <row r="321" spans="1:10">
      <c r="A321" s="25">
        <v>45216</v>
      </c>
      <c r="B321" t="s">
        <v>1694</v>
      </c>
      <c r="C321" t="s">
        <v>1684</v>
      </c>
      <c r="D321" t="s">
        <v>1678</v>
      </c>
      <c r="E321" t="s">
        <v>1679</v>
      </c>
      <c r="F321" t="s">
        <v>1687</v>
      </c>
      <c r="G321" t="s">
        <v>1708</v>
      </c>
      <c r="H321">
        <v>11</v>
      </c>
      <c r="I321">
        <v>4325.83</v>
      </c>
      <c r="J321">
        <v>47584.13</v>
      </c>
    </row>
    <row r="322" spans="1:10">
      <c r="A322" s="25">
        <v>45033</v>
      </c>
      <c r="B322" t="s">
        <v>1694</v>
      </c>
      <c r="C322" t="s">
        <v>1137</v>
      </c>
      <c r="D322" t="s">
        <v>1696</v>
      </c>
      <c r="E322" t="s">
        <v>1674</v>
      </c>
      <c r="F322" t="s">
        <v>89</v>
      </c>
      <c r="G322" t="s">
        <v>1714</v>
      </c>
      <c r="H322">
        <v>2</v>
      </c>
      <c r="I322">
        <v>1417.87</v>
      </c>
      <c r="J322">
        <v>2835.74</v>
      </c>
    </row>
    <row r="323" spans="1:10">
      <c r="A323" s="25">
        <v>45219</v>
      </c>
      <c r="B323" t="s">
        <v>1694</v>
      </c>
      <c r="C323" t="s">
        <v>1135</v>
      </c>
      <c r="D323" t="s">
        <v>1673</v>
      </c>
      <c r="E323" t="s">
        <v>1674</v>
      </c>
      <c r="F323" t="s">
        <v>114</v>
      </c>
      <c r="G323" t="s">
        <v>1680</v>
      </c>
      <c r="H323">
        <v>13</v>
      </c>
      <c r="I323">
        <v>2511.64</v>
      </c>
      <c r="J323">
        <v>32651.32</v>
      </c>
    </row>
    <row r="324" spans="1:10">
      <c r="A324" s="25">
        <v>45047</v>
      </c>
      <c r="B324" t="s">
        <v>1698</v>
      </c>
      <c r="C324" t="s">
        <v>1135</v>
      </c>
      <c r="D324" t="s">
        <v>1673</v>
      </c>
      <c r="E324" t="s">
        <v>1674</v>
      </c>
      <c r="F324" t="s">
        <v>101</v>
      </c>
      <c r="G324" t="s">
        <v>1675</v>
      </c>
      <c r="H324">
        <v>7</v>
      </c>
      <c r="I324">
        <v>862.76</v>
      </c>
      <c r="J324">
        <v>6039.32</v>
      </c>
    </row>
    <row r="325" spans="1:10">
      <c r="A325" s="25">
        <v>45200</v>
      </c>
      <c r="B325" t="s">
        <v>1676</v>
      </c>
      <c r="C325" t="s">
        <v>1693</v>
      </c>
      <c r="D325" t="s">
        <v>1683</v>
      </c>
      <c r="E325" t="s">
        <v>1679</v>
      </c>
      <c r="F325" t="s">
        <v>97</v>
      </c>
      <c r="G325" t="s">
        <v>1711</v>
      </c>
      <c r="H325">
        <v>18</v>
      </c>
      <c r="I325">
        <v>1412.15</v>
      </c>
      <c r="J325">
        <v>25418.7</v>
      </c>
    </row>
    <row r="326" spans="1:10">
      <c r="A326" s="25">
        <v>44938</v>
      </c>
      <c r="B326" t="s">
        <v>1698</v>
      </c>
      <c r="C326" t="s">
        <v>1717</v>
      </c>
      <c r="D326" t="s">
        <v>1696</v>
      </c>
      <c r="E326" t="s">
        <v>1674</v>
      </c>
      <c r="F326" t="s">
        <v>114</v>
      </c>
      <c r="G326" t="s">
        <v>1680</v>
      </c>
      <c r="H326">
        <v>6</v>
      </c>
      <c r="I326">
        <v>3295.29</v>
      </c>
      <c r="J326">
        <v>19771.740000000002</v>
      </c>
    </row>
    <row r="327" spans="1:10">
      <c r="A327" s="25">
        <v>45120</v>
      </c>
      <c r="B327" t="s">
        <v>1705</v>
      </c>
      <c r="C327" t="s">
        <v>1677</v>
      </c>
      <c r="D327" t="s">
        <v>1678</v>
      </c>
      <c r="E327" t="s">
        <v>1679</v>
      </c>
      <c r="F327" t="s">
        <v>114</v>
      </c>
      <c r="G327" t="s">
        <v>1712</v>
      </c>
      <c r="H327">
        <v>18</v>
      </c>
      <c r="I327">
        <v>4132.6899999999996</v>
      </c>
      <c r="J327">
        <v>74388.42</v>
      </c>
    </row>
    <row r="328" spans="1:10">
      <c r="A328" s="25">
        <v>45208</v>
      </c>
      <c r="B328" t="s">
        <v>1681</v>
      </c>
      <c r="C328" t="s">
        <v>1684</v>
      </c>
      <c r="D328" t="s">
        <v>1678</v>
      </c>
      <c r="E328" t="s">
        <v>1679</v>
      </c>
      <c r="F328" t="s">
        <v>89</v>
      </c>
      <c r="G328" t="s">
        <v>1713</v>
      </c>
      <c r="H328">
        <v>7</v>
      </c>
      <c r="I328">
        <v>1557.83</v>
      </c>
      <c r="J328">
        <v>10904.81</v>
      </c>
    </row>
    <row r="329" spans="1:10">
      <c r="A329" s="25">
        <v>45280</v>
      </c>
      <c r="B329" t="s">
        <v>1700</v>
      </c>
      <c r="C329" t="s">
        <v>1701</v>
      </c>
      <c r="D329" t="s">
        <v>1702</v>
      </c>
      <c r="E329" t="s">
        <v>1703</v>
      </c>
      <c r="F329" t="s">
        <v>114</v>
      </c>
      <c r="G329" t="s">
        <v>1691</v>
      </c>
      <c r="H329">
        <v>7</v>
      </c>
      <c r="I329">
        <v>4673.3100000000004</v>
      </c>
      <c r="J329">
        <v>32713.17</v>
      </c>
    </row>
    <row r="330" spans="1:10">
      <c r="A330" s="25">
        <v>45002</v>
      </c>
      <c r="B330" t="s">
        <v>1681</v>
      </c>
      <c r="C330" t="s">
        <v>1135</v>
      </c>
      <c r="D330" t="s">
        <v>1673</v>
      </c>
      <c r="E330" t="s">
        <v>1674</v>
      </c>
      <c r="F330" t="s">
        <v>1687</v>
      </c>
      <c r="G330" t="s">
        <v>1710</v>
      </c>
      <c r="H330">
        <v>5</v>
      </c>
      <c r="I330">
        <v>3775.72</v>
      </c>
      <c r="J330">
        <v>18878.599999999999</v>
      </c>
    </row>
    <row r="331" spans="1:10">
      <c r="A331" s="25">
        <v>45228</v>
      </c>
      <c r="B331" t="s">
        <v>1698</v>
      </c>
      <c r="C331" t="s">
        <v>1135</v>
      </c>
      <c r="D331" t="s">
        <v>1673</v>
      </c>
      <c r="E331" t="s">
        <v>1674</v>
      </c>
      <c r="F331" t="s">
        <v>101</v>
      </c>
      <c r="G331" t="s">
        <v>1709</v>
      </c>
      <c r="H331">
        <v>6</v>
      </c>
      <c r="I331">
        <v>3524.48</v>
      </c>
      <c r="J331">
        <v>21146.880000000001</v>
      </c>
    </row>
    <row r="332" spans="1:10">
      <c r="A332" s="25">
        <v>45243</v>
      </c>
      <c r="B332" t="s">
        <v>1686</v>
      </c>
      <c r="C332" t="s">
        <v>1137</v>
      </c>
      <c r="D332" t="s">
        <v>1696</v>
      </c>
      <c r="E332" t="s">
        <v>1674</v>
      </c>
      <c r="F332" t="s">
        <v>89</v>
      </c>
      <c r="G332" t="s">
        <v>1106</v>
      </c>
      <c r="H332">
        <v>1</v>
      </c>
      <c r="I332">
        <v>2961.1</v>
      </c>
      <c r="J332">
        <v>2961.1</v>
      </c>
    </row>
    <row r="333" spans="1:10">
      <c r="A333" s="25">
        <v>45017</v>
      </c>
      <c r="B333" t="s">
        <v>1681</v>
      </c>
      <c r="C333" t="s">
        <v>1682</v>
      </c>
      <c r="D333" t="s">
        <v>1683</v>
      </c>
      <c r="E333" t="s">
        <v>1679</v>
      </c>
      <c r="F333" t="s">
        <v>114</v>
      </c>
      <c r="G333" t="s">
        <v>1718</v>
      </c>
      <c r="H333">
        <v>13</v>
      </c>
      <c r="I333">
        <v>513.05999999999995</v>
      </c>
      <c r="J333">
        <v>6669.78</v>
      </c>
    </row>
    <row r="334" spans="1:10">
      <c r="A334" s="25">
        <v>45064</v>
      </c>
      <c r="B334" t="s">
        <v>1681</v>
      </c>
      <c r="C334" t="s">
        <v>1682</v>
      </c>
      <c r="D334" t="s">
        <v>1683</v>
      </c>
      <c r="E334" t="s">
        <v>1679</v>
      </c>
      <c r="F334" t="s">
        <v>101</v>
      </c>
      <c r="G334" t="s">
        <v>1715</v>
      </c>
      <c r="H334">
        <v>3</v>
      </c>
      <c r="I334">
        <v>953.26</v>
      </c>
      <c r="J334">
        <v>2859.78</v>
      </c>
    </row>
    <row r="335" spans="1:10">
      <c r="A335" s="25">
        <v>44971</v>
      </c>
      <c r="B335" t="s">
        <v>1671</v>
      </c>
      <c r="C335" t="s">
        <v>1706</v>
      </c>
      <c r="D335" t="s">
        <v>1702</v>
      </c>
      <c r="E335" t="s">
        <v>1703</v>
      </c>
      <c r="F335" t="s">
        <v>114</v>
      </c>
      <c r="G335" t="s">
        <v>1691</v>
      </c>
      <c r="H335">
        <v>2</v>
      </c>
      <c r="I335">
        <v>1189.6500000000001</v>
      </c>
      <c r="J335">
        <v>2379.3000000000002</v>
      </c>
    </row>
    <row r="336" spans="1:10">
      <c r="A336" s="25">
        <v>45108</v>
      </c>
      <c r="B336" t="s">
        <v>1700</v>
      </c>
      <c r="C336" t="s">
        <v>1682</v>
      </c>
      <c r="D336" t="s">
        <v>1683</v>
      </c>
      <c r="E336" t="s">
        <v>1679</v>
      </c>
      <c r="F336" t="s">
        <v>114</v>
      </c>
      <c r="G336" t="s">
        <v>1691</v>
      </c>
      <c r="H336">
        <v>1</v>
      </c>
      <c r="I336">
        <v>1915.3</v>
      </c>
      <c r="J336">
        <v>1915.3</v>
      </c>
    </row>
    <row r="337" spans="1:10">
      <c r="A337" s="25">
        <v>45178</v>
      </c>
      <c r="B337" t="s">
        <v>1698</v>
      </c>
      <c r="C337" t="s">
        <v>1690</v>
      </c>
      <c r="D337" t="s">
        <v>1678</v>
      </c>
      <c r="E337" t="s">
        <v>1679</v>
      </c>
      <c r="F337" t="s">
        <v>114</v>
      </c>
      <c r="G337" t="s">
        <v>1712</v>
      </c>
      <c r="H337">
        <v>8</v>
      </c>
      <c r="I337">
        <v>3927.74</v>
      </c>
      <c r="J337">
        <v>31421.919999999998</v>
      </c>
    </row>
    <row r="338" spans="1:10">
      <c r="A338" s="25">
        <v>45046</v>
      </c>
      <c r="B338" t="s">
        <v>1705</v>
      </c>
      <c r="C338" t="s">
        <v>1716</v>
      </c>
      <c r="D338" t="s">
        <v>1702</v>
      </c>
      <c r="E338" t="s">
        <v>1703</v>
      </c>
      <c r="F338" t="s">
        <v>97</v>
      </c>
      <c r="G338" t="s">
        <v>1711</v>
      </c>
      <c r="H338">
        <v>10</v>
      </c>
      <c r="I338">
        <v>2682.33</v>
      </c>
      <c r="J338">
        <v>26823.3</v>
      </c>
    </row>
    <row r="339" spans="1:10">
      <c r="A339" s="25">
        <v>45202</v>
      </c>
      <c r="B339" t="s">
        <v>1700</v>
      </c>
      <c r="C339" t="s">
        <v>1684</v>
      </c>
      <c r="D339" t="s">
        <v>1678</v>
      </c>
      <c r="E339" t="s">
        <v>1679</v>
      </c>
      <c r="F339" t="s">
        <v>89</v>
      </c>
      <c r="G339" t="s">
        <v>1713</v>
      </c>
      <c r="H339">
        <v>6</v>
      </c>
      <c r="I339">
        <v>4086.27</v>
      </c>
      <c r="J339">
        <v>24517.62</v>
      </c>
    </row>
    <row r="340" spans="1:10">
      <c r="A340" s="25">
        <v>45003</v>
      </c>
      <c r="B340" t="s">
        <v>1700</v>
      </c>
      <c r="C340" t="s">
        <v>1684</v>
      </c>
      <c r="D340" t="s">
        <v>1678</v>
      </c>
      <c r="E340" t="s">
        <v>1679</v>
      </c>
      <c r="F340" t="s">
        <v>89</v>
      </c>
      <c r="G340" t="s">
        <v>1105</v>
      </c>
      <c r="H340">
        <v>8</v>
      </c>
      <c r="I340">
        <v>827.02</v>
      </c>
      <c r="J340">
        <v>6616.16</v>
      </c>
    </row>
    <row r="341" spans="1:10">
      <c r="A341" s="25">
        <v>45051</v>
      </c>
      <c r="B341" t="s">
        <v>1705</v>
      </c>
      <c r="C341" t="s">
        <v>1706</v>
      </c>
      <c r="D341" t="s">
        <v>1702</v>
      </c>
      <c r="E341" t="s">
        <v>1703</v>
      </c>
      <c r="F341" t="s">
        <v>1687</v>
      </c>
      <c r="G341" t="s">
        <v>1704</v>
      </c>
      <c r="H341">
        <v>14</v>
      </c>
      <c r="I341">
        <v>4728.4399999999996</v>
      </c>
      <c r="J341">
        <v>66198.16</v>
      </c>
    </row>
    <row r="342" spans="1:10">
      <c r="A342" s="25">
        <v>44979</v>
      </c>
      <c r="B342" t="s">
        <v>1686</v>
      </c>
      <c r="C342" t="s">
        <v>1695</v>
      </c>
      <c r="D342" t="s">
        <v>1696</v>
      </c>
      <c r="E342" t="s">
        <v>1674</v>
      </c>
      <c r="F342" t="s">
        <v>101</v>
      </c>
      <c r="G342" t="s">
        <v>1709</v>
      </c>
      <c r="H342">
        <v>11</v>
      </c>
      <c r="I342">
        <v>575.73</v>
      </c>
      <c r="J342">
        <v>6333.03</v>
      </c>
    </row>
    <row r="343" spans="1:10">
      <c r="A343" s="25">
        <v>45093</v>
      </c>
      <c r="B343" t="s">
        <v>1681</v>
      </c>
      <c r="C343" t="s">
        <v>1136</v>
      </c>
      <c r="D343" t="s">
        <v>1673</v>
      </c>
      <c r="E343" t="s">
        <v>1674</v>
      </c>
      <c r="F343" t="s">
        <v>101</v>
      </c>
      <c r="G343" t="s">
        <v>1709</v>
      </c>
      <c r="H343">
        <v>4</v>
      </c>
      <c r="I343">
        <v>578.35</v>
      </c>
      <c r="J343">
        <v>2313.4</v>
      </c>
    </row>
    <row r="344" spans="1:10">
      <c r="A344" s="25">
        <v>45160</v>
      </c>
      <c r="B344" t="s">
        <v>1698</v>
      </c>
      <c r="C344" t="s">
        <v>1684</v>
      </c>
      <c r="D344" t="s">
        <v>1678</v>
      </c>
      <c r="E344" t="s">
        <v>1679</v>
      </c>
      <c r="F344" t="s">
        <v>114</v>
      </c>
      <c r="G344" t="s">
        <v>1680</v>
      </c>
      <c r="H344">
        <v>8</v>
      </c>
      <c r="I344">
        <v>3043.72</v>
      </c>
      <c r="J344">
        <v>24349.759999999998</v>
      </c>
    </row>
    <row r="345" spans="1:10">
      <c r="A345" s="25">
        <v>45071</v>
      </c>
      <c r="B345" t="s">
        <v>1689</v>
      </c>
      <c r="C345" t="s">
        <v>1693</v>
      </c>
      <c r="D345" t="s">
        <v>1683</v>
      </c>
      <c r="E345" t="s">
        <v>1679</v>
      </c>
      <c r="F345" t="s">
        <v>101</v>
      </c>
      <c r="G345" t="s">
        <v>1675</v>
      </c>
      <c r="H345">
        <v>10</v>
      </c>
      <c r="I345">
        <v>3339.72</v>
      </c>
      <c r="J345">
        <v>33397.199999999997</v>
      </c>
    </row>
    <row r="346" spans="1:10">
      <c r="A346" s="25">
        <v>45181</v>
      </c>
      <c r="B346" t="s">
        <v>1671</v>
      </c>
      <c r="C346" t="s">
        <v>1706</v>
      </c>
      <c r="D346" t="s">
        <v>1702</v>
      </c>
      <c r="E346" t="s">
        <v>1703</v>
      </c>
      <c r="F346" t="s">
        <v>101</v>
      </c>
      <c r="G346" t="s">
        <v>1675</v>
      </c>
      <c r="H346">
        <v>7</v>
      </c>
      <c r="I346">
        <v>2286.4</v>
      </c>
      <c r="J346">
        <v>16004.8</v>
      </c>
    </row>
    <row r="347" spans="1:10">
      <c r="A347" s="25">
        <v>44942</v>
      </c>
      <c r="B347" t="s">
        <v>1700</v>
      </c>
      <c r="C347" t="s">
        <v>1690</v>
      </c>
      <c r="D347" t="s">
        <v>1678</v>
      </c>
      <c r="E347" t="s">
        <v>1679</v>
      </c>
      <c r="F347" t="s">
        <v>114</v>
      </c>
      <c r="G347" t="s">
        <v>1712</v>
      </c>
      <c r="H347">
        <v>6</v>
      </c>
      <c r="I347">
        <v>4862.26</v>
      </c>
      <c r="J347">
        <v>29173.56</v>
      </c>
    </row>
    <row r="348" spans="1:10">
      <c r="A348" s="25">
        <v>45257</v>
      </c>
      <c r="B348" t="s">
        <v>1694</v>
      </c>
      <c r="C348" t="s">
        <v>1707</v>
      </c>
      <c r="D348" t="s">
        <v>1683</v>
      </c>
      <c r="E348" t="s">
        <v>1679</v>
      </c>
      <c r="F348" t="s">
        <v>89</v>
      </c>
      <c r="G348" t="s">
        <v>1106</v>
      </c>
      <c r="H348">
        <v>6</v>
      </c>
      <c r="I348">
        <v>3470.44</v>
      </c>
      <c r="J348">
        <v>20822.64</v>
      </c>
    </row>
    <row r="349" spans="1:10">
      <c r="A349" s="25">
        <v>45106</v>
      </c>
      <c r="B349" t="s">
        <v>1692</v>
      </c>
      <c r="C349" t="s">
        <v>1672</v>
      </c>
      <c r="D349" t="s">
        <v>1673</v>
      </c>
      <c r="E349" t="s">
        <v>1674</v>
      </c>
      <c r="F349" t="s">
        <v>97</v>
      </c>
      <c r="G349" t="s">
        <v>1697</v>
      </c>
      <c r="H349">
        <v>5</v>
      </c>
      <c r="I349">
        <v>4175.13</v>
      </c>
      <c r="J349">
        <v>20875.650000000001</v>
      </c>
    </row>
    <row r="350" spans="1:10">
      <c r="A350" s="25">
        <v>45204</v>
      </c>
      <c r="B350" t="s">
        <v>1698</v>
      </c>
      <c r="C350" t="s">
        <v>1682</v>
      </c>
      <c r="D350" t="s">
        <v>1683</v>
      </c>
      <c r="E350" t="s">
        <v>1679</v>
      </c>
      <c r="F350" t="s">
        <v>1687</v>
      </c>
      <c r="G350" t="s">
        <v>1704</v>
      </c>
      <c r="H350">
        <v>16</v>
      </c>
      <c r="I350">
        <v>1880.67</v>
      </c>
      <c r="J350">
        <v>30090.720000000001</v>
      </c>
    </row>
    <row r="351" spans="1:10">
      <c r="A351" s="25">
        <v>45149</v>
      </c>
      <c r="B351" t="s">
        <v>1694</v>
      </c>
      <c r="C351" t="s">
        <v>1716</v>
      </c>
      <c r="D351" t="s">
        <v>1702</v>
      </c>
      <c r="E351" t="s">
        <v>1703</v>
      </c>
      <c r="F351" t="s">
        <v>89</v>
      </c>
      <c r="G351" t="s">
        <v>1713</v>
      </c>
      <c r="H351">
        <v>7</v>
      </c>
      <c r="I351">
        <v>2187.71</v>
      </c>
      <c r="J351">
        <v>15313.97</v>
      </c>
    </row>
    <row r="352" spans="1:10">
      <c r="A352" s="25">
        <v>45190</v>
      </c>
      <c r="B352" t="s">
        <v>1681</v>
      </c>
      <c r="C352" t="s">
        <v>1707</v>
      </c>
      <c r="D352" t="s">
        <v>1683</v>
      </c>
      <c r="E352" t="s">
        <v>1679</v>
      </c>
      <c r="F352" t="s">
        <v>97</v>
      </c>
      <c r="G352" t="s">
        <v>1699</v>
      </c>
      <c r="H352">
        <v>14</v>
      </c>
      <c r="I352">
        <v>1024.22</v>
      </c>
      <c r="J352">
        <v>14339.08</v>
      </c>
    </row>
    <row r="353" spans="1:10">
      <c r="A353" s="25">
        <v>45260</v>
      </c>
      <c r="B353" t="s">
        <v>1700</v>
      </c>
      <c r="C353" t="s">
        <v>1684</v>
      </c>
      <c r="D353" t="s">
        <v>1678</v>
      </c>
      <c r="E353" t="s">
        <v>1679</v>
      </c>
      <c r="F353" t="s">
        <v>97</v>
      </c>
      <c r="G353" t="s">
        <v>1697</v>
      </c>
      <c r="H353">
        <v>17</v>
      </c>
      <c r="I353">
        <v>544.41999999999996</v>
      </c>
      <c r="J353">
        <v>9255.14</v>
      </c>
    </row>
    <row r="354" spans="1:10">
      <c r="A354" s="25">
        <v>45014</v>
      </c>
      <c r="B354" t="s">
        <v>1689</v>
      </c>
      <c r="C354" t="s">
        <v>1135</v>
      </c>
      <c r="D354" t="s">
        <v>1673</v>
      </c>
      <c r="E354" t="s">
        <v>1674</v>
      </c>
      <c r="F354" t="s">
        <v>114</v>
      </c>
      <c r="G354" t="s">
        <v>1712</v>
      </c>
      <c r="H354">
        <v>4</v>
      </c>
      <c r="I354">
        <v>942.96</v>
      </c>
      <c r="J354">
        <v>3771.84</v>
      </c>
    </row>
    <row r="355" spans="1:10">
      <c r="A355" s="25">
        <v>45270</v>
      </c>
      <c r="B355" t="s">
        <v>1700</v>
      </c>
      <c r="C355" t="s">
        <v>1690</v>
      </c>
      <c r="D355" t="s">
        <v>1678</v>
      </c>
      <c r="E355" t="s">
        <v>1679</v>
      </c>
      <c r="F355" t="s">
        <v>101</v>
      </c>
      <c r="G355" t="s">
        <v>1719</v>
      </c>
      <c r="H355">
        <v>12</v>
      </c>
      <c r="I355">
        <v>1799.38</v>
      </c>
      <c r="J355">
        <v>21592.560000000001</v>
      </c>
    </row>
    <row r="356" spans="1:10">
      <c r="A356" s="25">
        <v>44972</v>
      </c>
      <c r="B356" t="s">
        <v>1686</v>
      </c>
      <c r="C356" t="s">
        <v>1690</v>
      </c>
      <c r="D356" t="s">
        <v>1678</v>
      </c>
      <c r="E356" t="s">
        <v>1679</v>
      </c>
      <c r="F356" t="s">
        <v>97</v>
      </c>
      <c r="G356" t="s">
        <v>1699</v>
      </c>
      <c r="H356">
        <v>11</v>
      </c>
      <c r="I356">
        <v>1634.39</v>
      </c>
      <c r="J356">
        <v>17978.29</v>
      </c>
    </row>
    <row r="357" spans="1:10">
      <c r="A357" s="25">
        <v>45207</v>
      </c>
      <c r="B357" t="s">
        <v>1705</v>
      </c>
      <c r="C357" t="s">
        <v>1135</v>
      </c>
      <c r="D357" t="s">
        <v>1673</v>
      </c>
      <c r="E357" t="s">
        <v>1674</v>
      </c>
      <c r="F357" t="s">
        <v>101</v>
      </c>
      <c r="G357" t="s">
        <v>1715</v>
      </c>
      <c r="H357">
        <v>3</v>
      </c>
      <c r="I357">
        <v>2950.28</v>
      </c>
      <c r="J357">
        <v>8850.84</v>
      </c>
    </row>
    <row r="358" spans="1:10">
      <c r="A358" s="25">
        <v>45196</v>
      </c>
      <c r="B358" t="s">
        <v>1686</v>
      </c>
      <c r="C358" t="s">
        <v>1136</v>
      </c>
      <c r="D358" t="s">
        <v>1673</v>
      </c>
      <c r="E358" t="s">
        <v>1674</v>
      </c>
      <c r="F358" t="s">
        <v>1687</v>
      </c>
      <c r="G358" t="s">
        <v>1710</v>
      </c>
      <c r="H358">
        <v>10</v>
      </c>
      <c r="I358">
        <v>4788</v>
      </c>
      <c r="J358">
        <v>47880</v>
      </c>
    </row>
    <row r="359" spans="1:10">
      <c r="A359" s="25">
        <v>45014</v>
      </c>
      <c r="B359" t="s">
        <v>1676</v>
      </c>
      <c r="C359" t="s">
        <v>1677</v>
      </c>
      <c r="D359" t="s">
        <v>1678</v>
      </c>
      <c r="E359" t="s">
        <v>1679</v>
      </c>
      <c r="F359" t="s">
        <v>101</v>
      </c>
      <c r="G359" t="s">
        <v>1709</v>
      </c>
      <c r="H359">
        <v>8</v>
      </c>
      <c r="I359">
        <v>1807.67</v>
      </c>
      <c r="J359">
        <v>14461.36</v>
      </c>
    </row>
    <row r="360" spans="1:10">
      <c r="A360" s="25">
        <v>45201</v>
      </c>
      <c r="B360" t="s">
        <v>1692</v>
      </c>
      <c r="C360" t="s">
        <v>1682</v>
      </c>
      <c r="D360" t="s">
        <v>1683</v>
      </c>
      <c r="E360" t="s">
        <v>1679</v>
      </c>
      <c r="F360" t="s">
        <v>1687</v>
      </c>
      <c r="G360" t="s">
        <v>1710</v>
      </c>
      <c r="H360">
        <v>19</v>
      </c>
      <c r="I360">
        <v>797.02</v>
      </c>
      <c r="J360">
        <v>15143.38</v>
      </c>
    </row>
    <row r="361" spans="1:10">
      <c r="A361" s="25">
        <v>45255</v>
      </c>
      <c r="B361" t="s">
        <v>1676</v>
      </c>
      <c r="C361" t="s">
        <v>1677</v>
      </c>
      <c r="D361" t="s">
        <v>1678</v>
      </c>
      <c r="E361" t="s">
        <v>1679</v>
      </c>
      <c r="F361" t="s">
        <v>89</v>
      </c>
      <c r="G361" t="s">
        <v>1713</v>
      </c>
      <c r="H361">
        <v>2</v>
      </c>
      <c r="I361">
        <v>1195.99</v>
      </c>
      <c r="J361">
        <v>2391.98</v>
      </c>
    </row>
    <row r="362" spans="1:10">
      <c r="A362" s="25">
        <v>45052</v>
      </c>
      <c r="B362" t="s">
        <v>1698</v>
      </c>
      <c r="C362" t="s">
        <v>1137</v>
      </c>
      <c r="D362" t="s">
        <v>1696</v>
      </c>
      <c r="E362" t="s">
        <v>1674</v>
      </c>
      <c r="F362" t="s">
        <v>97</v>
      </c>
      <c r="G362" t="s">
        <v>1711</v>
      </c>
      <c r="H362">
        <v>20</v>
      </c>
      <c r="I362">
        <v>2056.65</v>
      </c>
      <c r="J362">
        <v>41133</v>
      </c>
    </row>
    <row r="363" spans="1:10">
      <c r="A363" s="25">
        <v>44989</v>
      </c>
      <c r="B363" t="s">
        <v>1698</v>
      </c>
      <c r="C363" t="s">
        <v>1690</v>
      </c>
      <c r="D363" t="s">
        <v>1678</v>
      </c>
      <c r="E363" t="s">
        <v>1679</v>
      </c>
      <c r="F363" t="s">
        <v>101</v>
      </c>
      <c r="G363" t="s">
        <v>1719</v>
      </c>
      <c r="H363">
        <v>16</v>
      </c>
      <c r="I363">
        <v>4817.63</v>
      </c>
      <c r="J363">
        <v>77082.080000000002</v>
      </c>
    </row>
    <row r="364" spans="1:10">
      <c r="A364" s="25">
        <v>45090</v>
      </c>
      <c r="B364" t="s">
        <v>1676</v>
      </c>
      <c r="C364" t="s">
        <v>1693</v>
      </c>
      <c r="D364" t="s">
        <v>1683</v>
      </c>
      <c r="E364" t="s">
        <v>1679</v>
      </c>
      <c r="F364" t="s">
        <v>97</v>
      </c>
      <c r="G364" t="s">
        <v>1699</v>
      </c>
      <c r="H364">
        <v>7</v>
      </c>
      <c r="I364">
        <v>4950.24</v>
      </c>
      <c r="J364">
        <v>34651.68</v>
      </c>
    </row>
    <row r="365" spans="1:10">
      <c r="A365" s="25">
        <v>45163</v>
      </c>
      <c r="B365" t="s">
        <v>1698</v>
      </c>
      <c r="C365" t="s">
        <v>1135</v>
      </c>
      <c r="D365" t="s">
        <v>1673</v>
      </c>
      <c r="E365" t="s">
        <v>1674</v>
      </c>
      <c r="F365" t="s">
        <v>97</v>
      </c>
      <c r="G365" t="s">
        <v>1699</v>
      </c>
      <c r="H365">
        <v>9</v>
      </c>
      <c r="I365">
        <v>2935.97</v>
      </c>
      <c r="J365">
        <v>26423.73</v>
      </c>
    </row>
    <row r="366" spans="1:10">
      <c r="A366" s="25">
        <v>45269</v>
      </c>
      <c r="B366" t="s">
        <v>1705</v>
      </c>
      <c r="C366" t="s">
        <v>1717</v>
      </c>
      <c r="D366" t="s">
        <v>1696</v>
      </c>
      <c r="E366" t="s">
        <v>1674</v>
      </c>
      <c r="F366" t="s">
        <v>1687</v>
      </c>
      <c r="G366" t="s">
        <v>1688</v>
      </c>
      <c r="H366">
        <v>9</v>
      </c>
      <c r="I366">
        <v>3560.8</v>
      </c>
      <c r="J366">
        <v>32047.200000000001</v>
      </c>
    </row>
    <row r="367" spans="1:10">
      <c r="A367" s="25">
        <v>44993</v>
      </c>
      <c r="B367" t="s">
        <v>1705</v>
      </c>
      <c r="C367" t="s">
        <v>1137</v>
      </c>
      <c r="D367" t="s">
        <v>1696</v>
      </c>
      <c r="E367" t="s">
        <v>1674</v>
      </c>
      <c r="F367" t="s">
        <v>114</v>
      </c>
      <c r="G367" t="s">
        <v>1718</v>
      </c>
      <c r="H367">
        <v>11</v>
      </c>
      <c r="I367">
        <v>4890.92</v>
      </c>
      <c r="J367">
        <v>53800.12</v>
      </c>
    </row>
    <row r="368" spans="1:10">
      <c r="A368" s="25">
        <v>44977</v>
      </c>
      <c r="B368" t="s">
        <v>1689</v>
      </c>
      <c r="C368" t="s">
        <v>1693</v>
      </c>
      <c r="D368" t="s">
        <v>1683</v>
      </c>
      <c r="E368" t="s">
        <v>1679</v>
      </c>
      <c r="F368" t="s">
        <v>97</v>
      </c>
      <c r="G368" t="s">
        <v>1685</v>
      </c>
      <c r="H368">
        <v>8</v>
      </c>
      <c r="I368">
        <v>4143.5600000000004</v>
      </c>
      <c r="J368">
        <v>33148.480000000003</v>
      </c>
    </row>
    <row r="369" spans="1:10">
      <c r="A369" s="25">
        <v>45032</v>
      </c>
      <c r="B369" t="s">
        <v>1700</v>
      </c>
      <c r="C369" t="s">
        <v>1690</v>
      </c>
      <c r="D369" t="s">
        <v>1678</v>
      </c>
      <c r="E369" t="s">
        <v>1679</v>
      </c>
      <c r="F369" t="s">
        <v>1687</v>
      </c>
      <c r="G369" t="s">
        <v>1710</v>
      </c>
      <c r="H369">
        <v>4</v>
      </c>
      <c r="I369">
        <v>2395.66</v>
      </c>
      <c r="J369">
        <v>9582.64</v>
      </c>
    </row>
    <row r="370" spans="1:10">
      <c r="A370" s="25">
        <v>45147</v>
      </c>
      <c r="B370" t="s">
        <v>1689</v>
      </c>
      <c r="C370" t="s">
        <v>1717</v>
      </c>
      <c r="D370" t="s">
        <v>1696</v>
      </c>
      <c r="E370" t="s">
        <v>1674</v>
      </c>
      <c r="F370" t="s">
        <v>97</v>
      </c>
      <c r="G370" t="s">
        <v>1697</v>
      </c>
      <c r="H370">
        <v>18</v>
      </c>
      <c r="I370">
        <v>1582.02</v>
      </c>
      <c r="J370">
        <v>28476.36</v>
      </c>
    </row>
    <row r="371" spans="1:10">
      <c r="A371" s="25">
        <v>45164</v>
      </c>
      <c r="B371" t="s">
        <v>1671</v>
      </c>
      <c r="C371" t="s">
        <v>1137</v>
      </c>
      <c r="D371" t="s">
        <v>1696</v>
      </c>
      <c r="E371" t="s">
        <v>1674</v>
      </c>
      <c r="F371" t="s">
        <v>97</v>
      </c>
      <c r="G371" t="s">
        <v>1699</v>
      </c>
      <c r="H371">
        <v>14</v>
      </c>
      <c r="I371">
        <v>3381.77</v>
      </c>
      <c r="J371">
        <v>47344.78</v>
      </c>
    </row>
    <row r="372" spans="1:10">
      <c r="A372" s="25">
        <v>45036</v>
      </c>
      <c r="B372" t="s">
        <v>1705</v>
      </c>
      <c r="C372" t="s">
        <v>1682</v>
      </c>
      <c r="D372" t="s">
        <v>1683</v>
      </c>
      <c r="E372" t="s">
        <v>1679</v>
      </c>
      <c r="F372" t="s">
        <v>114</v>
      </c>
      <c r="G372" t="s">
        <v>1691</v>
      </c>
      <c r="H372">
        <v>16</v>
      </c>
      <c r="I372">
        <v>2580.42</v>
      </c>
      <c r="J372">
        <v>41286.720000000001</v>
      </c>
    </row>
    <row r="373" spans="1:10">
      <c r="A373" s="25">
        <v>45106</v>
      </c>
      <c r="B373" t="s">
        <v>1694</v>
      </c>
      <c r="C373" t="s">
        <v>1717</v>
      </c>
      <c r="D373" t="s">
        <v>1696</v>
      </c>
      <c r="E373" t="s">
        <v>1674</v>
      </c>
      <c r="F373" t="s">
        <v>97</v>
      </c>
      <c r="G373" t="s">
        <v>1699</v>
      </c>
      <c r="H373">
        <v>3</v>
      </c>
      <c r="I373">
        <v>3838.25</v>
      </c>
      <c r="J373">
        <v>11514.75</v>
      </c>
    </row>
    <row r="374" spans="1:10">
      <c r="A374" s="25">
        <v>45077</v>
      </c>
      <c r="B374" t="s">
        <v>1694</v>
      </c>
      <c r="C374" t="s">
        <v>1690</v>
      </c>
      <c r="D374" t="s">
        <v>1678</v>
      </c>
      <c r="E374" t="s">
        <v>1679</v>
      </c>
      <c r="F374" t="s">
        <v>1687</v>
      </c>
      <c r="G374" t="s">
        <v>1704</v>
      </c>
      <c r="H374">
        <v>2</v>
      </c>
      <c r="I374">
        <v>591.6</v>
      </c>
      <c r="J374">
        <v>1183.2</v>
      </c>
    </row>
    <row r="375" spans="1:10">
      <c r="A375" s="25">
        <v>45100</v>
      </c>
      <c r="B375" t="s">
        <v>1681</v>
      </c>
      <c r="C375" t="s">
        <v>1716</v>
      </c>
      <c r="D375" t="s">
        <v>1702</v>
      </c>
      <c r="E375" t="s">
        <v>1703</v>
      </c>
      <c r="F375" t="s">
        <v>97</v>
      </c>
      <c r="G375" t="s">
        <v>1699</v>
      </c>
      <c r="H375">
        <v>1</v>
      </c>
      <c r="I375">
        <v>2709.05</v>
      </c>
      <c r="J375">
        <v>2709.05</v>
      </c>
    </row>
    <row r="376" spans="1:10">
      <c r="A376" s="25">
        <v>45147</v>
      </c>
      <c r="B376" t="s">
        <v>1686</v>
      </c>
      <c r="C376" t="s">
        <v>1682</v>
      </c>
      <c r="D376" t="s">
        <v>1683</v>
      </c>
      <c r="E376" t="s">
        <v>1679</v>
      </c>
      <c r="F376" t="s">
        <v>89</v>
      </c>
      <c r="G376" t="s">
        <v>1713</v>
      </c>
      <c r="H376">
        <v>5</v>
      </c>
      <c r="I376">
        <v>194.7</v>
      </c>
      <c r="J376">
        <v>973.5</v>
      </c>
    </row>
    <row r="377" spans="1:10">
      <c r="A377" s="25">
        <v>45225</v>
      </c>
      <c r="B377" t="s">
        <v>1681</v>
      </c>
      <c r="C377" t="s">
        <v>1137</v>
      </c>
      <c r="D377" t="s">
        <v>1696</v>
      </c>
      <c r="E377" t="s">
        <v>1674</v>
      </c>
      <c r="F377" t="s">
        <v>114</v>
      </c>
      <c r="G377" t="s">
        <v>1691</v>
      </c>
      <c r="H377">
        <v>4</v>
      </c>
      <c r="I377">
        <v>900.33</v>
      </c>
      <c r="J377">
        <v>3601.32</v>
      </c>
    </row>
    <row r="378" spans="1:10">
      <c r="A378" s="25">
        <v>45061</v>
      </c>
      <c r="B378" t="s">
        <v>1689</v>
      </c>
      <c r="C378" t="s">
        <v>1684</v>
      </c>
      <c r="D378" t="s">
        <v>1678</v>
      </c>
      <c r="E378" t="s">
        <v>1679</v>
      </c>
      <c r="F378" t="s">
        <v>1687</v>
      </c>
      <c r="G378" t="s">
        <v>1688</v>
      </c>
      <c r="H378">
        <v>13</v>
      </c>
      <c r="I378">
        <v>3574.45</v>
      </c>
      <c r="J378">
        <v>46467.85</v>
      </c>
    </row>
    <row r="379" spans="1:10">
      <c r="A379" s="25">
        <v>44998</v>
      </c>
      <c r="B379" t="s">
        <v>1676</v>
      </c>
      <c r="C379" t="s">
        <v>1701</v>
      </c>
      <c r="D379" t="s">
        <v>1702</v>
      </c>
      <c r="E379" t="s">
        <v>1703</v>
      </c>
      <c r="F379" t="s">
        <v>89</v>
      </c>
      <c r="G379" t="s">
        <v>1105</v>
      </c>
      <c r="H379">
        <v>20</v>
      </c>
      <c r="I379">
        <v>1637.44</v>
      </c>
      <c r="J379">
        <v>32748.799999999999</v>
      </c>
    </row>
    <row r="380" spans="1:10">
      <c r="A380" s="25">
        <v>45060</v>
      </c>
      <c r="B380" t="s">
        <v>1681</v>
      </c>
      <c r="C380" t="s">
        <v>1707</v>
      </c>
      <c r="D380" t="s">
        <v>1683</v>
      </c>
      <c r="E380" t="s">
        <v>1679</v>
      </c>
      <c r="F380" t="s">
        <v>101</v>
      </c>
      <c r="G380" t="s">
        <v>1715</v>
      </c>
      <c r="H380">
        <v>14</v>
      </c>
      <c r="I380">
        <v>3177.8</v>
      </c>
      <c r="J380">
        <v>44489.2</v>
      </c>
    </row>
    <row r="381" spans="1:10">
      <c r="A381" s="25">
        <v>45070</v>
      </c>
      <c r="B381" t="s">
        <v>1692</v>
      </c>
      <c r="C381" t="s">
        <v>1693</v>
      </c>
      <c r="D381" t="s">
        <v>1683</v>
      </c>
      <c r="E381" t="s">
        <v>1679</v>
      </c>
      <c r="F381" t="s">
        <v>89</v>
      </c>
      <c r="G381" t="s">
        <v>1106</v>
      </c>
      <c r="H381">
        <v>1</v>
      </c>
      <c r="I381">
        <v>3382.37</v>
      </c>
      <c r="J381">
        <v>3382.37</v>
      </c>
    </row>
    <row r="382" spans="1:10">
      <c r="A382" s="25">
        <v>45043</v>
      </c>
      <c r="B382" t="s">
        <v>1671</v>
      </c>
      <c r="C382" t="s">
        <v>1701</v>
      </c>
      <c r="D382" t="s">
        <v>1702</v>
      </c>
      <c r="E382" t="s">
        <v>1703</v>
      </c>
      <c r="F382" t="s">
        <v>114</v>
      </c>
      <c r="G382" t="s">
        <v>1718</v>
      </c>
      <c r="H382">
        <v>19</v>
      </c>
      <c r="I382">
        <v>2816.52</v>
      </c>
      <c r="J382">
        <v>53513.88</v>
      </c>
    </row>
    <row r="383" spans="1:10">
      <c r="A383" s="25">
        <v>45258</v>
      </c>
      <c r="B383" t="s">
        <v>1671</v>
      </c>
      <c r="C383" t="s">
        <v>1716</v>
      </c>
      <c r="D383" t="s">
        <v>1702</v>
      </c>
      <c r="E383" t="s">
        <v>1703</v>
      </c>
      <c r="F383" t="s">
        <v>1687</v>
      </c>
      <c r="G383" t="s">
        <v>1708</v>
      </c>
      <c r="H383">
        <v>13</v>
      </c>
      <c r="I383">
        <v>3417.94</v>
      </c>
      <c r="J383">
        <v>44433.22</v>
      </c>
    </row>
    <row r="384" spans="1:10">
      <c r="A384" s="25">
        <v>45283</v>
      </c>
      <c r="B384" t="s">
        <v>1671</v>
      </c>
      <c r="C384" t="s">
        <v>1693</v>
      </c>
      <c r="D384" t="s">
        <v>1683</v>
      </c>
      <c r="E384" t="s">
        <v>1679</v>
      </c>
      <c r="F384" t="s">
        <v>97</v>
      </c>
      <c r="G384" t="s">
        <v>1711</v>
      </c>
      <c r="H384">
        <v>14</v>
      </c>
      <c r="I384">
        <v>917.55</v>
      </c>
      <c r="J384">
        <v>12845.7</v>
      </c>
    </row>
    <row r="385" spans="1:10">
      <c r="A385" s="25">
        <v>44997</v>
      </c>
      <c r="B385" t="s">
        <v>1694</v>
      </c>
      <c r="C385" t="s">
        <v>1672</v>
      </c>
      <c r="D385" t="s">
        <v>1673</v>
      </c>
      <c r="E385" t="s">
        <v>1674</v>
      </c>
      <c r="F385" t="s">
        <v>89</v>
      </c>
      <c r="G385" t="s">
        <v>1105</v>
      </c>
      <c r="H385">
        <v>1</v>
      </c>
      <c r="I385">
        <v>1598.87</v>
      </c>
      <c r="J385">
        <v>1598.87</v>
      </c>
    </row>
    <row r="386" spans="1:10">
      <c r="A386" s="25">
        <v>45200</v>
      </c>
      <c r="B386" t="s">
        <v>1694</v>
      </c>
      <c r="C386" t="s">
        <v>1701</v>
      </c>
      <c r="D386" t="s">
        <v>1702</v>
      </c>
      <c r="E386" t="s">
        <v>1703</v>
      </c>
      <c r="F386" t="s">
        <v>101</v>
      </c>
      <c r="G386" t="s">
        <v>1675</v>
      </c>
      <c r="H386">
        <v>7</v>
      </c>
      <c r="I386">
        <v>405.27</v>
      </c>
      <c r="J386">
        <v>2836.89</v>
      </c>
    </row>
    <row r="387" spans="1:10">
      <c r="A387" s="25">
        <v>45211</v>
      </c>
      <c r="B387" t="s">
        <v>1694</v>
      </c>
      <c r="C387" t="s">
        <v>1135</v>
      </c>
      <c r="D387" t="s">
        <v>1673</v>
      </c>
      <c r="E387" t="s">
        <v>1674</v>
      </c>
      <c r="F387" t="s">
        <v>1687</v>
      </c>
      <c r="G387" t="s">
        <v>1704</v>
      </c>
      <c r="H387">
        <v>5</v>
      </c>
      <c r="I387">
        <v>2819.92</v>
      </c>
      <c r="J387">
        <v>14099.6</v>
      </c>
    </row>
    <row r="388" spans="1:10">
      <c r="A388" s="25">
        <v>45281</v>
      </c>
      <c r="B388" t="s">
        <v>1681</v>
      </c>
      <c r="C388" t="s">
        <v>1693</v>
      </c>
      <c r="D388" t="s">
        <v>1683</v>
      </c>
      <c r="E388" t="s">
        <v>1679</v>
      </c>
      <c r="F388" t="s">
        <v>89</v>
      </c>
      <c r="G388" t="s">
        <v>1105</v>
      </c>
      <c r="H388">
        <v>7</v>
      </c>
      <c r="I388">
        <v>4023.6</v>
      </c>
      <c r="J388">
        <v>28165.200000000001</v>
      </c>
    </row>
    <row r="389" spans="1:10">
      <c r="A389" s="25">
        <v>45190</v>
      </c>
      <c r="B389" t="s">
        <v>1686</v>
      </c>
      <c r="C389" t="s">
        <v>1690</v>
      </c>
      <c r="D389" t="s">
        <v>1678</v>
      </c>
      <c r="E389" t="s">
        <v>1679</v>
      </c>
      <c r="F389" t="s">
        <v>1687</v>
      </c>
      <c r="G389" t="s">
        <v>1704</v>
      </c>
      <c r="H389">
        <v>6</v>
      </c>
      <c r="I389">
        <v>4911.79</v>
      </c>
      <c r="J389">
        <v>29470.74</v>
      </c>
    </row>
    <row r="390" spans="1:10">
      <c r="A390" s="25">
        <v>45240</v>
      </c>
      <c r="B390" t="s">
        <v>1692</v>
      </c>
      <c r="C390" t="s">
        <v>1707</v>
      </c>
      <c r="D390" t="s">
        <v>1683</v>
      </c>
      <c r="E390" t="s">
        <v>1679</v>
      </c>
      <c r="F390" t="s">
        <v>101</v>
      </c>
      <c r="G390" t="s">
        <v>1709</v>
      </c>
      <c r="H390">
        <v>7</v>
      </c>
      <c r="I390">
        <v>2186.75</v>
      </c>
      <c r="J390">
        <v>15307.25</v>
      </c>
    </row>
    <row r="391" spans="1:10">
      <c r="A391" s="25">
        <v>45228</v>
      </c>
      <c r="B391" t="s">
        <v>1705</v>
      </c>
      <c r="C391" t="s">
        <v>1701</v>
      </c>
      <c r="D391" t="s">
        <v>1702</v>
      </c>
      <c r="E391" t="s">
        <v>1703</v>
      </c>
      <c r="F391" t="s">
        <v>114</v>
      </c>
      <c r="G391" t="s">
        <v>1680</v>
      </c>
      <c r="H391">
        <v>9</v>
      </c>
      <c r="I391">
        <v>2304.23</v>
      </c>
      <c r="J391">
        <v>20738.07</v>
      </c>
    </row>
    <row r="392" spans="1:10">
      <c r="A392" s="25">
        <v>45050</v>
      </c>
      <c r="B392" t="s">
        <v>1692</v>
      </c>
      <c r="C392" t="s">
        <v>1135</v>
      </c>
      <c r="D392" t="s">
        <v>1673</v>
      </c>
      <c r="E392" t="s">
        <v>1674</v>
      </c>
      <c r="F392" t="s">
        <v>89</v>
      </c>
      <c r="G392" t="s">
        <v>1106</v>
      </c>
      <c r="H392">
        <v>6</v>
      </c>
      <c r="I392">
        <v>2282.5500000000002</v>
      </c>
      <c r="J392">
        <v>13695.3</v>
      </c>
    </row>
    <row r="393" spans="1:10">
      <c r="A393" s="25">
        <v>45225</v>
      </c>
      <c r="B393" t="s">
        <v>1686</v>
      </c>
      <c r="C393" t="s">
        <v>1695</v>
      </c>
      <c r="D393" t="s">
        <v>1696</v>
      </c>
      <c r="E393" t="s">
        <v>1674</v>
      </c>
      <c r="F393" t="s">
        <v>89</v>
      </c>
      <c r="G393" t="s">
        <v>1713</v>
      </c>
      <c r="H393">
        <v>4</v>
      </c>
      <c r="I393">
        <v>4778.2299999999996</v>
      </c>
      <c r="J393">
        <v>19112.919999999998</v>
      </c>
    </row>
    <row r="394" spans="1:10">
      <c r="A394" s="25">
        <v>45047</v>
      </c>
      <c r="B394" t="s">
        <v>1694</v>
      </c>
      <c r="C394" t="s">
        <v>1677</v>
      </c>
      <c r="D394" t="s">
        <v>1678</v>
      </c>
      <c r="E394" t="s">
        <v>1679</v>
      </c>
      <c r="F394" t="s">
        <v>97</v>
      </c>
      <c r="G394" t="s">
        <v>1699</v>
      </c>
      <c r="H394">
        <v>11</v>
      </c>
      <c r="I394">
        <v>1286.08</v>
      </c>
      <c r="J394">
        <v>14146.88</v>
      </c>
    </row>
    <row r="395" spans="1:10">
      <c r="A395" s="25">
        <v>45215</v>
      </c>
      <c r="B395" t="s">
        <v>1698</v>
      </c>
      <c r="C395" t="s">
        <v>1136</v>
      </c>
      <c r="D395" t="s">
        <v>1673</v>
      </c>
      <c r="E395" t="s">
        <v>1674</v>
      </c>
      <c r="F395" t="s">
        <v>89</v>
      </c>
      <c r="G395" t="s">
        <v>1714</v>
      </c>
      <c r="H395">
        <v>19</v>
      </c>
      <c r="I395">
        <v>1844.31</v>
      </c>
      <c r="J395">
        <v>35041.89</v>
      </c>
    </row>
    <row r="396" spans="1:10">
      <c r="A396" s="25">
        <v>45262</v>
      </c>
      <c r="B396" t="s">
        <v>1698</v>
      </c>
      <c r="C396" t="s">
        <v>1695</v>
      </c>
      <c r="D396" t="s">
        <v>1696</v>
      </c>
      <c r="E396" t="s">
        <v>1674</v>
      </c>
      <c r="F396" t="s">
        <v>97</v>
      </c>
      <c r="G396" t="s">
        <v>1685</v>
      </c>
      <c r="H396">
        <v>14</v>
      </c>
      <c r="I396">
        <v>148.43</v>
      </c>
      <c r="J396">
        <v>2078.02</v>
      </c>
    </row>
    <row r="397" spans="1:10">
      <c r="A397" s="25">
        <v>44965</v>
      </c>
      <c r="B397" t="s">
        <v>1698</v>
      </c>
      <c r="C397" t="s">
        <v>1717</v>
      </c>
      <c r="D397" t="s">
        <v>1696</v>
      </c>
      <c r="E397" t="s">
        <v>1674</v>
      </c>
      <c r="F397" t="s">
        <v>114</v>
      </c>
      <c r="G397" t="s">
        <v>1691</v>
      </c>
      <c r="H397">
        <v>3</v>
      </c>
      <c r="I397">
        <v>2502.81</v>
      </c>
      <c r="J397">
        <v>7508.43</v>
      </c>
    </row>
    <row r="398" spans="1:10">
      <c r="A398" s="25">
        <v>45052</v>
      </c>
      <c r="B398" t="s">
        <v>1705</v>
      </c>
      <c r="C398" t="s">
        <v>1695</v>
      </c>
      <c r="D398" t="s">
        <v>1696</v>
      </c>
      <c r="E398" t="s">
        <v>1674</v>
      </c>
      <c r="F398" t="s">
        <v>101</v>
      </c>
      <c r="G398" t="s">
        <v>1709</v>
      </c>
      <c r="H398">
        <v>7</v>
      </c>
      <c r="I398">
        <v>3721.37</v>
      </c>
      <c r="J398">
        <v>26049.59</v>
      </c>
    </row>
    <row r="399" spans="1:10">
      <c r="A399" s="25">
        <v>45105</v>
      </c>
      <c r="B399" t="s">
        <v>1698</v>
      </c>
      <c r="C399" t="s">
        <v>1677</v>
      </c>
      <c r="D399" t="s">
        <v>1678</v>
      </c>
      <c r="E399" t="s">
        <v>1679</v>
      </c>
      <c r="F399" t="s">
        <v>101</v>
      </c>
      <c r="G399" t="s">
        <v>1715</v>
      </c>
      <c r="H399">
        <v>2</v>
      </c>
      <c r="I399">
        <v>3719.83</v>
      </c>
      <c r="J399">
        <v>7439.66</v>
      </c>
    </row>
    <row r="400" spans="1:10">
      <c r="A400" s="25">
        <v>45207</v>
      </c>
      <c r="B400" t="s">
        <v>1681</v>
      </c>
      <c r="C400" t="s">
        <v>1706</v>
      </c>
      <c r="D400" t="s">
        <v>1702</v>
      </c>
      <c r="E400" t="s">
        <v>1703</v>
      </c>
      <c r="F400" t="s">
        <v>97</v>
      </c>
      <c r="G400" t="s">
        <v>1685</v>
      </c>
      <c r="H400">
        <v>19</v>
      </c>
      <c r="I400">
        <v>2862.47</v>
      </c>
      <c r="J400">
        <v>54386.93</v>
      </c>
    </row>
    <row r="401" spans="1:10">
      <c r="A401" s="25">
        <v>45044</v>
      </c>
      <c r="B401" t="s">
        <v>1689</v>
      </c>
      <c r="C401" t="s">
        <v>1684</v>
      </c>
      <c r="D401" t="s">
        <v>1678</v>
      </c>
      <c r="E401" t="s">
        <v>1679</v>
      </c>
      <c r="F401" t="s">
        <v>114</v>
      </c>
      <c r="G401" t="s">
        <v>1680</v>
      </c>
      <c r="H401">
        <v>5</v>
      </c>
      <c r="I401">
        <v>4715.05</v>
      </c>
      <c r="J401">
        <v>23575.25</v>
      </c>
    </row>
    <row r="402" spans="1:10">
      <c r="A402" s="25">
        <v>45291</v>
      </c>
      <c r="B402" t="s">
        <v>1681</v>
      </c>
      <c r="C402" t="s">
        <v>1716</v>
      </c>
      <c r="D402" t="s">
        <v>1702</v>
      </c>
      <c r="E402" t="s">
        <v>1703</v>
      </c>
      <c r="F402" t="s">
        <v>1687</v>
      </c>
      <c r="G402" t="s">
        <v>1708</v>
      </c>
      <c r="H402">
        <v>11</v>
      </c>
      <c r="I402">
        <v>3314</v>
      </c>
      <c r="J402">
        <v>36454</v>
      </c>
    </row>
    <row r="403" spans="1:10">
      <c r="A403" s="25">
        <v>45055</v>
      </c>
      <c r="B403" t="s">
        <v>1692</v>
      </c>
      <c r="C403" t="s">
        <v>1693</v>
      </c>
      <c r="D403" t="s">
        <v>1683</v>
      </c>
      <c r="E403" t="s">
        <v>1679</v>
      </c>
      <c r="F403" t="s">
        <v>101</v>
      </c>
      <c r="G403" t="s">
        <v>1675</v>
      </c>
      <c r="H403">
        <v>3</v>
      </c>
      <c r="I403">
        <v>4146.75</v>
      </c>
      <c r="J403">
        <v>12440.25</v>
      </c>
    </row>
    <row r="404" spans="1:10">
      <c r="A404" s="25">
        <v>45143</v>
      </c>
      <c r="B404" t="s">
        <v>1698</v>
      </c>
      <c r="C404" t="s">
        <v>1690</v>
      </c>
      <c r="D404" t="s">
        <v>1678</v>
      </c>
      <c r="E404" t="s">
        <v>1679</v>
      </c>
      <c r="F404" t="s">
        <v>89</v>
      </c>
      <c r="G404" t="s">
        <v>1714</v>
      </c>
      <c r="H404">
        <v>4</v>
      </c>
      <c r="I404">
        <v>4062.52</v>
      </c>
      <c r="J404">
        <v>16250.08</v>
      </c>
    </row>
    <row r="405" spans="1:10">
      <c r="A405" s="25">
        <v>44993</v>
      </c>
      <c r="B405" t="s">
        <v>1698</v>
      </c>
      <c r="C405" t="s">
        <v>1707</v>
      </c>
      <c r="D405" t="s">
        <v>1683</v>
      </c>
      <c r="E405" t="s">
        <v>1679</v>
      </c>
      <c r="F405" t="s">
        <v>89</v>
      </c>
      <c r="G405" t="s">
        <v>1714</v>
      </c>
      <c r="H405">
        <v>4</v>
      </c>
      <c r="I405">
        <v>3022.21</v>
      </c>
      <c r="J405">
        <v>12088.84</v>
      </c>
    </row>
    <row r="406" spans="1:10">
      <c r="A406" s="25">
        <v>44989</v>
      </c>
      <c r="B406" t="s">
        <v>1681</v>
      </c>
      <c r="C406" t="s">
        <v>1706</v>
      </c>
      <c r="D406" t="s">
        <v>1702</v>
      </c>
      <c r="E406" t="s">
        <v>1703</v>
      </c>
      <c r="F406" t="s">
        <v>1687</v>
      </c>
      <c r="G406" t="s">
        <v>1704</v>
      </c>
      <c r="H406">
        <v>7</v>
      </c>
      <c r="I406">
        <v>217.04</v>
      </c>
      <c r="J406">
        <v>1519.28</v>
      </c>
    </row>
    <row r="407" spans="1:10">
      <c r="A407" s="25">
        <v>45145</v>
      </c>
      <c r="B407" t="s">
        <v>1698</v>
      </c>
      <c r="C407" t="s">
        <v>1707</v>
      </c>
      <c r="D407" t="s">
        <v>1683</v>
      </c>
      <c r="E407" t="s">
        <v>1679</v>
      </c>
      <c r="F407" t="s">
        <v>1687</v>
      </c>
      <c r="G407" t="s">
        <v>1704</v>
      </c>
      <c r="H407">
        <v>2</v>
      </c>
      <c r="I407">
        <v>4883.5600000000004</v>
      </c>
      <c r="J407">
        <v>9767.1200000000008</v>
      </c>
    </row>
    <row r="408" spans="1:10">
      <c r="A408" s="25">
        <v>44949</v>
      </c>
      <c r="B408" t="s">
        <v>1705</v>
      </c>
      <c r="C408" t="s">
        <v>1717</v>
      </c>
      <c r="D408" t="s">
        <v>1696</v>
      </c>
      <c r="E408" t="s">
        <v>1674</v>
      </c>
      <c r="F408" t="s">
        <v>89</v>
      </c>
      <c r="G408" t="s">
        <v>1713</v>
      </c>
      <c r="H408">
        <v>16</v>
      </c>
      <c r="I408">
        <v>2015.76</v>
      </c>
      <c r="J408">
        <v>32252.16</v>
      </c>
    </row>
    <row r="409" spans="1:10">
      <c r="A409" s="25">
        <v>45088</v>
      </c>
      <c r="B409" t="s">
        <v>1700</v>
      </c>
      <c r="C409" t="s">
        <v>1682</v>
      </c>
      <c r="D409" t="s">
        <v>1683</v>
      </c>
      <c r="E409" t="s">
        <v>1679</v>
      </c>
      <c r="F409" t="s">
        <v>1687</v>
      </c>
      <c r="G409" t="s">
        <v>1688</v>
      </c>
      <c r="H409">
        <v>1</v>
      </c>
      <c r="I409">
        <v>2777.22</v>
      </c>
      <c r="J409">
        <v>2777.22</v>
      </c>
    </row>
    <row r="410" spans="1:10">
      <c r="A410" s="25">
        <v>45279</v>
      </c>
      <c r="B410" t="s">
        <v>1676</v>
      </c>
      <c r="C410" t="s">
        <v>1682</v>
      </c>
      <c r="D410" t="s">
        <v>1683</v>
      </c>
      <c r="E410" t="s">
        <v>1679</v>
      </c>
      <c r="F410" t="s">
        <v>101</v>
      </c>
      <c r="G410" t="s">
        <v>1709</v>
      </c>
      <c r="H410">
        <v>13</v>
      </c>
      <c r="I410">
        <v>4318.62</v>
      </c>
      <c r="J410">
        <v>56142.06</v>
      </c>
    </row>
    <row r="411" spans="1:10">
      <c r="A411" s="25">
        <v>45223</v>
      </c>
      <c r="B411" t="s">
        <v>1705</v>
      </c>
      <c r="C411" t="s">
        <v>1672</v>
      </c>
      <c r="D411" t="s">
        <v>1673</v>
      </c>
      <c r="E411" t="s">
        <v>1674</v>
      </c>
      <c r="F411" t="s">
        <v>89</v>
      </c>
      <c r="G411" t="s">
        <v>1713</v>
      </c>
      <c r="H411">
        <v>15</v>
      </c>
      <c r="I411">
        <v>3225.2</v>
      </c>
      <c r="J411">
        <v>48378</v>
      </c>
    </row>
    <row r="412" spans="1:10">
      <c r="A412" s="25">
        <v>45160</v>
      </c>
      <c r="B412" t="s">
        <v>1692</v>
      </c>
      <c r="C412" t="s">
        <v>1672</v>
      </c>
      <c r="D412" t="s">
        <v>1673</v>
      </c>
      <c r="E412" t="s">
        <v>1674</v>
      </c>
      <c r="F412" t="s">
        <v>89</v>
      </c>
      <c r="G412" t="s">
        <v>1713</v>
      </c>
      <c r="H412">
        <v>9</v>
      </c>
      <c r="I412">
        <v>631.99</v>
      </c>
      <c r="J412">
        <v>5687.91</v>
      </c>
    </row>
    <row r="413" spans="1:10">
      <c r="A413" s="25">
        <v>45051</v>
      </c>
      <c r="B413" t="s">
        <v>1686</v>
      </c>
      <c r="C413" t="s">
        <v>1706</v>
      </c>
      <c r="D413" t="s">
        <v>1702</v>
      </c>
      <c r="E413" t="s">
        <v>1703</v>
      </c>
      <c r="F413" t="s">
        <v>114</v>
      </c>
      <c r="G413" t="s">
        <v>1712</v>
      </c>
      <c r="H413">
        <v>16</v>
      </c>
      <c r="I413">
        <v>981</v>
      </c>
      <c r="J413">
        <v>15696</v>
      </c>
    </row>
    <row r="414" spans="1:10">
      <c r="A414" s="25">
        <v>45089</v>
      </c>
      <c r="B414" t="s">
        <v>1700</v>
      </c>
      <c r="C414" t="s">
        <v>1695</v>
      </c>
      <c r="D414" t="s">
        <v>1696</v>
      </c>
      <c r="E414" t="s">
        <v>1674</v>
      </c>
      <c r="F414" t="s">
        <v>89</v>
      </c>
      <c r="G414" t="s">
        <v>1106</v>
      </c>
      <c r="H414">
        <v>14</v>
      </c>
      <c r="I414">
        <v>1049.21</v>
      </c>
      <c r="J414">
        <v>14688.94</v>
      </c>
    </row>
    <row r="415" spans="1:10">
      <c r="A415" s="25">
        <v>45105</v>
      </c>
      <c r="B415" t="s">
        <v>1705</v>
      </c>
      <c r="C415" t="s">
        <v>1677</v>
      </c>
      <c r="D415" t="s">
        <v>1678</v>
      </c>
      <c r="E415" t="s">
        <v>1679</v>
      </c>
      <c r="F415" t="s">
        <v>101</v>
      </c>
      <c r="G415" t="s">
        <v>1675</v>
      </c>
      <c r="H415">
        <v>3</v>
      </c>
      <c r="I415">
        <v>3276.84</v>
      </c>
      <c r="J415">
        <v>9830.52</v>
      </c>
    </row>
    <row r="416" spans="1:10">
      <c r="A416" s="25">
        <v>45148</v>
      </c>
      <c r="B416" t="s">
        <v>1686</v>
      </c>
      <c r="C416" t="s">
        <v>1135</v>
      </c>
      <c r="D416" t="s">
        <v>1673</v>
      </c>
      <c r="E416" t="s">
        <v>1674</v>
      </c>
      <c r="F416" t="s">
        <v>89</v>
      </c>
      <c r="G416" t="s">
        <v>1105</v>
      </c>
      <c r="H416">
        <v>10</v>
      </c>
      <c r="I416">
        <v>1693.46</v>
      </c>
      <c r="J416">
        <v>16934.599999999999</v>
      </c>
    </row>
    <row r="417" spans="1:10">
      <c r="A417" s="25">
        <v>45256</v>
      </c>
      <c r="B417" t="s">
        <v>1700</v>
      </c>
      <c r="C417" t="s">
        <v>1716</v>
      </c>
      <c r="D417" t="s">
        <v>1702</v>
      </c>
      <c r="E417" t="s">
        <v>1703</v>
      </c>
      <c r="F417" t="s">
        <v>114</v>
      </c>
      <c r="G417" t="s">
        <v>1712</v>
      </c>
      <c r="H417">
        <v>15</v>
      </c>
      <c r="I417">
        <v>1790.58</v>
      </c>
      <c r="J417">
        <v>26858.7</v>
      </c>
    </row>
    <row r="418" spans="1:10">
      <c r="A418" s="25">
        <v>45005</v>
      </c>
      <c r="B418" t="s">
        <v>1689</v>
      </c>
      <c r="C418" t="s">
        <v>1695</v>
      </c>
      <c r="D418" t="s">
        <v>1696</v>
      </c>
      <c r="E418" t="s">
        <v>1674</v>
      </c>
      <c r="F418" t="s">
        <v>101</v>
      </c>
      <c r="G418" t="s">
        <v>1709</v>
      </c>
      <c r="H418">
        <v>16</v>
      </c>
      <c r="I418">
        <v>1018.83</v>
      </c>
      <c r="J418">
        <v>16301.28</v>
      </c>
    </row>
    <row r="419" spans="1:10">
      <c r="A419" s="25">
        <v>44964</v>
      </c>
      <c r="B419" t="s">
        <v>1692</v>
      </c>
      <c r="C419" t="s">
        <v>1707</v>
      </c>
      <c r="D419" t="s">
        <v>1683</v>
      </c>
      <c r="E419" t="s">
        <v>1679</v>
      </c>
      <c r="F419" t="s">
        <v>89</v>
      </c>
      <c r="G419" t="s">
        <v>1714</v>
      </c>
      <c r="H419">
        <v>6</v>
      </c>
      <c r="I419">
        <v>1246.5899999999999</v>
      </c>
      <c r="J419">
        <v>7479.54</v>
      </c>
    </row>
    <row r="420" spans="1:10">
      <c r="A420" s="25">
        <v>44939</v>
      </c>
      <c r="B420" t="s">
        <v>1698</v>
      </c>
      <c r="C420" t="s">
        <v>1677</v>
      </c>
      <c r="D420" t="s">
        <v>1678</v>
      </c>
      <c r="E420" t="s">
        <v>1679</v>
      </c>
      <c r="F420" t="s">
        <v>1687</v>
      </c>
      <c r="G420" t="s">
        <v>1708</v>
      </c>
      <c r="H420">
        <v>14</v>
      </c>
      <c r="I420">
        <v>859.79</v>
      </c>
      <c r="J420">
        <v>12037.06</v>
      </c>
    </row>
    <row r="421" spans="1:10">
      <c r="A421" s="25">
        <v>45239</v>
      </c>
      <c r="B421" t="s">
        <v>1671</v>
      </c>
      <c r="C421" t="s">
        <v>1716</v>
      </c>
      <c r="D421" t="s">
        <v>1702</v>
      </c>
      <c r="E421" t="s">
        <v>1703</v>
      </c>
      <c r="F421" t="s">
        <v>97</v>
      </c>
      <c r="G421" t="s">
        <v>1697</v>
      </c>
      <c r="H421">
        <v>12</v>
      </c>
      <c r="I421">
        <v>149.16</v>
      </c>
      <c r="J421">
        <v>1789.92</v>
      </c>
    </row>
    <row r="422" spans="1:10">
      <c r="A422" s="25">
        <v>45213</v>
      </c>
      <c r="B422" t="s">
        <v>1689</v>
      </c>
      <c r="C422" t="s">
        <v>1672</v>
      </c>
      <c r="D422" t="s">
        <v>1673</v>
      </c>
      <c r="E422" t="s">
        <v>1674</v>
      </c>
      <c r="F422" t="s">
        <v>101</v>
      </c>
      <c r="G422" t="s">
        <v>1709</v>
      </c>
      <c r="H422">
        <v>20</v>
      </c>
      <c r="I422">
        <v>1108.83</v>
      </c>
      <c r="J422">
        <v>22176.6</v>
      </c>
    </row>
    <row r="423" spans="1:10">
      <c r="A423" s="25">
        <v>45002</v>
      </c>
      <c r="B423" t="s">
        <v>1692</v>
      </c>
      <c r="C423" t="s">
        <v>1682</v>
      </c>
      <c r="D423" t="s">
        <v>1683</v>
      </c>
      <c r="E423" t="s">
        <v>1679</v>
      </c>
      <c r="F423" t="s">
        <v>101</v>
      </c>
      <c r="G423" t="s">
        <v>1719</v>
      </c>
      <c r="H423">
        <v>8</v>
      </c>
      <c r="I423">
        <v>3628.65</v>
      </c>
      <c r="J423">
        <v>29029.200000000001</v>
      </c>
    </row>
    <row r="424" spans="1:10">
      <c r="A424" s="25">
        <v>45283</v>
      </c>
      <c r="B424" t="s">
        <v>1671</v>
      </c>
      <c r="C424" t="s">
        <v>1695</v>
      </c>
      <c r="D424" t="s">
        <v>1696</v>
      </c>
      <c r="E424" t="s">
        <v>1674</v>
      </c>
      <c r="F424" t="s">
        <v>97</v>
      </c>
      <c r="G424" t="s">
        <v>1697</v>
      </c>
      <c r="H424">
        <v>19</v>
      </c>
      <c r="I424">
        <v>1317.72</v>
      </c>
      <c r="J424">
        <v>25036.68</v>
      </c>
    </row>
    <row r="425" spans="1:10">
      <c r="A425" s="25">
        <v>44940</v>
      </c>
      <c r="B425" t="s">
        <v>1689</v>
      </c>
      <c r="C425" t="s">
        <v>1706</v>
      </c>
      <c r="D425" t="s">
        <v>1702</v>
      </c>
      <c r="E425" t="s">
        <v>1703</v>
      </c>
      <c r="F425" t="s">
        <v>97</v>
      </c>
      <c r="G425" t="s">
        <v>1711</v>
      </c>
      <c r="H425">
        <v>16</v>
      </c>
      <c r="I425">
        <v>2995.01</v>
      </c>
      <c r="J425">
        <v>47920.160000000003</v>
      </c>
    </row>
    <row r="426" spans="1:10">
      <c r="A426" s="25">
        <v>45071</v>
      </c>
      <c r="B426" t="s">
        <v>1692</v>
      </c>
      <c r="C426" t="s">
        <v>1136</v>
      </c>
      <c r="D426" t="s">
        <v>1673</v>
      </c>
      <c r="E426" t="s">
        <v>1674</v>
      </c>
      <c r="F426" t="s">
        <v>101</v>
      </c>
      <c r="G426" t="s">
        <v>1719</v>
      </c>
      <c r="H426">
        <v>11</v>
      </c>
      <c r="I426">
        <v>2318.96</v>
      </c>
      <c r="J426">
        <v>25508.560000000001</v>
      </c>
    </row>
    <row r="427" spans="1:10">
      <c r="A427" s="25">
        <v>45260</v>
      </c>
      <c r="B427" t="s">
        <v>1681</v>
      </c>
      <c r="C427" t="s">
        <v>1693</v>
      </c>
      <c r="D427" t="s">
        <v>1683</v>
      </c>
      <c r="E427" t="s">
        <v>1679</v>
      </c>
      <c r="F427" t="s">
        <v>1687</v>
      </c>
      <c r="G427" t="s">
        <v>1708</v>
      </c>
      <c r="H427">
        <v>14</v>
      </c>
      <c r="I427">
        <v>4935.3</v>
      </c>
      <c r="J427">
        <v>69094.2</v>
      </c>
    </row>
    <row r="428" spans="1:10">
      <c r="A428" s="25">
        <v>45189</v>
      </c>
      <c r="B428" t="s">
        <v>1700</v>
      </c>
      <c r="C428" t="s">
        <v>1707</v>
      </c>
      <c r="D428" t="s">
        <v>1683</v>
      </c>
      <c r="E428" t="s">
        <v>1679</v>
      </c>
      <c r="F428" t="s">
        <v>101</v>
      </c>
      <c r="G428" t="s">
        <v>1709</v>
      </c>
      <c r="H428">
        <v>1</v>
      </c>
      <c r="I428">
        <v>1083.26</v>
      </c>
      <c r="J428">
        <v>1083.26</v>
      </c>
    </row>
    <row r="429" spans="1:10">
      <c r="A429" s="25">
        <v>45204</v>
      </c>
      <c r="B429" t="s">
        <v>1698</v>
      </c>
      <c r="C429" t="s">
        <v>1684</v>
      </c>
      <c r="D429" t="s">
        <v>1678</v>
      </c>
      <c r="E429" t="s">
        <v>1679</v>
      </c>
      <c r="F429" t="s">
        <v>101</v>
      </c>
      <c r="G429" t="s">
        <v>1709</v>
      </c>
      <c r="H429">
        <v>11</v>
      </c>
      <c r="I429">
        <v>1673.53</v>
      </c>
      <c r="J429">
        <v>18408.830000000002</v>
      </c>
    </row>
    <row r="430" spans="1:10">
      <c r="A430" s="25">
        <v>45185</v>
      </c>
      <c r="B430" t="s">
        <v>1686</v>
      </c>
      <c r="C430" t="s">
        <v>1695</v>
      </c>
      <c r="D430" t="s">
        <v>1696</v>
      </c>
      <c r="E430" t="s">
        <v>1674</v>
      </c>
      <c r="F430" t="s">
        <v>89</v>
      </c>
      <c r="G430" t="s">
        <v>1713</v>
      </c>
      <c r="H430">
        <v>10</v>
      </c>
      <c r="I430">
        <v>3829.38</v>
      </c>
      <c r="J430">
        <v>38293.800000000003</v>
      </c>
    </row>
    <row r="431" spans="1:10">
      <c r="A431" s="25">
        <v>45190</v>
      </c>
      <c r="B431" t="s">
        <v>1698</v>
      </c>
      <c r="C431" t="s">
        <v>1682</v>
      </c>
      <c r="D431" t="s">
        <v>1683</v>
      </c>
      <c r="E431" t="s">
        <v>1679</v>
      </c>
      <c r="F431" t="s">
        <v>97</v>
      </c>
      <c r="G431" t="s">
        <v>1685</v>
      </c>
      <c r="H431">
        <v>6</v>
      </c>
      <c r="I431">
        <v>470.36</v>
      </c>
      <c r="J431">
        <v>2822.16</v>
      </c>
    </row>
    <row r="432" spans="1:10">
      <c r="A432" s="25">
        <v>45029</v>
      </c>
      <c r="B432" t="s">
        <v>1705</v>
      </c>
      <c r="C432" t="s">
        <v>1136</v>
      </c>
      <c r="D432" t="s">
        <v>1673</v>
      </c>
      <c r="E432" t="s">
        <v>1674</v>
      </c>
      <c r="F432" t="s">
        <v>89</v>
      </c>
      <c r="G432" t="s">
        <v>1713</v>
      </c>
      <c r="H432">
        <v>12</v>
      </c>
      <c r="I432">
        <v>2489.14</v>
      </c>
      <c r="J432">
        <v>29869.68</v>
      </c>
    </row>
    <row r="433" spans="1:10">
      <c r="A433" s="25">
        <v>45157</v>
      </c>
      <c r="B433" t="s">
        <v>1698</v>
      </c>
      <c r="C433" t="s">
        <v>1682</v>
      </c>
      <c r="D433" t="s">
        <v>1683</v>
      </c>
      <c r="E433" t="s">
        <v>1679</v>
      </c>
      <c r="F433" t="s">
        <v>97</v>
      </c>
      <c r="G433" t="s">
        <v>1711</v>
      </c>
      <c r="H433">
        <v>14</v>
      </c>
      <c r="I433">
        <v>1729.16</v>
      </c>
      <c r="J433">
        <v>24208.240000000002</v>
      </c>
    </row>
    <row r="434" spans="1:10">
      <c r="A434" s="25">
        <v>45276</v>
      </c>
      <c r="B434" t="s">
        <v>1671</v>
      </c>
      <c r="C434" t="s">
        <v>1690</v>
      </c>
      <c r="D434" t="s">
        <v>1678</v>
      </c>
      <c r="E434" t="s">
        <v>1679</v>
      </c>
      <c r="F434" t="s">
        <v>114</v>
      </c>
      <c r="G434" t="s">
        <v>1712</v>
      </c>
      <c r="H434">
        <v>2</v>
      </c>
      <c r="I434">
        <v>2789.92</v>
      </c>
      <c r="J434">
        <v>5579.84</v>
      </c>
    </row>
    <row r="435" spans="1:10">
      <c r="A435" s="25">
        <v>45072</v>
      </c>
      <c r="B435" t="s">
        <v>1694</v>
      </c>
      <c r="C435" t="s">
        <v>1693</v>
      </c>
      <c r="D435" t="s">
        <v>1683</v>
      </c>
      <c r="E435" t="s">
        <v>1679</v>
      </c>
      <c r="F435" t="s">
        <v>97</v>
      </c>
      <c r="G435" t="s">
        <v>1685</v>
      </c>
      <c r="H435">
        <v>17</v>
      </c>
      <c r="I435">
        <v>3244.79</v>
      </c>
      <c r="J435">
        <v>55161.43</v>
      </c>
    </row>
    <row r="436" spans="1:10">
      <c r="A436" s="25">
        <v>44971</v>
      </c>
      <c r="B436" t="s">
        <v>1681</v>
      </c>
      <c r="C436" t="s">
        <v>1707</v>
      </c>
      <c r="D436" t="s">
        <v>1683</v>
      </c>
      <c r="E436" t="s">
        <v>1679</v>
      </c>
      <c r="F436" t="s">
        <v>114</v>
      </c>
      <c r="G436" t="s">
        <v>1680</v>
      </c>
      <c r="H436">
        <v>20</v>
      </c>
      <c r="I436">
        <v>2155.17</v>
      </c>
      <c r="J436">
        <v>43103.4</v>
      </c>
    </row>
    <row r="437" spans="1:10">
      <c r="A437" s="25">
        <v>45115</v>
      </c>
      <c r="B437" t="s">
        <v>1700</v>
      </c>
      <c r="C437" t="s">
        <v>1677</v>
      </c>
      <c r="D437" t="s">
        <v>1678</v>
      </c>
      <c r="E437" t="s">
        <v>1679</v>
      </c>
      <c r="F437" t="s">
        <v>1687</v>
      </c>
      <c r="G437" t="s">
        <v>1708</v>
      </c>
      <c r="H437">
        <v>13</v>
      </c>
      <c r="I437">
        <v>2526.1999999999998</v>
      </c>
      <c r="J437">
        <v>32840.6</v>
      </c>
    </row>
    <row r="438" spans="1:10">
      <c r="A438" s="25">
        <v>44950</v>
      </c>
      <c r="B438" t="s">
        <v>1694</v>
      </c>
      <c r="C438" t="s">
        <v>1684</v>
      </c>
      <c r="D438" t="s">
        <v>1678</v>
      </c>
      <c r="E438" t="s">
        <v>1679</v>
      </c>
      <c r="F438" t="s">
        <v>89</v>
      </c>
      <c r="G438" t="s">
        <v>1106</v>
      </c>
      <c r="H438">
        <v>11</v>
      </c>
      <c r="I438">
        <v>1995.21</v>
      </c>
      <c r="J438">
        <v>21947.31</v>
      </c>
    </row>
    <row r="439" spans="1:10">
      <c r="A439" s="25">
        <v>44968</v>
      </c>
      <c r="B439" t="s">
        <v>1700</v>
      </c>
      <c r="C439" t="s">
        <v>1695</v>
      </c>
      <c r="D439" t="s">
        <v>1696</v>
      </c>
      <c r="E439" t="s">
        <v>1674</v>
      </c>
      <c r="F439" t="s">
        <v>114</v>
      </c>
      <c r="G439" t="s">
        <v>1680</v>
      </c>
      <c r="H439">
        <v>4</v>
      </c>
      <c r="I439">
        <v>1139.74</v>
      </c>
      <c r="J439">
        <v>4558.96</v>
      </c>
    </row>
    <row r="440" spans="1:10">
      <c r="A440" s="25">
        <v>45137</v>
      </c>
      <c r="B440" t="s">
        <v>1705</v>
      </c>
      <c r="C440" t="s">
        <v>1706</v>
      </c>
      <c r="D440" t="s">
        <v>1702</v>
      </c>
      <c r="E440" t="s">
        <v>1703</v>
      </c>
      <c r="F440" t="s">
        <v>101</v>
      </c>
      <c r="G440" t="s">
        <v>1715</v>
      </c>
      <c r="H440">
        <v>4</v>
      </c>
      <c r="I440">
        <v>3015.93</v>
      </c>
      <c r="J440">
        <v>12063.72</v>
      </c>
    </row>
    <row r="441" spans="1:10">
      <c r="A441" s="25">
        <v>45026</v>
      </c>
      <c r="B441" t="s">
        <v>1700</v>
      </c>
      <c r="C441" t="s">
        <v>1690</v>
      </c>
      <c r="D441" t="s">
        <v>1678</v>
      </c>
      <c r="E441" t="s">
        <v>1679</v>
      </c>
      <c r="F441" t="s">
        <v>97</v>
      </c>
      <c r="G441" t="s">
        <v>1697</v>
      </c>
      <c r="H441">
        <v>4</v>
      </c>
      <c r="I441">
        <v>3831.39</v>
      </c>
      <c r="J441">
        <v>15325.56</v>
      </c>
    </row>
    <row r="442" spans="1:10">
      <c r="A442" s="25">
        <v>45077</v>
      </c>
      <c r="B442" t="s">
        <v>1671</v>
      </c>
      <c r="C442" t="s">
        <v>1135</v>
      </c>
      <c r="D442" t="s">
        <v>1673</v>
      </c>
      <c r="E442" t="s">
        <v>1674</v>
      </c>
      <c r="F442" t="s">
        <v>97</v>
      </c>
      <c r="G442" t="s">
        <v>1685</v>
      </c>
      <c r="H442">
        <v>7</v>
      </c>
      <c r="I442">
        <v>105.05</v>
      </c>
      <c r="J442">
        <v>735.35</v>
      </c>
    </row>
    <row r="443" spans="1:10">
      <c r="A443" s="25">
        <v>45110</v>
      </c>
      <c r="B443" t="s">
        <v>1676</v>
      </c>
      <c r="C443" t="s">
        <v>1695</v>
      </c>
      <c r="D443" t="s">
        <v>1696</v>
      </c>
      <c r="E443" t="s">
        <v>1674</v>
      </c>
      <c r="F443" t="s">
        <v>114</v>
      </c>
      <c r="G443" t="s">
        <v>1712</v>
      </c>
      <c r="H443">
        <v>11</v>
      </c>
      <c r="I443">
        <v>2416.1799999999998</v>
      </c>
      <c r="J443">
        <v>26577.98</v>
      </c>
    </row>
    <row r="444" spans="1:10">
      <c r="A444" s="25">
        <v>44941</v>
      </c>
      <c r="B444" t="s">
        <v>1692</v>
      </c>
      <c r="C444" t="s">
        <v>1695</v>
      </c>
      <c r="D444" t="s">
        <v>1696</v>
      </c>
      <c r="E444" t="s">
        <v>1674</v>
      </c>
      <c r="F444" t="s">
        <v>114</v>
      </c>
      <c r="G444" t="s">
        <v>1712</v>
      </c>
      <c r="H444">
        <v>1</v>
      </c>
      <c r="I444">
        <v>549.14</v>
      </c>
      <c r="J444">
        <v>549.14</v>
      </c>
    </row>
    <row r="445" spans="1:10">
      <c r="A445" s="25">
        <v>45076</v>
      </c>
      <c r="B445" t="s">
        <v>1692</v>
      </c>
      <c r="C445" t="s">
        <v>1684</v>
      </c>
      <c r="D445" t="s">
        <v>1678</v>
      </c>
      <c r="E445" t="s">
        <v>1679</v>
      </c>
      <c r="F445" t="s">
        <v>1687</v>
      </c>
      <c r="G445" t="s">
        <v>1688</v>
      </c>
      <c r="H445">
        <v>10</v>
      </c>
      <c r="I445">
        <v>3771.5</v>
      </c>
      <c r="J445">
        <v>37715</v>
      </c>
    </row>
    <row r="446" spans="1:10">
      <c r="A446" s="25">
        <v>45213</v>
      </c>
      <c r="B446" t="s">
        <v>1676</v>
      </c>
      <c r="C446" t="s">
        <v>1695</v>
      </c>
      <c r="D446" t="s">
        <v>1696</v>
      </c>
      <c r="E446" t="s">
        <v>1674</v>
      </c>
      <c r="F446" t="s">
        <v>101</v>
      </c>
      <c r="G446" t="s">
        <v>1715</v>
      </c>
      <c r="H446">
        <v>13</v>
      </c>
      <c r="I446">
        <v>956.49</v>
      </c>
      <c r="J446">
        <v>12434.37</v>
      </c>
    </row>
    <row r="447" spans="1:10">
      <c r="A447" s="25">
        <v>44956</v>
      </c>
      <c r="B447" t="s">
        <v>1681</v>
      </c>
      <c r="C447" t="s">
        <v>1682</v>
      </c>
      <c r="D447" t="s">
        <v>1683</v>
      </c>
      <c r="E447" t="s">
        <v>1679</v>
      </c>
      <c r="F447" t="s">
        <v>101</v>
      </c>
      <c r="G447" t="s">
        <v>1709</v>
      </c>
      <c r="H447">
        <v>19</v>
      </c>
      <c r="I447">
        <v>3575.92</v>
      </c>
      <c r="J447">
        <v>67942.48</v>
      </c>
    </row>
    <row r="448" spans="1:10">
      <c r="A448" s="25">
        <v>45095</v>
      </c>
      <c r="B448" t="s">
        <v>1700</v>
      </c>
      <c r="C448" t="s">
        <v>1137</v>
      </c>
      <c r="D448" t="s">
        <v>1696</v>
      </c>
      <c r="E448" t="s">
        <v>1674</v>
      </c>
      <c r="F448" t="s">
        <v>89</v>
      </c>
      <c r="G448" t="s">
        <v>1713</v>
      </c>
      <c r="H448">
        <v>8</v>
      </c>
      <c r="I448">
        <v>3971.12</v>
      </c>
      <c r="J448">
        <v>31768.959999999999</v>
      </c>
    </row>
    <row r="449" spans="1:10">
      <c r="A449" s="25">
        <v>45160</v>
      </c>
      <c r="B449" t="s">
        <v>1689</v>
      </c>
      <c r="C449" t="s">
        <v>1684</v>
      </c>
      <c r="D449" t="s">
        <v>1678</v>
      </c>
      <c r="E449" t="s">
        <v>1679</v>
      </c>
      <c r="F449" t="s">
        <v>97</v>
      </c>
      <c r="G449" t="s">
        <v>1699</v>
      </c>
      <c r="H449">
        <v>14</v>
      </c>
      <c r="I449">
        <v>3631.62</v>
      </c>
      <c r="J449">
        <v>50842.68</v>
      </c>
    </row>
    <row r="450" spans="1:10">
      <c r="A450" s="25">
        <v>45047</v>
      </c>
      <c r="B450" t="s">
        <v>1698</v>
      </c>
      <c r="C450" t="s">
        <v>1672</v>
      </c>
      <c r="D450" t="s">
        <v>1673</v>
      </c>
      <c r="E450" t="s">
        <v>1674</v>
      </c>
      <c r="F450" t="s">
        <v>101</v>
      </c>
      <c r="G450" t="s">
        <v>1709</v>
      </c>
      <c r="H450">
        <v>18</v>
      </c>
      <c r="I450">
        <v>2589.64</v>
      </c>
      <c r="J450">
        <v>46613.52</v>
      </c>
    </row>
    <row r="451" spans="1:10">
      <c r="A451" s="25">
        <v>45173</v>
      </c>
      <c r="B451" t="s">
        <v>1689</v>
      </c>
      <c r="C451" t="s">
        <v>1137</v>
      </c>
      <c r="D451" t="s">
        <v>1696</v>
      </c>
      <c r="E451" t="s">
        <v>1674</v>
      </c>
      <c r="F451" t="s">
        <v>1687</v>
      </c>
      <c r="G451" t="s">
        <v>1708</v>
      </c>
      <c r="H451">
        <v>2</v>
      </c>
      <c r="I451">
        <v>2713.34</v>
      </c>
      <c r="J451">
        <v>5426.68</v>
      </c>
    </row>
    <row r="452" spans="1:10">
      <c r="A452" s="25">
        <v>45259</v>
      </c>
      <c r="B452" t="s">
        <v>1692</v>
      </c>
      <c r="C452" t="s">
        <v>1682</v>
      </c>
      <c r="D452" t="s">
        <v>1683</v>
      </c>
      <c r="E452" t="s">
        <v>1679</v>
      </c>
      <c r="F452" t="s">
        <v>114</v>
      </c>
      <c r="G452" t="s">
        <v>1680</v>
      </c>
      <c r="H452">
        <v>17</v>
      </c>
      <c r="I452">
        <v>1294.56</v>
      </c>
      <c r="J452">
        <v>22007.52</v>
      </c>
    </row>
    <row r="453" spans="1:10">
      <c r="A453" s="25">
        <v>45229</v>
      </c>
      <c r="B453" t="s">
        <v>1689</v>
      </c>
      <c r="C453" t="s">
        <v>1716</v>
      </c>
      <c r="D453" t="s">
        <v>1702</v>
      </c>
      <c r="E453" t="s">
        <v>1703</v>
      </c>
      <c r="F453" t="s">
        <v>114</v>
      </c>
      <c r="G453" t="s">
        <v>1680</v>
      </c>
      <c r="H453">
        <v>8</v>
      </c>
      <c r="I453">
        <v>1171.53</v>
      </c>
      <c r="J453">
        <v>9372.24</v>
      </c>
    </row>
    <row r="454" spans="1:10">
      <c r="A454" s="25">
        <v>44943</v>
      </c>
      <c r="B454" t="s">
        <v>1698</v>
      </c>
      <c r="C454" t="s">
        <v>1701</v>
      </c>
      <c r="D454" t="s">
        <v>1702</v>
      </c>
      <c r="E454" t="s">
        <v>1703</v>
      </c>
      <c r="F454" t="s">
        <v>97</v>
      </c>
      <c r="G454" t="s">
        <v>1711</v>
      </c>
      <c r="H454">
        <v>15</v>
      </c>
      <c r="I454">
        <v>4060.63</v>
      </c>
      <c r="J454">
        <v>60909.45</v>
      </c>
    </row>
    <row r="455" spans="1:10">
      <c r="A455" s="25">
        <v>45028</v>
      </c>
      <c r="B455" t="s">
        <v>1692</v>
      </c>
      <c r="C455" t="s">
        <v>1672</v>
      </c>
      <c r="D455" t="s">
        <v>1673</v>
      </c>
      <c r="E455" t="s">
        <v>1674</v>
      </c>
      <c r="F455" t="s">
        <v>1687</v>
      </c>
      <c r="G455" t="s">
        <v>1688</v>
      </c>
      <c r="H455">
        <v>4</v>
      </c>
      <c r="I455">
        <v>442.23</v>
      </c>
      <c r="J455">
        <v>1768.92</v>
      </c>
    </row>
    <row r="456" spans="1:10">
      <c r="A456" s="25">
        <v>45260</v>
      </c>
      <c r="B456" t="s">
        <v>1698</v>
      </c>
      <c r="C456" t="s">
        <v>1672</v>
      </c>
      <c r="D456" t="s">
        <v>1673</v>
      </c>
      <c r="E456" t="s">
        <v>1674</v>
      </c>
      <c r="F456" t="s">
        <v>114</v>
      </c>
      <c r="G456" t="s">
        <v>1691</v>
      </c>
      <c r="H456">
        <v>5</v>
      </c>
      <c r="I456">
        <v>3725.36</v>
      </c>
      <c r="J456">
        <v>18626.8</v>
      </c>
    </row>
    <row r="457" spans="1:10">
      <c r="A457" s="25">
        <v>44940</v>
      </c>
      <c r="B457" t="s">
        <v>1698</v>
      </c>
      <c r="C457" t="s">
        <v>1695</v>
      </c>
      <c r="D457" t="s">
        <v>1696</v>
      </c>
      <c r="E457" t="s">
        <v>1674</v>
      </c>
      <c r="F457" t="s">
        <v>97</v>
      </c>
      <c r="G457" t="s">
        <v>1685</v>
      </c>
      <c r="H457">
        <v>20</v>
      </c>
      <c r="I457">
        <v>2974.89</v>
      </c>
      <c r="J457">
        <v>59497.8</v>
      </c>
    </row>
    <row r="458" spans="1:10">
      <c r="A458" s="25">
        <v>45110</v>
      </c>
      <c r="B458" t="s">
        <v>1698</v>
      </c>
      <c r="C458" t="s">
        <v>1684</v>
      </c>
      <c r="D458" t="s">
        <v>1678</v>
      </c>
      <c r="E458" t="s">
        <v>1679</v>
      </c>
      <c r="F458" t="s">
        <v>97</v>
      </c>
      <c r="G458" t="s">
        <v>1711</v>
      </c>
      <c r="H458">
        <v>1</v>
      </c>
      <c r="I458">
        <v>1717.6</v>
      </c>
      <c r="J458">
        <v>1717.6</v>
      </c>
    </row>
    <row r="459" spans="1:10">
      <c r="A459" s="25">
        <v>44991</v>
      </c>
      <c r="B459" t="s">
        <v>1694</v>
      </c>
      <c r="C459" t="s">
        <v>1716</v>
      </c>
      <c r="D459" t="s">
        <v>1702</v>
      </c>
      <c r="E459" t="s">
        <v>1703</v>
      </c>
      <c r="F459" t="s">
        <v>101</v>
      </c>
      <c r="G459" t="s">
        <v>1719</v>
      </c>
      <c r="H459">
        <v>5</v>
      </c>
      <c r="I459">
        <v>2849.56</v>
      </c>
      <c r="J459">
        <v>14247.8</v>
      </c>
    </row>
    <row r="460" spans="1:10">
      <c r="A460" s="25">
        <v>45190</v>
      </c>
      <c r="B460" t="s">
        <v>1671</v>
      </c>
      <c r="C460" t="s">
        <v>1137</v>
      </c>
      <c r="D460" t="s">
        <v>1696</v>
      </c>
      <c r="E460" t="s">
        <v>1674</v>
      </c>
      <c r="F460" t="s">
        <v>114</v>
      </c>
      <c r="G460" t="s">
        <v>1680</v>
      </c>
      <c r="H460">
        <v>18</v>
      </c>
      <c r="I460">
        <v>4150.7700000000004</v>
      </c>
      <c r="J460">
        <v>74713.86</v>
      </c>
    </row>
    <row r="461" spans="1:10">
      <c r="A461" s="25">
        <v>45134</v>
      </c>
      <c r="B461" t="s">
        <v>1694</v>
      </c>
      <c r="C461" t="s">
        <v>1136</v>
      </c>
      <c r="D461" t="s">
        <v>1673</v>
      </c>
      <c r="E461" t="s">
        <v>1674</v>
      </c>
      <c r="F461" t="s">
        <v>114</v>
      </c>
      <c r="G461" t="s">
        <v>1718</v>
      </c>
      <c r="H461">
        <v>18</v>
      </c>
      <c r="I461">
        <v>2490.14</v>
      </c>
      <c r="J461">
        <v>44822.52</v>
      </c>
    </row>
    <row r="462" spans="1:10">
      <c r="A462" s="25">
        <v>44945</v>
      </c>
      <c r="B462" t="s">
        <v>1694</v>
      </c>
      <c r="C462" t="s">
        <v>1706</v>
      </c>
      <c r="D462" t="s">
        <v>1702</v>
      </c>
      <c r="E462" t="s">
        <v>1703</v>
      </c>
      <c r="F462" t="s">
        <v>114</v>
      </c>
      <c r="G462" t="s">
        <v>1680</v>
      </c>
      <c r="H462">
        <v>17</v>
      </c>
      <c r="I462">
        <v>500.54</v>
      </c>
      <c r="J462">
        <v>8509.18</v>
      </c>
    </row>
    <row r="463" spans="1:10">
      <c r="A463" s="25">
        <v>45091</v>
      </c>
      <c r="B463" t="s">
        <v>1705</v>
      </c>
      <c r="C463" t="s">
        <v>1701</v>
      </c>
      <c r="D463" t="s">
        <v>1702</v>
      </c>
      <c r="E463" t="s">
        <v>1703</v>
      </c>
      <c r="F463" t="s">
        <v>89</v>
      </c>
      <c r="G463" t="s">
        <v>1713</v>
      </c>
      <c r="H463">
        <v>19</v>
      </c>
      <c r="I463">
        <v>1067.94</v>
      </c>
      <c r="J463">
        <v>20290.86</v>
      </c>
    </row>
    <row r="464" spans="1:10">
      <c r="A464" s="25">
        <v>45244</v>
      </c>
      <c r="B464" t="s">
        <v>1705</v>
      </c>
      <c r="C464" t="s">
        <v>1707</v>
      </c>
      <c r="D464" t="s">
        <v>1683</v>
      </c>
      <c r="E464" t="s">
        <v>1679</v>
      </c>
      <c r="F464" t="s">
        <v>1687</v>
      </c>
      <c r="G464" t="s">
        <v>1708</v>
      </c>
      <c r="H464">
        <v>7</v>
      </c>
      <c r="I464">
        <v>2264.87</v>
      </c>
      <c r="J464">
        <v>15854.09</v>
      </c>
    </row>
    <row r="465" spans="1:10">
      <c r="A465" s="25">
        <v>44969</v>
      </c>
      <c r="B465" t="s">
        <v>1676</v>
      </c>
      <c r="C465" t="s">
        <v>1706</v>
      </c>
      <c r="D465" t="s">
        <v>1702</v>
      </c>
      <c r="E465" t="s">
        <v>1703</v>
      </c>
      <c r="F465" t="s">
        <v>1687</v>
      </c>
      <c r="G465" t="s">
        <v>1704</v>
      </c>
      <c r="H465">
        <v>18</v>
      </c>
      <c r="I465">
        <v>2584.0700000000002</v>
      </c>
      <c r="J465">
        <v>46513.26</v>
      </c>
    </row>
    <row r="466" spans="1:10">
      <c r="A466" s="25">
        <v>45091</v>
      </c>
      <c r="B466" t="s">
        <v>1705</v>
      </c>
      <c r="C466" t="s">
        <v>1682</v>
      </c>
      <c r="D466" t="s">
        <v>1683</v>
      </c>
      <c r="E466" t="s">
        <v>1679</v>
      </c>
      <c r="F466" t="s">
        <v>114</v>
      </c>
      <c r="G466" t="s">
        <v>1712</v>
      </c>
      <c r="H466">
        <v>13</v>
      </c>
      <c r="I466">
        <v>4621.13</v>
      </c>
      <c r="J466">
        <v>60074.69</v>
      </c>
    </row>
    <row r="467" spans="1:10">
      <c r="A467" s="25">
        <v>45181</v>
      </c>
      <c r="B467" t="s">
        <v>1676</v>
      </c>
      <c r="C467" t="s">
        <v>1706</v>
      </c>
      <c r="D467" t="s">
        <v>1702</v>
      </c>
      <c r="E467" t="s">
        <v>1703</v>
      </c>
      <c r="F467" t="s">
        <v>1687</v>
      </c>
      <c r="G467" t="s">
        <v>1688</v>
      </c>
      <c r="H467">
        <v>16</v>
      </c>
      <c r="I467">
        <v>4826.2</v>
      </c>
      <c r="J467">
        <v>77219.199999999997</v>
      </c>
    </row>
    <row r="468" spans="1:10">
      <c r="A468" s="25">
        <v>45082</v>
      </c>
      <c r="B468" t="s">
        <v>1689</v>
      </c>
      <c r="C468" t="s">
        <v>1693</v>
      </c>
      <c r="D468" t="s">
        <v>1683</v>
      </c>
      <c r="E468" t="s">
        <v>1679</v>
      </c>
      <c r="F468" t="s">
        <v>89</v>
      </c>
      <c r="G468" t="s">
        <v>1106</v>
      </c>
      <c r="H468">
        <v>5</v>
      </c>
      <c r="I468">
        <v>4773.5600000000004</v>
      </c>
      <c r="J468">
        <v>23867.8</v>
      </c>
    </row>
    <row r="469" spans="1:10">
      <c r="A469" s="25">
        <v>45075</v>
      </c>
      <c r="B469" t="s">
        <v>1705</v>
      </c>
      <c r="C469" t="s">
        <v>1684</v>
      </c>
      <c r="D469" t="s">
        <v>1678</v>
      </c>
      <c r="E469" t="s">
        <v>1679</v>
      </c>
      <c r="F469" t="s">
        <v>1687</v>
      </c>
      <c r="G469" t="s">
        <v>1708</v>
      </c>
      <c r="H469">
        <v>9</v>
      </c>
      <c r="I469">
        <v>3220.44</v>
      </c>
      <c r="J469">
        <v>28983.96</v>
      </c>
    </row>
    <row r="470" spans="1:10">
      <c r="A470" s="25">
        <v>44953</v>
      </c>
      <c r="B470" t="s">
        <v>1705</v>
      </c>
      <c r="C470" t="s">
        <v>1690</v>
      </c>
      <c r="D470" t="s">
        <v>1678</v>
      </c>
      <c r="E470" t="s">
        <v>1679</v>
      </c>
      <c r="F470" t="s">
        <v>1687</v>
      </c>
      <c r="G470" t="s">
        <v>1704</v>
      </c>
      <c r="H470">
        <v>15</v>
      </c>
      <c r="I470">
        <v>4945.79</v>
      </c>
      <c r="J470">
        <v>74186.850000000006</v>
      </c>
    </row>
    <row r="471" spans="1:10">
      <c r="A471" s="25">
        <v>44965</v>
      </c>
      <c r="B471" t="s">
        <v>1686</v>
      </c>
      <c r="C471" t="s">
        <v>1677</v>
      </c>
      <c r="D471" t="s">
        <v>1678</v>
      </c>
      <c r="E471" t="s">
        <v>1679</v>
      </c>
      <c r="F471" t="s">
        <v>97</v>
      </c>
      <c r="G471" t="s">
        <v>1711</v>
      </c>
      <c r="H471">
        <v>14</v>
      </c>
      <c r="I471">
        <v>2355.56</v>
      </c>
      <c r="J471">
        <v>32977.839999999997</v>
      </c>
    </row>
    <row r="472" spans="1:10">
      <c r="A472" s="25">
        <v>45277</v>
      </c>
      <c r="B472" t="s">
        <v>1676</v>
      </c>
      <c r="C472" t="s">
        <v>1695</v>
      </c>
      <c r="D472" t="s">
        <v>1696</v>
      </c>
      <c r="E472" t="s">
        <v>1674</v>
      </c>
      <c r="F472" t="s">
        <v>97</v>
      </c>
      <c r="G472" t="s">
        <v>1697</v>
      </c>
      <c r="H472">
        <v>4</v>
      </c>
      <c r="I472">
        <v>4412.41</v>
      </c>
      <c r="J472">
        <v>17649.64</v>
      </c>
    </row>
    <row r="473" spans="1:10">
      <c r="A473" s="25">
        <v>45011</v>
      </c>
      <c r="B473" t="s">
        <v>1698</v>
      </c>
      <c r="C473" t="s">
        <v>1701</v>
      </c>
      <c r="D473" t="s">
        <v>1702</v>
      </c>
      <c r="E473" t="s">
        <v>1703</v>
      </c>
      <c r="F473" t="s">
        <v>114</v>
      </c>
      <c r="G473" t="s">
        <v>1712</v>
      </c>
      <c r="H473">
        <v>5</v>
      </c>
      <c r="I473">
        <v>355.6</v>
      </c>
      <c r="J473">
        <v>1778</v>
      </c>
    </row>
    <row r="474" spans="1:10">
      <c r="A474" s="25">
        <v>45168</v>
      </c>
      <c r="B474" t="s">
        <v>1686</v>
      </c>
      <c r="C474" t="s">
        <v>1672</v>
      </c>
      <c r="D474" t="s">
        <v>1673</v>
      </c>
      <c r="E474" t="s">
        <v>1674</v>
      </c>
      <c r="F474" t="s">
        <v>89</v>
      </c>
      <c r="G474" t="s">
        <v>1105</v>
      </c>
      <c r="H474">
        <v>12</v>
      </c>
      <c r="I474">
        <v>4405.1899999999996</v>
      </c>
      <c r="J474">
        <v>52862.28</v>
      </c>
    </row>
    <row r="475" spans="1:10">
      <c r="A475" s="25">
        <v>45123</v>
      </c>
      <c r="B475" t="s">
        <v>1676</v>
      </c>
      <c r="C475" t="s">
        <v>1716</v>
      </c>
      <c r="D475" t="s">
        <v>1702</v>
      </c>
      <c r="E475" t="s">
        <v>1703</v>
      </c>
      <c r="F475" t="s">
        <v>1687</v>
      </c>
      <c r="G475" t="s">
        <v>1704</v>
      </c>
      <c r="H475">
        <v>9</v>
      </c>
      <c r="I475">
        <v>877.89</v>
      </c>
      <c r="J475">
        <v>7901.01</v>
      </c>
    </row>
    <row r="476" spans="1:10">
      <c r="A476" s="25">
        <v>45195</v>
      </c>
      <c r="B476" t="s">
        <v>1676</v>
      </c>
      <c r="C476" t="s">
        <v>1717</v>
      </c>
      <c r="D476" t="s">
        <v>1696</v>
      </c>
      <c r="E476" t="s">
        <v>1674</v>
      </c>
      <c r="F476" t="s">
        <v>97</v>
      </c>
      <c r="G476" t="s">
        <v>1697</v>
      </c>
      <c r="H476">
        <v>1</v>
      </c>
      <c r="I476">
        <v>2970.66</v>
      </c>
      <c r="J476">
        <v>2970.66</v>
      </c>
    </row>
    <row r="477" spans="1:10">
      <c r="A477" s="25">
        <v>44940</v>
      </c>
      <c r="B477" t="s">
        <v>1694</v>
      </c>
      <c r="C477" t="s">
        <v>1672</v>
      </c>
      <c r="D477" t="s">
        <v>1673</v>
      </c>
      <c r="E477" t="s">
        <v>1674</v>
      </c>
      <c r="F477" t="s">
        <v>101</v>
      </c>
      <c r="G477" t="s">
        <v>1715</v>
      </c>
      <c r="H477">
        <v>15</v>
      </c>
      <c r="I477">
        <v>3579.98</v>
      </c>
      <c r="J477">
        <v>53699.7</v>
      </c>
    </row>
    <row r="478" spans="1:10">
      <c r="A478" s="25">
        <v>45204</v>
      </c>
      <c r="B478" t="s">
        <v>1705</v>
      </c>
      <c r="C478" t="s">
        <v>1717</v>
      </c>
      <c r="D478" t="s">
        <v>1696</v>
      </c>
      <c r="E478" t="s">
        <v>1674</v>
      </c>
      <c r="F478" t="s">
        <v>89</v>
      </c>
      <c r="G478" t="s">
        <v>1106</v>
      </c>
      <c r="H478">
        <v>9</v>
      </c>
      <c r="I478">
        <v>1605.02</v>
      </c>
      <c r="J478">
        <v>14445.18</v>
      </c>
    </row>
    <row r="479" spans="1:10">
      <c r="A479" s="25">
        <v>45230</v>
      </c>
      <c r="B479" t="s">
        <v>1671</v>
      </c>
      <c r="C479" t="s">
        <v>1690</v>
      </c>
      <c r="D479" t="s">
        <v>1678</v>
      </c>
      <c r="E479" t="s">
        <v>1679</v>
      </c>
      <c r="F479" t="s">
        <v>89</v>
      </c>
      <c r="G479" t="s">
        <v>1105</v>
      </c>
      <c r="H479">
        <v>12</v>
      </c>
      <c r="I479">
        <v>1982.64</v>
      </c>
      <c r="J479">
        <v>23791.68</v>
      </c>
    </row>
    <row r="480" spans="1:10">
      <c r="A480" s="25">
        <v>45034</v>
      </c>
      <c r="B480" t="s">
        <v>1700</v>
      </c>
      <c r="C480" t="s">
        <v>1717</v>
      </c>
      <c r="D480" t="s">
        <v>1696</v>
      </c>
      <c r="E480" t="s">
        <v>1674</v>
      </c>
      <c r="F480" t="s">
        <v>114</v>
      </c>
      <c r="G480" t="s">
        <v>1718</v>
      </c>
      <c r="H480">
        <v>20</v>
      </c>
      <c r="I480">
        <v>3195.53</v>
      </c>
      <c r="J480">
        <v>63910.6</v>
      </c>
    </row>
    <row r="481" spans="1:10">
      <c r="A481" s="25">
        <v>45116</v>
      </c>
      <c r="B481" t="s">
        <v>1705</v>
      </c>
      <c r="C481" t="s">
        <v>1695</v>
      </c>
      <c r="D481" t="s">
        <v>1696</v>
      </c>
      <c r="E481" t="s">
        <v>1674</v>
      </c>
      <c r="F481" t="s">
        <v>1687</v>
      </c>
      <c r="G481" t="s">
        <v>1708</v>
      </c>
      <c r="H481">
        <v>20</v>
      </c>
      <c r="I481">
        <v>1580.59</v>
      </c>
      <c r="J481">
        <v>31611.8</v>
      </c>
    </row>
    <row r="482" spans="1:10">
      <c r="A482" s="25">
        <v>45224</v>
      </c>
      <c r="B482" t="s">
        <v>1686</v>
      </c>
      <c r="C482" t="s">
        <v>1707</v>
      </c>
      <c r="D482" t="s">
        <v>1683</v>
      </c>
      <c r="E482" t="s">
        <v>1679</v>
      </c>
      <c r="F482" t="s">
        <v>89</v>
      </c>
      <c r="G482" t="s">
        <v>1713</v>
      </c>
      <c r="H482">
        <v>6</v>
      </c>
      <c r="I482">
        <v>809.57</v>
      </c>
      <c r="J482">
        <v>4857.42</v>
      </c>
    </row>
    <row r="483" spans="1:10">
      <c r="A483" s="25">
        <v>44978</v>
      </c>
      <c r="B483" t="s">
        <v>1694</v>
      </c>
      <c r="C483" t="s">
        <v>1136</v>
      </c>
      <c r="D483" t="s">
        <v>1673</v>
      </c>
      <c r="E483" t="s">
        <v>1674</v>
      </c>
      <c r="F483" t="s">
        <v>114</v>
      </c>
      <c r="G483" t="s">
        <v>1691</v>
      </c>
      <c r="H483">
        <v>6</v>
      </c>
      <c r="I483">
        <v>1221.52</v>
      </c>
      <c r="J483">
        <v>7329.12</v>
      </c>
    </row>
    <row r="484" spans="1:10">
      <c r="A484" s="25">
        <v>45143</v>
      </c>
      <c r="B484" t="s">
        <v>1681</v>
      </c>
      <c r="C484" t="s">
        <v>1693</v>
      </c>
      <c r="D484" t="s">
        <v>1683</v>
      </c>
      <c r="E484" t="s">
        <v>1679</v>
      </c>
      <c r="F484" t="s">
        <v>101</v>
      </c>
      <c r="G484" t="s">
        <v>1675</v>
      </c>
      <c r="H484">
        <v>4</v>
      </c>
      <c r="I484">
        <v>2457.5</v>
      </c>
      <c r="J484">
        <v>9830</v>
      </c>
    </row>
    <row r="485" spans="1:10">
      <c r="A485" s="25">
        <v>45145</v>
      </c>
      <c r="B485" t="s">
        <v>1681</v>
      </c>
      <c r="C485" t="s">
        <v>1707</v>
      </c>
      <c r="D485" t="s">
        <v>1683</v>
      </c>
      <c r="E485" t="s">
        <v>1679</v>
      </c>
      <c r="F485" t="s">
        <v>114</v>
      </c>
      <c r="G485" t="s">
        <v>1718</v>
      </c>
      <c r="H485">
        <v>12</v>
      </c>
      <c r="I485">
        <v>2820.88</v>
      </c>
      <c r="J485">
        <v>33850.559999999998</v>
      </c>
    </row>
    <row r="486" spans="1:10">
      <c r="A486" s="25">
        <v>45054</v>
      </c>
      <c r="B486" t="s">
        <v>1700</v>
      </c>
      <c r="C486" t="s">
        <v>1135</v>
      </c>
      <c r="D486" t="s">
        <v>1673</v>
      </c>
      <c r="E486" t="s">
        <v>1674</v>
      </c>
      <c r="F486" t="s">
        <v>114</v>
      </c>
      <c r="G486" t="s">
        <v>1680</v>
      </c>
      <c r="H486">
        <v>10</v>
      </c>
      <c r="I486">
        <v>1512.64</v>
      </c>
      <c r="J486">
        <v>15126.4</v>
      </c>
    </row>
    <row r="487" spans="1:10">
      <c r="A487" s="25">
        <v>45034</v>
      </c>
      <c r="B487" t="s">
        <v>1692</v>
      </c>
      <c r="C487" t="s">
        <v>1701</v>
      </c>
      <c r="D487" t="s">
        <v>1702</v>
      </c>
      <c r="E487" t="s">
        <v>1703</v>
      </c>
      <c r="F487" t="s">
        <v>1687</v>
      </c>
      <c r="G487" t="s">
        <v>1688</v>
      </c>
      <c r="H487">
        <v>5</v>
      </c>
      <c r="I487">
        <v>3199.14</v>
      </c>
      <c r="J487">
        <v>15995.7</v>
      </c>
    </row>
    <row r="488" spans="1:10">
      <c r="A488" s="25">
        <v>45251</v>
      </c>
      <c r="B488" t="s">
        <v>1671</v>
      </c>
      <c r="C488" t="s">
        <v>1695</v>
      </c>
      <c r="D488" t="s">
        <v>1696</v>
      </c>
      <c r="E488" t="s">
        <v>1674</v>
      </c>
      <c r="F488" t="s">
        <v>89</v>
      </c>
      <c r="G488" t="s">
        <v>1714</v>
      </c>
      <c r="H488">
        <v>11</v>
      </c>
      <c r="I488">
        <v>4315</v>
      </c>
      <c r="J488">
        <v>47465</v>
      </c>
    </row>
    <row r="489" spans="1:10">
      <c r="A489" s="25">
        <v>45235</v>
      </c>
      <c r="B489" t="s">
        <v>1676</v>
      </c>
      <c r="C489" t="s">
        <v>1672</v>
      </c>
      <c r="D489" t="s">
        <v>1673</v>
      </c>
      <c r="E489" t="s">
        <v>1674</v>
      </c>
      <c r="F489" t="s">
        <v>1687</v>
      </c>
      <c r="G489" t="s">
        <v>1708</v>
      </c>
      <c r="H489">
        <v>9</v>
      </c>
      <c r="I489">
        <v>2118.17</v>
      </c>
      <c r="J489">
        <v>19063.53</v>
      </c>
    </row>
    <row r="490" spans="1:10">
      <c r="A490" s="25">
        <v>44930</v>
      </c>
      <c r="B490" t="s">
        <v>1705</v>
      </c>
      <c r="C490" t="s">
        <v>1701</v>
      </c>
      <c r="D490" t="s">
        <v>1702</v>
      </c>
      <c r="E490" t="s">
        <v>1703</v>
      </c>
      <c r="F490" t="s">
        <v>114</v>
      </c>
      <c r="G490" t="s">
        <v>1691</v>
      </c>
      <c r="H490">
        <v>18</v>
      </c>
      <c r="I490">
        <v>1042.99</v>
      </c>
      <c r="J490">
        <v>18773.82</v>
      </c>
    </row>
    <row r="491" spans="1:10">
      <c r="A491" s="25">
        <v>45247</v>
      </c>
      <c r="B491" t="s">
        <v>1676</v>
      </c>
      <c r="C491" t="s">
        <v>1706</v>
      </c>
      <c r="D491" t="s">
        <v>1702</v>
      </c>
      <c r="E491" t="s">
        <v>1703</v>
      </c>
      <c r="F491" t="s">
        <v>89</v>
      </c>
      <c r="G491" t="s">
        <v>1714</v>
      </c>
      <c r="H491">
        <v>6</v>
      </c>
      <c r="I491">
        <v>4707.38</v>
      </c>
      <c r="J491">
        <v>28244.28</v>
      </c>
    </row>
    <row r="492" spans="1:10">
      <c r="A492" s="25">
        <v>45246</v>
      </c>
      <c r="B492" t="s">
        <v>1689</v>
      </c>
      <c r="C492" t="s">
        <v>1672</v>
      </c>
      <c r="D492" t="s">
        <v>1673</v>
      </c>
      <c r="E492" t="s">
        <v>1674</v>
      </c>
      <c r="F492" t="s">
        <v>1687</v>
      </c>
      <c r="G492" t="s">
        <v>1708</v>
      </c>
      <c r="H492">
        <v>8</v>
      </c>
      <c r="I492">
        <v>360.87</v>
      </c>
      <c r="J492">
        <v>2886.96</v>
      </c>
    </row>
    <row r="493" spans="1:10">
      <c r="A493" s="25">
        <v>44965</v>
      </c>
      <c r="B493" t="s">
        <v>1686</v>
      </c>
      <c r="C493" t="s">
        <v>1690</v>
      </c>
      <c r="D493" t="s">
        <v>1678</v>
      </c>
      <c r="E493" t="s">
        <v>1679</v>
      </c>
      <c r="F493" t="s">
        <v>114</v>
      </c>
      <c r="G493" t="s">
        <v>1712</v>
      </c>
      <c r="H493">
        <v>12</v>
      </c>
      <c r="I493">
        <v>2519.65</v>
      </c>
      <c r="J493">
        <v>30235.8</v>
      </c>
    </row>
    <row r="494" spans="1:10">
      <c r="A494" s="25">
        <v>45116</v>
      </c>
      <c r="B494" t="s">
        <v>1681</v>
      </c>
      <c r="C494" t="s">
        <v>1701</v>
      </c>
      <c r="D494" t="s">
        <v>1702</v>
      </c>
      <c r="E494" t="s">
        <v>1703</v>
      </c>
      <c r="F494" t="s">
        <v>114</v>
      </c>
      <c r="G494" t="s">
        <v>1691</v>
      </c>
      <c r="H494">
        <v>7</v>
      </c>
      <c r="I494">
        <v>2861.67</v>
      </c>
      <c r="J494">
        <v>20031.689999999999</v>
      </c>
    </row>
    <row r="495" spans="1:10">
      <c r="A495" s="25">
        <v>45104</v>
      </c>
      <c r="B495" t="s">
        <v>1681</v>
      </c>
      <c r="C495" t="s">
        <v>1716</v>
      </c>
      <c r="D495" t="s">
        <v>1702</v>
      </c>
      <c r="E495" t="s">
        <v>1703</v>
      </c>
      <c r="F495" t="s">
        <v>1687</v>
      </c>
      <c r="G495" t="s">
        <v>1704</v>
      </c>
      <c r="H495">
        <v>11</v>
      </c>
      <c r="I495">
        <v>4896.83</v>
      </c>
      <c r="J495">
        <v>53865.13</v>
      </c>
    </row>
    <row r="496" spans="1:10">
      <c r="A496" s="25">
        <v>45091</v>
      </c>
      <c r="B496" t="s">
        <v>1676</v>
      </c>
      <c r="C496" t="s">
        <v>1695</v>
      </c>
      <c r="D496" t="s">
        <v>1696</v>
      </c>
      <c r="E496" t="s">
        <v>1674</v>
      </c>
      <c r="F496" t="s">
        <v>89</v>
      </c>
      <c r="G496" t="s">
        <v>1106</v>
      </c>
      <c r="H496">
        <v>15</v>
      </c>
      <c r="I496">
        <v>4180.6099999999997</v>
      </c>
      <c r="J496">
        <v>62709.15</v>
      </c>
    </row>
    <row r="497" spans="1:10">
      <c r="A497" s="25">
        <v>45271</v>
      </c>
      <c r="B497" t="s">
        <v>1692</v>
      </c>
      <c r="C497" t="s">
        <v>1706</v>
      </c>
      <c r="D497" t="s">
        <v>1702</v>
      </c>
      <c r="E497" t="s">
        <v>1703</v>
      </c>
      <c r="F497" t="s">
        <v>1687</v>
      </c>
      <c r="G497" t="s">
        <v>1688</v>
      </c>
      <c r="H497">
        <v>2</v>
      </c>
      <c r="I497">
        <v>3747.71</v>
      </c>
      <c r="J497">
        <v>7495.42</v>
      </c>
    </row>
    <row r="498" spans="1:10">
      <c r="A498" s="25">
        <v>45153</v>
      </c>
      <c r="B498" t="s">
        <v>1700</v>
      </c>
      <c r="C498" t="s">
        <v>1706</v>
      </c>
      <c r="D498" t="s">
        <v>1702</v>
      </c>
      <c r="E498" t="s">
        <v>1703</v>
      </c>
      <c r="F498" t="s">
        <v>114</v>
      </c>
      <c r="G498" t="s">
        <v>1712</v>
      </c>
      <c r="H498">
        <v>3</v>
      </c>
      <c r="I498">
        <v>2792.38</v>
      </c>
      <c r="J498">
        <v>8377.14</v>
      </c>
    </row>
    <row r="499" spans="1:10">
      <c r="A499" s="25">
        <v>45264</v>
      </c>
      <c r="B499" t="s">
        <v>1689</v>
      </c>
      <c r="C499" t="s">
        <v>1135</v>
      </c>
      <c r="D499" t="s">
        <v>1673</v>
      </c>
      <c r="E499" t="s">
        <v>1674</v>
      </c>
      <c r="F499" t="s">
        <v>89</v>
      </c>
      <c r="G499" t="s">
        <v>1106</v>
      </c>
      <c r="H499">
        <v>17</v>
      </c>
      <c r="I499">
        <v>683.31</v>
      </c>
      <c r="J499">
        <v>11616.27</v>
      </c>
    </row>
    <row r="500" spans="1:10">
      <c r="A500" s="25">
        <v>44929</v>
      </c>
      <c r="B500" t="s">
        <v>1692</v>
      </c>
      <c r="C500" t="s">
        <v>1716</v>
      </c>
      <c r="D500" t="s">
        <v>1702</v>
      </c>
      <c r="E500" t="s">
        <v>1703</v>
      </c>
      <c r="F500" t="s">
        <v>97</v>
      </c>
      <c r="G500" t="s">
        <v>1699</v>
      </c>
      <c r="H500">
        <v>20</v>
      </c>
      <c r="I500">
        <v>3463.6</v>
      </c>
      <c r="J500">
        <v>69272</v>
      </c>
    </row>
    <row r="501" spans="1:10">
      <c r="A501" s="25">
        <v>45183</v>
      </c>
      <c r="B501" t="s">
        <v>1686</v>
      </c>
      <c r="C501" t="s">
        <v>1693</v>
      </c>
      <c r="D501" t="s">
        <v>1683</v>
      </c>
      <c r="E501" t="s">
        <v>1679</v>
      </c>
      <c r="F501" t="s">
        <v>114</v>
      </c>
      <c r="G501" t="s">
        <v>1718</v>
      </c>
      <c r="H501">
        <v>9</v>
      </c>
      <c r="I501">
        <v>1609.98</v>
      </c>
      <c r="J501">
        <v>14489.82</v>
      </c>
    </row>
    <row r="502" spans="1:10">
      <c r="A502" s="25">
        <v>45113</v>
      </c>
      <c r="B502" t="s">
        <v>1676</v>
      </c>
      <c r="C502" t="s">
        <v>1135</v>
      </c>
      <c r="D502" t="s">
        <v>1673</v>
      </c>
      <c r="E502" t="s">
        <v>1674</v>
      </c>
      <c r="F502" t="s">
        <v>114</v>
      </c>
      <c r="G502" t="s">
        <v>1712</v>
      </c>
      <c r="H502">
        <v>4</v>
      </c>
      <c r="I502">
        <v>2836.34</v>
      </c>
      <c r="J502">
        <v>11345.36</v>
      </c>
    </row>
    <row r="503" spans="1:10">
      <c r="A503" s="25">
        <v>44956</v>
      </c>
      <c r="B503" t="s">
        <v>1698</v>
      </c>
      <c r="C503" t="s">
        <v>1695</v>
      </c>
      <c r="D503" t="s">
        <v>1696</v>
      </c>
      <c r="E503" t="s">
        <v>1674</v>
      </c>
      <c r="F503" t="s">
        <v>89</v>
      </c>
      <c r="G503" t="s">
        <v>1713</v>
      </c>
      <c r="H503">
        <v>18</v>
      </c>
      <c r="I503">
        <v>3238.98</v>
      </c>
      <c r="J503">
        <v>58301.64</v>
      </c>
    </row>
    <row r="504" spans="1:10">
      <c r="A504" s="25">
        <v>45152</v>
      </c>
      <c r="B504" t="s">
        <v>1686</v>
      </c>
      <c r="C504" t="s">
        <v>1693</v>
      </c>
      <c r="D504" t="s">
        <v>1683</v>
      </c>
      <c r="E504" t="s">
        <v>1679</v>
      </c>
      <c r="F504" t="s">
        <v>101</v>
      </c>
      <c r="G504" t="s">
        <v>1715</v>
      </c>
      <c r="H504">
        <v>20</v>
      </c>
      <c r="I504">
        <v>2791.25</v>
      </c>
      <c r="J504">
        <v>55825</v>
      </c>
    </row>
    <row r="505" spans="1:10">
      <c r="A505" s="25">
        <v>45276</v>
      </c>
      <c r="B505" t="s">
        <v>1676</v>
      </c>
      <c r="C505" t="s">
        <v>1137</v>
      </c>
      <c r="D505" t="s">
        <v>1696</v>
      </c>
      <c r="E505" t="s">
        <v>1674</v>
      </c>
      <c r="F505" t="s">
        <v>97</v>
      </c>
      <c r="G505" t="s">
        <v>1685</v>
      </c>
      <c r="H505">
        <v>1</v>
      </c>
      <c r="I505">
        <v>3165.04</v>
      </c>
      <c r="J505">
        <v>3165.04</v>
      </c>
    </row>
    <row r="506" spans="1:10">
      <c r="A506" s="25">
        <v>45206</v>
      </c>
      <c r="B506" t="s">
        <v>1676</v>
      </c>
      <c r="C506" t="s">
        <v>1672</v>
      </c>
      <c r="D506" t="s">
        <v>1673</v>
      </c>
      <c r="E506" t="s">
        <v>1674</v>
      </c>
      <c r="F506" t="s">
        <v>114</v>
      </c>
      <c r="G506" t="s">
        <v>1680</v>
      </c>
      <c r="H506">
        <v>14</v>
      </c>
      <c r="I506">
        <v>3414.59</v>
      </c>
      <c r="J506">
        <v>47804.26</v>
      </c>
    </row>
    <row r="507" spans="1:10">
      <c r="A507" s="25">
        <v>45210</v>
      </c>
      <c r="B507" t="s">
        <v>1694</v>
      </c>
      <c r="C507" t="s">
        <v>1136</v>
      </c>
      <c r="D507" t="s">
        <v>1673</v>
      </c>
      <c r="E507" t="s">
        <v>1674</v>
      </c>
      <c r="F507" t="s">
        <v>89</v>
      </c>
      <c r="G507" t="s">
        <v>1713</v>
      </c>
      <c r="H507">
        <v>4</v>
      </c>
      <c r="I507">
        <v>3896.69</v>
      </c>
      <c r="J507">
        <v>15586.76</v>
      </c>
    </row>
    <row r="508" spans="1:10">
      <c r="A508" s="25">
        <v>45165</v>
      </c>
      <c r="B508" t="s">
        <v>1686</v>
      </c>
      <c r="C508" t="s">
        <v>1684</v>
      </c>
      <c r="D508" t="s">
        <v>1678</v>
      </c>
      <c r="E508" t="s">
        <v>1679</v>
      </c>
      <c r="F508" t="s">
        <v>97</v>
      </c>
      <c r="G508" t="s">
        <v>1711</v>
      </c>
      <c r="H508">
        <v>5</v>
      </c>
      <c r="I508">
        <v>2024.36</v>
      </c>
      <c r="J508">
        <v>10121.799999999999</v>
      </c>
    </row>
    <row r="509" spans="1:10">
      <c r="A509" s="25">
        <v>45148</v>
      </c>
      <c r="B509" t="s">
        <v>1689</v>
      </c>
      <c r="C509" t="s">
        <v>1701</v>
      </c>
      <c r="D509" t="s">
        <v>1702</v>
      </c>
      <c r="E509" t="s">
        <v>1703</v>
      </c>
      <c r="F509" t="s">
        <v>97</v>
      </c>
      <c r="G509" t="s">
        <v>1685</v>
      </c>
      <c r="H509">
        <v>17</v>
      </c>
      <c r="I509">
        <v>102.62</v>
      </c>
      <c r="J509">
        <v>1744.54</v>
      </c>
    </row>
    <row r="510" spans="1:10">
      <c r="A510" s="25">
        <v>44985</v>
      </c>
      <c r="B510" t="s">
        <v>1686</v>
      </c>
      <c r="C510" t="s">
        <v>1137</v>
      </c>
      <c r="D510" t="s">
        <v>1696</v>
      </c>
      <c r="E510" t="s">
        <v>1674</v>
      </c>
      <c r="F510" t="s">
        <v>114</v>
      </c>
      <c r="G510" t="s">
        <v>1680</v>
      </c>
      <c r="H510">
        <v>7</v>
      </c>
      <c r="I510">
        <v>146.52000000000001</v>
      </c>
      <c r="J510">
        <v>1025.6400000000001</v>
      </c>
    </row>
    <row r="511" spans="1:10">
      <c r="A511" s="25">
        <v>45273</v>
      </c>
      <c r="B511" t="s">
        <v>1689</v>
      </c>
      <c r="C511" t="s">
        <v>1701</v>
      </c>
      <c r="D511" t="s">
        <v>1702</v>
      </c>
      <c r="E511" t="s">
        <v>1703</v>
      </c>
      <c r="F511" t="s">
        <v>101</v>
      </c>
      <c r="G511" t="s">
        <v>1715</v>
      </c>
      <c r="H511">
        <v>2</v>
      </c>
      <c r="I511">
        <v>4248</v>
      </c>
      <c r="J511">
        <v>8496</v>
      </c>
    </row>
    <row r="512" spans="1:10">
      <c r="A512" s="25">
        <v>44986</v>
      </c>
      <c r="B512" t="s">
        <v>1705</v>
      </c>
      <c r="C512" t="s">
        <v>1672</v>
      </c>
      <c r="D512" t="s">
        <v>1673</v>
      </c>
      <c r="E512" t="s">
        <v>1674</v>
      </c>
      <c r="F512" t="s">
        <v>97</v>
      </c>
      <c r="G512" t="s">
        <v>1685</v>
      </c>
      <c r="H512">
        <v>8</v>
      </c>
      <c r="I512">
        <v>3075.58</v>
      </c>
      <c r="J512">
        <v>24604.639999999999</v>
      </c>
    </row>
    <row r="513" spans="1:10">
      <c r="A513" s="25">
        <v>44985</v>
      </c>
      <c r="B513" t="s">
        <v>1692</v>
      </c>
      <c r="C513" t="s">
        <v>1716</v>
      </c>
      <c r="D513" t="s">
        <v>1702</v>
      </c>
      <c r="E513" t="s">
        <v>1703</v>
      </c>
      <c r="F513" t="s">
        <v>1687</v>
      </c>
      <c r="G513" t="s">
        <v>1688</v>
      </c>
      <c r="H513">
        <v>13</v>
      </c>
      <c r="I513">
        <v>1246.1400000000001</v>
      </c>
      <c r="J513">
        <v>16199.82</v>
      </c>
    </row>
    <row r="514" spans="1:10">
      <c r="A514" s="25">
        <v>45171</v>
      </c>
      <c r="B514" t="s">
        <v>1700</v>
      </c>
      <c r="C514" t="s">
        <v>1677</v>
      </c>
      <c r="D514" t="s">
        <v>1678</v>
      </c>
      <c r="E514" t="s">
        <v>1679</v>
      </c>
      <c r="F514" t="s">
        <v>89</v>
      </c>
      <c r="G514" t="s">
        <v>1105</v>
      </c>
      <c r="H514">
        <v>16</v>
      </c>
      <c r="I514">
        <v>3942.95</v>
      </c>
      <c r="J514">
        <v>63087.199999999997</v>
      </c>
    </row>
    <row r="515" spans="1:10">
      <c r="A515" s="25">
        <v>44996</v>
      </c>
      <c r="B515" t="s">
        <v>1705</v>
      </c>
      <c r="C515" t="s">
        <v>1716</v>
      </c>
      <c r="D515" t="s">
        <v>1702</v>
      </c>
      <c r="E515" t="s">
        <v>1703</v>
      </c>
      <c r="F515" t="s">
        <v>114</v>
      </c>
      <c r="G515" t="s">
        <v>1718</v>
      </c>
      <c r="H515">
        <v>1</v>
      </c>
      <c r="I515">
        <v>936.56</v>
      </c>
      <c r="J515">
        <v>936.56</v>
      </c>
    </row>
    <row r="516" spans="1:10">
      <c r="A516" s="25">
        <v>45243</v>
      </c>
      <c r="B516" t="s">
        <v>1694</v>
      </c>
      <c r="C516" t="s">
        <v>1701</v>
      </c>
      <c r="D516" t="s">
        <v>1702</v>
      </c>
      <c r="E516" t="s">
        <v>1703</v>
      </c>
      <c r="F516" t="s">
        <v>97</v>
      </c>
      <c r="G516" t="s">
        <v>1685</v>
      </c>
      <c r="H516">
        <v>7</v>
      </c>
      <c r="I516">
        <v>1628.68</v>
      </c>
      <c r="J516">
        <v>11400.76</v>
      </c>
    </row>
    <row r="517" spans="1:10">
      <c r="A517" s="25">
        <v>45138</v>
      </c>
      <c r="B517" t="s">
        <v>1698</v>
      </c>
      <c r="C517" t="s">
        <v>1137</v>
      </c>
      <c r="D517" t="s">
        <v>1696</v>
      </c>
      <c r="E517" t="s">
        <v>1674</v>
      </c>
      <c r="F517" t="s">
        <v>114</v>
      </c>
      <c r="G517" t="s">
        <v>1691</v>
      </c>
      <c r="H517">
        <v>10</v>
      </c>
      <c r="I517">
        <v>3400.28</v>
      </c>
      <c r="J517">
        <v>34002.800000000003</v>
      </c>
    </row>
    <row r="518" spans="1:10">
      <c r="A518" s="25">
        <v>45022</v>
      </c>
      <c r="B518" t="s">
        <v>1689</v>
      </c>
      <c r="C518" t="s">
        <v>1707</v>
      </c>
      <c r="D518" t="s">
        <v>1683</v>
      </c>
      <c r="E518" t="s">
        <v>1679</v>
      </c>
      <c r="F518" t="s">
        <v>114</v>
      </c>
      <c r="G518" t="s">
        <v>1712</v>
      </c>
      <c r="H518">
        <v>18</v>
      </c>
      <c r="I518">
        <v>2722.99</v>
      </c>
      <c r="J518">
        <v>49013.82</v>
      </c>
    </row>
    <row r="519" spans="1:10">
      <c r="A519" s="25">
        <v>45052</v>
      </c>
      <c r="B519" t="s">
        <v>1681</v>
      </c>
      <c r="C519" t="s">
        <v>1682</v>
      </c>
      <c r="D519" t="s">
        <v>1683</v>
      </c>
      <c r="E519" t="s">
        <v>1679</v>
      </c>
      <c r="F519" t="s">
        <v>1687</v>
      </c>
      <c r="G519" t="s">
        <v>1708</v>
      </c>
      <c r="H519">
        <v>8</v>
      </c>
      <c r="I519">
        <v>4612.53</v>
      </c>
      <c r="J519">
        <v>36900.239999999998</v>
      </c>
    </row>
    <row r="520" spans="1:10">
      <c r="A520" s="25">
        <v>45065</v>
      </c>
      <c r="B520" t="s">
        <v>1689</v>
      </c>
      <c r="C520" t="s">
        <v>1672</v>
      </c>
      <c r="D520" t="s">
        <v>1673</v>
      </c>
      <c r="E520" t="s">
        <v>1674</v>
      </c>
      <c r="F520" t="s">
        <v>1687</v>
      </c>
      <c r="G520" t="s">
        <v>1688</v>
      </c>
      <c r="H520">
        <v>13</v>
      </c>
      <c r="I520">
        <v>2040.1</v>
      </c>
      <c r="J520">
        <v>26521.3</v>
      </c>
    </row>
    <row r="521" spans="1:10">
      <c r="A521" s="25">
        <v>45037</v>
      </c>
      <c r="B521" t="s">
        <v>1692</v>
      </c>
      <c r="C521" t="s">
        <v>1707</v>
      </c>
      <c r="D521" t="s">
        <v>1683</v>
      </c>
      <c r="E521" t="s">
        <v>1679</v>
      </c>
      <c r="F521" t="s">
        <v>89</v>
      </c>
      <c r="G521" t="s">
        <v>1714</v>
      </c>
      <c r="H521">
        <v>17</v>
      </c>
      <c r="I521">
        <v>1122.98</v>
      </c>
      <c r="J521">
        <v>19090.66</v>
      </c>
    </row>
    <row r="522" spans="1:10">
      <c r="A522" s="25">
        <v>45234</v>
      </c>
      <c r="B522" t="s">
        <v>1686</v>
      </c>
      <c r="C522" t="s">
        <v>1672</v>
      </c>
      <c r="D522" t="s">
        <v>1673</v>
      </c>
      <c r="E522" t="s">
        <v>1674</v>
      </c>
      <c r="F522" t="s">
        <v>1687</v>
      </c>
      <c r="G522" t="s">
        <v>1688</v>
      </c>
      <c r="H522">
        <v>16</v>
      </c>
      <c r="I522">
        <v>2458.6</v>
      </c>
      <c r="J522">
        <v>39337.599999999999</v>
      </c>
    </row>
    <row r="523" spans="1:10">
      <c r="A523" s="25">
        <v>45197</v>
      </c>
      <c r="B523" t="s">
        <v>1705</v>
      </c>
      <c r="C523" t="s">
        <v>1672</v>
      </c>
      <c r="D523" t="s">
        <v>1673</v>
      </c>
      <c r="E523" t="s">
        <v>1674</v>
      </c>
      <c r="F523" t="s">
        <v>101</v>
      </c>
      <c r="G523" t="s">
        <v>1709</v>
      </c>
      <c r="H523">
        <v>9</v>
      </c>
      <c r="I523">
        <v>3195.18</v>
      </c>
      <c r="J523">
        <v>28756.62</v>
      </c>
    </row>
    <row r="524" spans="1:10">
      <c r="A524" s="25">
        <v>45203</v>
      </c>
      <c r="B524" t="s">
        <v>1686</v>
      </c>
      <c r="C524" t="s">
        <v>1677</v>
      </c>
      <c r="D524" t="s">
        <v>1678</v>
      </c>
      <c r="E524" t="s">
        <v>1679</v>
      </c>
      <c r="F524" t="s">
        <v>101</v>
      </c>
      <c r="G524" t="s">
        <v>1715</v>
      </c>
      <c r="H524">
        <v>3</v>
      </c>
      <c r="I524">
        <v>384.96</v>
      </c>
      <c r="J524">
        <v>1154.8800000000001</v>
      </c>
    </row>
    <row r="525" spans="1:10">
      <c r="A525" s="25">
        <v>44980</v>
      </c>
      <c r="B525" t="s">
        <v>1694</v>
      </c>
      <c r="C525" t="s">
        <v>1672</v>
      </c>
      <c r="D525" t="s">
        <v>1673</v>
      </c>
      <c r="E525" t="s">
        <v>1674</v>
      </c>
      <c r="F525" t="s">
        <v>1687</v>
      </c>
      <c r="G525" t="s">
        <v>1704</v>
      </c>
      <c r="H525">
        <v>4</v>
      </c>
      <c r="I525">
        <v>3714.59</v>
      </c>
      <c r="J525">
        <v>14858.36</v>
      </c>
    </row>
    <row r="526" spans="1:10">
      <c r="A526" s="25">
        <v>45096</v>
      </c>
      <c r="B526" t="s">
        <v>1705</v>
      </c>
      <c r="C526" t="s">
        <v>1682</v>
      </c>
      <c r="D526" t="s">
        <v>1683</v>
      </c>
      <c r="E526" t="s">
        <v>1679</v>
      </c>
      <c r="F526" t="s">
        <v>1687</v>
      </c>
      <c r="G526" t="s">
        <v>1710</v>
      </c>
      <c r="H526">
        <v>9</v>
      </c>
      <c r="I526">
        <v>1765.86</v>
      </c>
      <c r="J526">
        <v>15892.74</v>
      </c>
    </row>
    <row r="527" spans="1:10">
      <c r="A527" s="25">
        <v>45114</v>
      </c>
      <c r="B527" t="s">
        <v>1671</v>
      </c>
      <c r="C527" t="s">
        <v>1695</v>
      </c>
      <c r="D527" t="s">
        <v>1696</v>
      </c>
      <c r="E527" t="s">
        <v>1674</v>
      </c>
      <c r="F527" t="s">
        <v>1687</v>
      </c>
      <c r="G527" t="s">
        <v>1704</v>
      </c>
      <c r="H527">
        <v>8</v>
      </c>
      <c r="I527">
        <v>3069.86</v>
      </c>
      <c r="J527">
        <v>24558.880000000001</v>
      </c>
    </row>
    <row r="528" spans="1:10">
      <c r="A528" s="25">
        <v>45157</v>
      </c>
      <c r="B528" t="s">
        <v>1698</v>
      </c>
      <c r="C528" t="s">
        <v>1706</v>
      </c>
      <c r="D528" t="s">
        <v>1702</v>
      </c>
      <c r="E528" t="s">
        <v>1703</v>
      </c>
      <c r="F528" t="s">
        <v>101</v>
      </c>
      <c r="G528" t="s">
        <v>1675</v>
      </c>
      <c r="H528">
        <v>9</v>
      </c>
      <c r="I528">
        <v>1720.47</v>
      </c>
      <c r="J528">
        <v>15484.23</v>
      </c>
    </row>
    <row r="529" spans="1:10">
      <c r="A529" s="25">
        <v>45125</v>
      </c>
      <c r="B529" t="s">
        <v>1689</v>
      </c>
      <c r="C529" t="s">
        <v>1693</v>
      </c>
      <c r="D529" t="s">
        <v>1683</v>
      </c>
      <c r="E529" t="s">
        <v>1679</v>
      </c>
      <c r="F529" t="s">
        <v>97</v>
      </c>
      <c r="G529" t="s">
        <v>1697</v>
      </c>
      <c r="H529">
        <v>7</v>
      </c>
      <c r="I529">
        <v>3416.74</v>
      </c>
      <c r="J529">
        <v>23917.18</v>
      </c>
    </row>
    <row r="530" spans="1:10">
      <c r="A530" s="25">
        <v>45186</v>
      </c>
      <c r="B530" t="s">
        <v>1698</v>
      </c>
      <c r="C530" t="s">
        <v>1693</v>
      </c>
      <c r="D530" t="s">
        <v>1683</v>
      </c>
      <c r="E530" t="s">
        <v>1679</v>
      </c>
      <c r="F530" t="s">
        <v>101</v>
      </c>
      <c r="G530" t="s">
        <v>1675</v>
      </c>
      <c r="H530">
        <v>7</v>
      </c>
      <c r="I530">
        <v>4741.12</v>
      </c>
      <c r="J530">
        <v>33187.839999999997</v>
      </c>
    </row>
    <row r="531" spans="1:10">
      <c r="A531" s="25">
        <v>45087</v>
      </c>
      <c r="B531" t="s">
        <v>1700</v>
      </c>
      <c r="C531" t="s">
        <v>1706</v>
      </c>
      <c r="D531" t="s">
        <v>1702</v>
      </c>
      <c r="E531" t="s">
        <v>1703</v>
      </c>
      <c r="F531" t="s">
        <v>97</v>
      </c>
      <c r="G531" t="s">
        <v>1699</v>
      </c>
      <c r="H531">
        <v>20</v>
      </c>
      <c r="I531">
        <v>2721.24</v>
      </c>
      <c r="J531">
        <v>54424.800000000003</v>
      </c>
    </row>
    <row r="532" spans="1:10">
      <c r="A532" s="25">
        <v>45131</v>
      </c>
      <c r="B532" t="s">
        <v>1694</v>
      </c>
      <c r="C532" t="s">
        <v>1695</v>
      </c>
      <c r="D532" t="s">
        <v>1696</v>
      </c>
      <c r="E532" t="s">
        <v>1674</v>
      </c>
      <c r="F532" t="s">
        <v>89</v>
      </c>
      <c r="G532" t="s">
        <v>1106</v>
      </c>
      <c r="H532">
        <v>4</v>
      </c>
      <c r="I532">
        <v>3751.49</v>
      </c>
      <c r="J532">
        <v>15005.96</v>
      </c>
    </row>
    <row r="533" spans="1:10">
      <c r="A533" s="25">
        <v>45037</v>
      </c>
      <c r="B533" t="s">
        <v>1705</v>
      </c>
      <c r="C533" t="s">
        <v>1707</v>
      </c>
      <c r="D533" t="s">
        <v>1683</v>
      </c>
      <c r="E533" t="s">
        <v>1679</v>
      </c>
      <c r="F533" t="s">
        <v>97</v>
      </c>
      <c r="G533" t="s">
        <v>1711</v>
      </c>
      <c r="H533">
        <v>19</v>
      </c>
      <c r="I533">
        <v>4513.6000000000004</v>
      </c>
      <c r="J533">
        <v>85758.399999999994</v>
      </c>
    </row>
    <row r="534" spans="1:10">
      <c r="A534" s="25">
        <v>44937</v>
      </c>
      <c r="B534" t="s">
        <v>1700</v>
      </c>
      <c r="C534" t="s">
        <v>1677</v>
      </c>
      <c r="D534" t="s">
        <v>1678</v>
      </c>
      <c r="E534" t="s">
        <v>1679</v>
      </c>
      <c r="F534" t="s">
        <v>101</v>
      </c>
      <c r="G534" t="s">
        <v>1719</v>
      </c>
      <c r="H534">
        <v>11</v>
      </c>
      <c r="I534">
        <v>3514.12</v>
      </c>
      <c r="J534">
        <v>38655.32</v>
      </c>
    </row>
    <row r="535" spans="1:10">
      <c r="A535" s="25">
        <v>45273</v>
      </c>
      <c r="B535" t="s">
        <v>1698</v>
      </c>
      <c r="C535" t="s">
        <v>1693</v>
      </c>
      <c r="D535" t="s">
        <v>1683</v>
      </c>
      <c r="E535" t="s">
        <v>1679</v>
      </c>
      <c r="F535" t="s">
        <v>101</v>
      </c>
      <c r="G535" t="s">
        <v>1709</v>
      </c>
      <c r="H535">
        <v>13</v>
      </c>
      <c r="I535">
        <v>2109.15</v>
      </c>
      <c r="J535">
        <v>27418.95</v>
      </c>
    </row>
    <row r="536" spans="1:10">
      <c r="A536" s="25">
        <v>44985</v>
      </c>
      <c r="B536" t="s">
        <v>1676</v>
      </c>
      <c r="C536" t="s">
        <v>1677</v>
      </c>
      <c r="D536" t="s">
        <v>1678</v>
      </c>
      <c r="E536" t="s">
        <v>1679</v>
      </c>
      <c r="F536" t="s">
        <v>97</v>
      </c>
      <c r="G536" t="s">
        <v>1697</v>
      </c>
      <c r="H536">
        <v>16</v>
      </c>
      <c r="I536">
        <v>4090.26</v>
      </c>
      <c r="J536">
        <v>65444.160000000003</v>
      </c>
    </row>
    <row r="537" spans="1:10">
      <c r="A537" s="25">
        <v>45132</v>
      </c>
      <c r="B537" t="s">
        <v>1681</v>
      </c>
      <c r="C537" t="s">
        <v>1717</v>
      </c>
      <c r="D537" t="s">
        <v>1696</v>
      </c>
      <c r="E537" t="s">
        <v>1674</v>
      </c>
      <c r="F537" t="s">
        <v>97</v>
      </c>
      <c r="G537" t="s">
        <v>1699</v>
      </c>
      <c r="H537">
        <v>12</v>
      </c>
      <c r="I537">
        <v>219.32</v>
      </c>
      <c r="J537">
        <v>2631.84</v>
      </c>
    </row>
    <row r="538" spans="1:10">
      <c r="A538" s="25">
        <v>45277</v>
      </c>
      <c r="B538" t="s">
        <v>1671</v>
      </c>
      <c r="C538" t="s">
        <v>1706</v>
      </c>
      <c r="D538" t="s">
        <v>1702</v>
      </c>
      <c r="E538" t="s">
        <v>1703</v>
      </c>
      <c r="F538" t="s">
        <v>114</v>
      </c>
      <c r="G538" t="s">
        <v>1712</v>
      </c>
      <c r="H538">
        <v>14</v>
      </c>
      <c r="I538">
        <v>264.77</v>
      </c>
      <c r="J538">
        <v>3706.78</v>
      </c>
    </row>
    <row r="539" spans="1:10">
      <c r="A539" s="25">
        <v>45047</v>
      </c>
      <c r="B539" t="s">
        <v>1700</v>
      </c>
      <c r="C539" t="s">
        <v>1684</v>
      </c>
      <c r="D539" t="s">
        <v>1678</v>
      </c>
      <c r="E539" t="s">
        <v>1679</v>
      </c>
      <c r="F539" t="s">
        <v>97</v>
      </c>
      <c r="G539" t="s">
        <v>1699</v>
      </c>
      <c r="H539">
        <v>9</v>
      </c>
      <c r="I539">
        <v>2624.88</v>
      </c>
      <c r="J539">
        <v>23623.919999999998</v>
      </c>
    </row>
    <row r="540" spans="1:10">
      <c r="A540" s="25">
        <v>45081</v>
      </c>
      <c r="B540" t="s">
        <v>1692</v>
      </c>
      <c r="C540" t="s">
        <v>1137</v>
      </c>
      <c r="D540" t="s">
        <v>1696</v>
      </c>
      <c r="E540" t="s">
        <v>1674</v>
      </c>
      <c r="F540" t="s">
        <v>101</v>
      </c>
      <c r="G540" t="s">
        <v>1715</v>
      </c>
      <c r="H540">
        <v>15</v>
      </c>
      <c r="I540">
        <v>1063.8800000000001</v>
      </c>
      <c r="J540">
        <v>15958.2</v>
      </c>
    </row>
    <row r="541" spans="1:10">
      <c r="A541" s="25">
        <v>44980</v>
      </c>
      <c r="B541" t="s">
        <v>1700</v>
      </c>
      <c r="C541" t="s">
        <v>1690</v>
      </c>
      <c r="D541" t="s">
        <v>1678</v>
      </c>
      <c r="E541" t="s">
        <v>1679</v>
      </c>
      <c r="F541" t="s">
        <v>97</v>
      </c>
      <c r="G541" t="s">
        <v>1699</v>
      </c>
      <c r="H541">
        <v>2</v>
      </c>
      <c r="I541">
        <v>4277.8999999999996</v>
      </c>
      <c r="J541">
        <v>8555.7999999999993</v>
      </c>
    </row>
    <row r="542" spans="1:10">
      <c r="A542" s="25">
        <v>45249</v>
      </c>
      <c r="B542" t="s">
        <v>1671</v>
      </c>
      <c r="C542" t="s">
        <v>1695</v>
      </c>
      <c r="D542" t="s">
        <v>1696</v>
      </c>
      <c r="E542" t="s">
        <v>1674</v>
      </c>
      <c r="F542" t="s">
        <v>97</v>
      </c>
      <c r="G542" t="s">
        <v>1711</v>
      </c>
      <c r="H542">
        <v>13</v>
      </c>
      <c r="I542">
        <v>1762.69</v>
      </c>
      <c r="J542">
        <v>22914.97</v>
      </c>
    </row>
    <row r="543" spans="1:10">
      <c r="A543" s="25">
        <v>45043</v>
      </c>
      <c r="B543" t="s">
        <v>1689</v>
      </c>
      <c r="C543" t="s">
        <v>1693</v>
      </c>
      <c r="D543" t="s">
        <v>1683</v>
      </c>
      <c r="E543" t="s">
        <v>1679</v>
      </c>
      <c r="F543" t="s">
        <v>97</v>
      </c>
      <c r="G543" t="s">
        <v>1711</v>
      </c>
      <c r="H543">
        <v>6</v>
      </c>
      <c r="I543">
        <v>2069.96</v>
      </c>
      <c r="J543">
        <v>12419.76</v>
      </c>
    </row>
    <row r="544" spans="1:10">
      <c r="A544" s="25">
        <v>45153</v>
      </c>
      <c r="B544" t="s">
        <v>1676</v>
      </c>
      <c r="C544" t="s">
        <v>1716</v>
      </c>
      <c r="D544" t="s">
        <v>1702</v>
      </c>
      <c r="E544" t="s">
        <v>1703</v>
      </c>
      <c r="F544" t="s">
        <v>97</v>
      </c>
      <c r="G544" t="s">
        <v>1699</v>
      </c>
      <c r="H544">
        <v>19</v>
      </c>
      <c r="I544">
        <v>3822.54</v>
      </c>
      <c r="J544">
        <v>72628.259999999995</v>
      </c>
    </row>
    <row r="545" spans="1:10">
      <c r="A545" s="25">
        <v>45205</v>
      </c>
      <c r="B545" t="s">
        <v>1676</v>
      </c>
      <c r="C545" t="s">
        <v>1716</v>
      </c>
      <c r="D545" t="s">
        <v>1702</v>
      </c>
      <c r="E545" t="s">
        <v>1703</v>
      </c>
      <c r="F545" t="s">
        <v>1687</v>
      </c>
      <c r="G545" t="s">
        <v>1708</v>
      </c>
      <c r="H545">
        <v>16</v>
      </c>
      <c r="I545">
        <v>242.23</v>
      </c>
      <c r="J545">
        <v>3875.68</v>
      </c>
    </row>
    <row r="546" spans="1:10">
      <c r="A546" s="25">
        <v>45106</v>
      </c>
      <c r="B546" t="s">
        <v>1692</v>
      </c>
      <c r="C546" t="s">
        <v>1137</v>
      </c>
      <c r="D546" t="s">
        <v>1696</v>
      </c>
      <c r="E546" t="s">
        <v>1674</v>
      </c>
      <c r="F546" t="s">
        <v>114</v>
      </c>
      <c r="G546" t="s">
        <v>1691</v>
      </c>
      <c r="H546">
        <v>12</v>
      </c>
      <c r="I546">
        <v>2290.7600000000002</v>
      </c>
      <c r="J546">
        <v>27489.119999999999</v>
      </c>
    </row>
    <row r="547" spans="1:10">
      <c r="A547" s="25">
        <v>45195</v>
      </c>
      <c r="B547" t="s">
        <v>1705</v>
      </c>
      <c r="C547" t="s">
        <v>1135</v>
      </c>
      <c r="D547" t="s">
        <v>1673</v>
      </c>
      <c r="E547" t="s">
        <v>1674</v>
      </c>
      <c r="F547" t="s">
        <v>97</v>
      </c>
      <c r="G547" t="s">
        <v>1699</v>
      </c>
      <c r="H547">
        <v>18</v>
      </c>
      <c r="I547">
        <v>1957.78</v>
      </c>
      <c r="J547">
        <v>35240.04</v>
      </c>
    </row>
    <row r="548" spans="1:10">
      <c r="A548" s="25">
        <v>45236</v>
      </c>
      <c r="B548" t="s">
        <v>1698</v>
      </c>
      <c r="C548" t="s">
        <v>1135</v>
      </c>
      <c r="D548" t="s">
        <v>1673</v>
      </c>
      <c r="E548" t="s">
        <v>1674</v>
      </c>
      <c r="F548" t="s">
        <v>114</v>
      </c>
      <c r="G548" t="s">
        <v>1718</v>
      </c>
      <c r="H548">
        <v>1</v>
      </c>
      <c r="I548">
        <v>4370.57</v>
      </c>
      <c r="J548">
        <v>4370.57</v>
      </c>
    </row>
    <row r="549" spans="1:10">
      <c r="A549" s="25">
        <v>45065</v>
      </c>
      <c r="B549" t="s">
        <v>1689</v>
      </c>
      <c r="C549" t="s">
        <v>1716</v>
      </c>
      <c r="D549" t="s">
        <v>1702</v>
      </c>
      <c r="E549" t="s">
        <v>1703</v>
      </c>
      <c r="F549" t="s">
        <v>1687</v>
      </c>
      <c r="G549" t="s">
        <v>1704</v>
      </c>
      <c r="H549">
        <v>3</v>
      </c>
      <c r="I549">
        <v>1894.71</v>
      </c>
      <c r="J549">
        <v>5684.13</v>
      </c>
    </row>
    <row r="550" spans="1:10">
      <c r="A550" s="25">
        <v>45242</v>
      </c>
      <c r="B550" t="s">
        <v>1681</v>
      </c>
      <c r="C550" t="s">
        <v>1137</v>
      </c>
      <c r="D550" t="s">
        <v>1696</v>
      </c>
      <c r="E550" t="s">
        <v>1674</v>
      </c>
      <c r="F550" t="s">
        <v>1687</v>
      </c>
      <c r="G550" t="s">
        <v>1710</v>
      </c>
      <c r="H550">
        <v>14</v>
      </c>
      <c r="I550">
        <v>367.1</v>
      </c>
      <c r="J550">
        <v>5139.3999999999996</v>
      </c>
    </row>
    <row r="551" spans="1:10">
      <c r="A551" s="25">
        <v>45131</v>
      </c>
      <c r="B551" t="s">
        <v>1686</v>
      </c>
      <c r="C551" t="s">
        <v>1717</v>
      </c>
      <c r="D551" t="s">
        <v>1696</v>
      </c>
      <c r="E551" t="s">
        <v>1674</v>
      </c>
      <c r="F551" t="s">
        <v>89</v>
      </c>
      <c r="G551" t="s">
        <v>1105</v>
      </c>
      <c r="H551">
        <v>10</v>
      </c>
      <c r="I551">
        <v>4678.49</v>
      </c>
      <c r="J551">
        <v>46784.9</v>
      </c>
    </row>
    <row r="552" spans="1:10">
      <c r="A552" s="25">
        <v>44967</v>
      </c>
      <c r="B552" t="s">
        <v>1676</v>
      </c>
      <c r="C552" t="s">
        <v>1706</v>
      </c>
      <c r="D552" t="s">
        <v>1702</v>
      </c>
      <c r="E552" t="s">
        <v>1703</v>
      </c>
      <c r="F552" t="s">
        <v>1687</v>
      </c>
      <c r="G552" t="s">
        <v>1708</v>
      </c>
      <c r="H552">
        <v>12</v>
      </c>
      <c r="I552">
        <v>1020.42</v>
      </c>
      <c r="J552">
        <v>12245.04</v>
      </c>
    </row>
    <row r="553" spans="1:10">
      <c r="A553" s="25">
        <v>45065</v>
      </c>
      <c r="B553" t="s">
        <v>1689</v>
      </c>
      <c r="C553" t="s">
        <v>1682</v>
      </c>
      <c r="D553" t="s">
        <v>1683</v>
      </c>
      <c r="E553" t="s">
        <v>1679</v>
      </c>
      <c r="F553" t="s">
        <v>89</v>
      </c>
      <c r="G553" t="s">
        <v>1106</v>
      </c>
      <c r="H553">
        <v>15</v>
      </c>
      <c r="I553">
        <v>1669.04</v>
      </c>
      <c r="J553">
        <v>25035.599999999999</v>
      </c>
    </row>
    <row r="554" spans="1:10">
      <c r="A554" s="25">
        <v>45186</v>
      </c>
      <c r="B554" t="s">
        <v>1700</v>
      </c>
      <c r="C554" t="s">
        <v>1136</v>
      </c>
      <c r="D554" t="s">
        <v>1673</v>
      </c>
      <c r="E554" t="s">
        <v>1674</v>
      </c>
      <c r="F554" t="s">
        <v>114</v>
      </c>
      <c r="G554" t="s">
        <v>1718</v>
      </c>
      <c r="H554">
        <v>18</v>
      </c>
      <c r="I554">
        <v>138.01</v>
      </c>
      <c r="J554">
        <v>2484.1799999999998</v>
      </c>
    </row>
    <row r="555" spans="1:10">
      <c r="A555" s="25">
        <v>45138</v>
      </c>
      <c r="B555" t="s">
        <v>1700</v>
      </c>
      <c r="C555" t="s">
        <v>1695</v>
      </c>
      <c r="D555" t="s">
        <v>1696</v>
      </c>
      <c r="E555" t="s">
        <v>1674</v>
      </c>
      <c r="F555" t="s">
        <v>114</v>
      </c>
      <c r="G555" t="s">
        <v>1680</v>
      </c>
      <c r="H555">
        <v>6</v>
      </c>
      <c r="I555">
        <v>3847.76</v>
      </c>
      <c r="J555">
        <v>23086.560000000001</v>
      </c>
    </row>
    <row r="556" spans="1:10">
      <c r="A556" s="25">
        <v>45147</v>
      </c>
      <c r="B556" t="s">
        <v>1698</v>
      </c>
      <c r="C556" t="s">
        <v>1135</v>
      </c>
      <c r="D556" t="s">
        <v>1673</v>
      </c>
      <c r="E556" t="s">
        <v>1674</v>
      </c>
      <c r="F556" t="s">
        <v>1687</v>
      </c>
      <c r="G556" t="s">
        <v>1688</v>
      </c>
      <c r="H556">
        <v>4</v>
      </c>
      <c r="I556">
        <v>3246.52</v>
      </c>
      <c r="J556">
        <v>12986.08</v>
      </c>
    </row>
    <row r="557" spans="1:10">
      <c r="A557" s="25">
        <v>44956</v>
      </c>
      <c r="B557" t="s">
        <v>1705</v>
      </c>
      <c r="C557" t="s">
        <v>1716</v>
      </c>
      <c r="D557" t="s">
        <v>1702</v>
      </c>
      <c r="E557" t="s">
        <v>1703</v>
      </c>
      <c r="F557" t="s">
        <v>114</v>
      </c>
      <c r="G557" t="s">
        <v>1712</v>
      </c>
      <c r="H557">
        <v>14</v>
      </c>
      <c r="I557">
        <v>569.91</v>
      </c>
      <c r="J557">
        <v>7978.74</v>
      </c>
    </row>
    <row r="558" spans="1:10">
      <c r="A558" s="25">
        <v>44938</v>
      </c>
      <c r="B558" t="s">
        <v>1694</v>
      </c>
      <c r="C558" t="s">
        <v>1690</v>
      </c>
      <c r="D558" t="s">
        <v>1678</v>
      </c>
      <c r="E558" t="s">
        <v>1679</v>
      </c>
      <c r="F558" t="s">
        <v>89</v>
      </c>
      <c r="G558" t="s">
        <v>1106</v>
      </c>
      <c r="H558">
        <v>15</v>
      </c>
      <c r="I558">
        <v>4316.17</v>
      </c>
      <c r="J558">
        <v>64742.55</v>
      </c>
    </row>
    <row r="559" spans="1:10">
      <c r="A559" s="25">
        <v>45219</v>
      </c>
      <c r="B559" t="s">
        <v>1676</v>
      </c>
      <c r="C559" t="s">
        <v>1690</v>
      </c>
      <c r="D559" t="s">
        <v>1678</v>
      </c>
      <c r="E559" t="s">
        <v>1679</v>
      </c>
      <c r="F559" t="s">
        <v>97</v>
      </c>
      <c r="G559" t="s">
        <v>1685</v>
      </c>
      <c r="H559">
        <v>17</v>
      </c>
      <c r="I559">
        <v>2209.62</v>
      </c>
      <c r="J559">
        <v>37563.54</v>
      </c>
    </row>
    <row r="560" spans="1:10">
      <c r="A560" s="25">
        <v>45206</v>
      </c>
      <c r="B560" t="s">
        <v>1694</v>
      </c>
      <c r="C560" t="s">
        <v>1701</v>
      </c>
      <c r="D560" t="s">
        <v>1702</v>
      </c>
      <c r="E560" t="s">
        <v>1703</v>
      </c>
      <c r="F560" t="s">
        <v>101</v>
      </c>
      <c r="G560" t="s">
        <v>1715</v>
      </c>
      <c r="H560">
        <v>16</v>
      </c>
      <c r="I560">
        <v>3296.61</v>
      </c>
      <c r="J560">
        <v>52745.760000000002</v>
      </c>
    </row>
    <row r="561" spans="1:10">
      <c r="A561" s="25">
        <v>45078</v>
      </c>
      <c r="B561" t="s">
        <v>1671</v>
      </c>
      <c r="C561" t="s">
        <v>1716</v>
      </c>
      <c r="D561" t="s">
        <v>1702</v>
      </c>
      <c r="E561" t="s">
        <v>1703</v>
      </c>
      <c r="F561" t="s">
        <v>101</v>
      </c>
      <c r="G561" t="s">
        <v>1675</v>
      </c>
      <c r="H561">
        <v>13</v>
      </c>
      <c r="I561">
        <v>523.83000000000004</v>
      </c>
      <c r="J561">
        <v>6809.79</v>
      </c>
    </row>
    <row r="562" spans="1:10">
      <c r="A562" s="25">
        <v>45182</v>
      </c>
      <c r="B562" t="s">
        <v>1689</v>
      </c>
      <c r="C562" t="s">
        <v>1682</v>
      </c>
      <c r="D562" t="s">
        <v>1683</v>
      </c>
      <c r="E562" t="s">
        <v>1679</v>
      </c>
      <c r="F562" t="s">
        <v>89</v>
      </c>
      <c r="G562" t="s">
        <v>1106</v>
      </c>
      <c r="H562">
        <v>3</v>
      </c>
      <c r="I562">
        <v>916.53</v>
      </c>
      <c r="J562">
        <v>2749.59</v>
      </c>
    </row>
    <row r="563" spans="1:10">
      <c r="A563" s="25">
        <v>45089</v>
      </c>
      <c r="B563" t="s">
        <v>1671</v>
      </c>
      <c r="C563" t="s">
        <v>1136</v>
      </c>
      <c r="D563" t="s">
        <v>1673</v>
      </c>
      <c r="E563" t="s">
        <v>1674</v>
      </c>
      <c r="F563" t="s">
        <v>97</v>
      </c>
      <c r="G563" t="s">
        <v>1699</v>
      </c>
      <c r="H563">
        <v>13</v>
      </c>
      <c r="I563">
        <v>1836.55</v>
      </c>
      <c r="J563">
        <v>23875.15</v>
      </c>
    </row>
    <row r="564" spans="1:10">
      <c r="A564" s="25">
        <v>45033</v>
      </c>
      <c r="B564" t="s">
        <v>1686</v>
      </c>
      <c r="C564" t="s">
        <v>1706</v>
      </c>
      <c r="D564" t="s">
        <v>1702</v>
      </c>
      <c r="E564" t="s">
        <v>1703</v>
      </c>
      <c r="F564" t="s">
        <v>97</v>
      </c>
      <c r="G564" t="s">
        <v>1685</v>
      </c>
      <c r="H564">
        <v>19</v>
      </c>
      <c r="I564">
        <v>2253.92</v>
      </c>
      <c r="J564">
        <v>42824.480000000003</v>
      </c>
    </row>
    <row r="565" spans="1:10">
      <c r="A565" s="25">
        <v>45066</v>
      </c>
      <c r="B565" t="s">
        <v>1686</v>
      </c>
      <c r="C565" t="s">
        <v>1136</v>
      </c>
      <c r="D565" t="s">
        <v>1673</v>
      </c>
      <c r="E565" t="s">
        <v>1674</v>
      </c>
      <c r="F565" t="s">
        <v>101</v>
      </c>
      <c r="G565" t="s">
        <v>1675</v>
      </c>
      <c r="H565">
        <v>13</v>
      </c>
      <c r="I565">
        <v>3617.07</v>
      </c>
      <c r="J565">
        <v>47021.91</v>
      </c>
    </row>
    <row r="566" spans="1:10">
      <c r="A566" s="25">
        <v>44957</v>
      </c>
      <c r="B566" t="s">
        <v>1698</v>
      </c>
      <c r="C566" t="s">
        <v>1693</v>
      </c>
      <c r="D566" t="s">
        <v>1683</v>
      </c>
      <c r="E566" t="s">
        <v>1679</v>
      </c>
      <c r="F566" t="s">
        <v>1687</v>
      </c>
      <c r="G566" t="s">
        <v>1710</v>
      </c>
      <c r="H566">
        <v>5</v>
      </c>
      <c r="I566">
        <v>417.76</v>
      </c>
      <c r="J566">
        <v>2088.8000000000002</v>
      </c>
    </row>
    <row r="567" spans="1:10">
      <c r="A567" s="25">
        <v>45085</v>
      </c>
      <c r="B567" t="s">
        <v>1676</v>
      </c>
      <c r="C567" t="s">
        <v>1672</v>
      </c>
      <c r="D567" t="s">
        <v>1673</v>
      </c>
      <c r="E567" t="s">
        <v>1674</v>
      </c>
      <c r="F567" t="s">
        <v>89</v>
      </c>
      <c r="G567" t="s">
        <v>1105</v>
      </c>
      <c r="H567">
        <v>11</v>
      </c>
      <c r="I567">
        <v>864.29</v>
      </c>
      <c r="J567">
        <v>9507.19</v>
      </c>
    </row>
    <row r="568" spans="1:10">
      <c r="A568" s="25">
        <v>45004</v>
      </c>
      <c r="B568" t="s">
        <v>1689</v>
      </c>
      <c r="C568" t="s">
        <v>1701</v>
      </c>
      <c r="D568" t="s">
        <v>1702</v>
      </c>
      <c r="E568" t="s">
        <v>1703</v>
      </c>
      <c r="F568" t="s">
        <v>89</v>
      </c>
      <c r="G568" t="s">
        <v>1105</v>
      </c>
      <c r="H568">
        <v>19</v>
      </c>
      <c r="I568">
        <v>2006.79</v>
      </c>
      <c r="J568">
        <v>38129.01</v>
      </c>
    </row>
    <row r="569" spans="1:10">
      <c r="A569" s="25">
        <v>45060</v>
      </c>
      <c r="B569" t="s">
        <v>1676</v>
      </c>
      <c r="C569" t="s">
        <v>1695</v>
      </c>
      <c r="D569" t="s">
        <v>1696</v>
      </c>
      <c r="E569" t="s">
        <v>1674</v>
      </c>
      <c r="F569" t="s">
        <v>1687</v>
      </c>
      <c r="G569" t="s">
        <v>1708</v>
      </c>
      <c r="H569">
        <v>1</v>
      </c>
      <c r="I569">
        <v>403.2</v>
      </c>
      <c r="J569">
        <v>403.2</v>
      </c>
    </row>
    <row r="570" spans="1:10">
      <c r="A570" s="25">
        <v>45247</v>
      </c>
      <c r="B570" t="s">
        <v>1700</v>
      </c>
      <c r="C570" t="s">
        <v>1136</v>
      </c>
      <c r="D570" t="s">
        <v>1673</v>
      </c>
      <c r="E570" t="s">
        <v>1674</v>
      </c>
      <c r="F570" t="s">
        <v>101</v>
      </c>
      <c r="G570" t="s">
        <v>1719</v>
      </c>
      <c r="H570">
        <v>7</v>
      </c>
      <c r="I570">
        <v>2846.83</v>
      </c>
      <c r="J570">
        <v>19927.810000000001</v>
      </c>
    </row>
    <row r="571" spans="1:10">
      <c r="A571" s="25">
        <v>44971</v>
      </c>
      <c r="B571" t="s">
        <v>1671</v>
      </c>
      <c r="C571" t="s">
        <v>1690</v>
      </c>
      <c r="D571" t="s">
        <v>1678</v>
      </c>
      <c r="E571" t="s">
        <v>1679</v>
      </c>
      <c r="F571" t="s">
        <v>97</v>
      </c>
      <c r="G571" t="s">
        <v>1685</v>
      </c>
      <c r="H571">
        <v>5</v>
      </c>
      <c r="I571">
        <v>850.9</v>
      </c>
      <c r="J571">
        <v>4254.5</v>
      </c>
    </row>
    <row r="572" spans="1:10">
      <c r="A572" s="25">
        <v>45223</v>
      </c>
      <c r="B572" t="s">
        <v>1692</v>
      </c>
      <c r="C572" t="s">
        <v>1701</v>
      </c>
      <c r="D572" t="s">
        <v>1702</v>
      </c>
      <c r="E572" t="s">
        <v>1703</v>
      </c>
      <c r="F572" t="s">
        <v>89</v>
      </c>
      <c r="G572" t="s">
        <v>1713</v>
      </c>
      <c r="H572">
        <v>16</v>
      </c>
      <c r="I572">
        <v>3337.15</v>
      </c>
      <c r="J572">
        <v>53394.400000000001</v>
      </c>
    </row>
    <row r="573" spans="1:10">
      <c r="A573" s="25">
        <v>45188</v>
      </c>
      <c r="B573" t="s">
        <v>1692</v>
      </c>
      <c r="C573" t="s">
        <v>1682</v>
      </c>
      <c r="D573" t="s">
        <v>1683</v>
      </c>
      <c r="E573" t="s">
        <v>1679</v>
      </c>
      <c r="F573" t="s">
        <v>97</v>
      </c>
      <c r="G573" t="s">
        <v>1697</v>
      </c>
      <c r="H573">
        <v>15</v>
      </c>
      <c r="I573">
        <v>1299.55</v>
      </c>
      <c r="J573">
        <v>19493.25</v>
      </c>
    </row>
    <row r="574" spans="1:10">
      <c r="A574" s="25">
        <v>45043</v>
      </c>
      <c r="B574" t="s">
        <v>1692</v>
      </c>
      <c r="C574" t="s">
        <v>1682</v>
      </c>
      <c r="D574" t="s">
        <v>1683</v>
      </c>
      <c r="E574" t="s">
        <v>1679</v>
      </c>
      <c r="F574" t="s">
        <v>1687</v>
      </c>
      <c r="G574" t="s">
        <v>1708</v>
      </c>
      <c r="H574">
        <v>7</v>
      </c>
      <c r="I574">
        <v>4898.57</v>
      </c>
      <c r="J574">
        <v>34289.99</v>
      </c>
    </row>
    <row r="575" spans="1:10">
      <c r="A575" s="25">
        <v>44964</v>
      </c>
      <c r="B575" t="s">
        <v>1671</v>
      </c>
      <c r="C575" t="s">
        <v>1677</v>
      </c>
      <c r="D575" t="s">
        <v>1678</v>
      </c>
      <c r="E575" t="s">
        <v>1679</v>
      </c>
      <c r="F575" t="s">
        <v>97</v>
      </c>
      <c r="G575" t="s">
        <v>1711</v>
      </c>
      <c r="H575">
        <v>11</v>
      </c>
      <c r="I575">
        <v>2471.65</v>
      </c>
      <c r="J575">
        <v>27188.15</v>
      </c>
    </row>
    <row r="576" spans="1:10">
      <c r="A576" s="25">
        <v>44942</v>
      </c>
      <c r="B576" t="s">
        <v>1692</v>
      </c>
      <c r="C576" t="s">
        <v>1684</v>
      </c>
      <c r="D576" t="s">
        <v>1678</v>
      </c>
      <c r="E576" t="s">
        <v>1679</v>
      </c>
      <c r="F576" t="s">
        <v>114</v>
      </c>
      <c r="G576" t="s">
        <v>1691</v>
      </c>
      <c r="H576">
        <v>2</v>
      </c>
      <c r="I576">
        <v>1125.53</v>
      </c>
      <c r="J576">
        <v>2251.06</v>
      </c>
    </row>
    <row r="577" spans="1:10">
      <c r="A577" s="25">
        <v>45171</v>
      </c>
      <c r="B577" t="s">
        <v>1681</v>
      </c>
      <c r="C577" t="s">
        <v>1695</v>
      </c>
      <c r="D577" t="s">
        <v>1696</v>
      </c>
      <c r="E577" t="s">
        <v>1674</v>
      </c>
      <c r="F577" t="s">
        <v>101</v>
      </c>
      <c r="G577" t="s">
        <v>1675</v>
      </c>
      <c r="H577">
        <v>13</v>
      </c>
      <c r="I577">
        <v>2835.8</v>
      </c>
      <c r="J577">
        <v>36865.4</v>
      </c>
    </row>
    <row r="578" spans="1:10">
      <c r="A578" s="25">
        <v>45027</v>
      </c>
      <c r="B578" t="s">
        <v>1694</v>
      </c>
      <c r="C578" t="s">
        <v>1682</v>
      </c>
      <c r="D578" t="s">
        <v>1683</v>
      </c>
      <c r="E578" t="s">
        <v>1679</v>
      </c>
      <c r="F578" t="s">
        <v>1687</v>
      </c>
      <c r="G578" t="s">
        <v>1708</v>
      </c>
      <c r="H578">
        <v>17</v>
      </c>
      <c r="I578">
        <v>3973.87</v>
      </c>
      <c r="J578">
        <v>67555.789999999994</v>
      </c>
    </row>
    <row r="579" spans="1:10">
      <c r="A579" s="25">
        <v>44938</v>
      </c>
      <c r="B579" t="s">
        <v>1681</v>
      </c>
      <c r="C579" t="s">
        <v>1136</v>
      </c>
      <c r="D579" t="s">
        <v>1673</v>
      </c>
      <c r="E579" t="s">
        <v>1674</v>
      </c>
      <c r="F579" t="s">
        <v>89</v>
      </c>
      <c r="G579" t="s">
        <v>1714</v>
      </c>
      <c r="H579">
        <v>4</v>
      </c>
      <c r="I579">
        <v>1998.26</v>
      </c>
      <c r="J579">
        <v>7993.04</v>
      </c>
    </row>
    <row r="580" spans="1:10">
      <c r="A580" s="25">
        <v>45207</v>
      </c>
      <c r="B580" t="s">
        <v>1689</v>
      </c>
      <c r="C580" t="s">
        <v>1693</v>
      </c>
      <c r="D580" t="s">
        <v>1683</v>
      </c>
      <c r="E580" t="s">
        <v>1679</v>
      </c>
      <c r="F580" t="s">
        <v>114</v>
      </c>
      <c r="G580" t="s">
        <v>1691</v>
      </c>
      <c r="H580">
        <v>7</v>
      </c>
      <c r="I580">
        <v>3820.3</v>
      </c>
      <c r="J580">
        <v>26742.1</v>
      </c>
    </row>
    <row r="581" spans="1:10">
      <c r="A581" s="25">
        <v>44979</v>
      </c>
      <c r="B581" t="s">
        <v>1671</v>
      </c>
      <c r="C581" t="s">
        <v>1137</v>
      </c>
      <c r="D581" t="s">
        <v>1696</v>
      </c>
      <c r="E581" t="s">
        <v>1674</v>
      </c>
      <c r="F581" t="s">
        <v>114</v>
      </c>
      <c r="G581" t="s">
        <v>1718</v>
      </c>
      <c r="H581">
        <v>19</v>
      </c>
      <c r="I581">
        <v>2199.3200000000002</v>
      </c>
      <c r="J581">
        <v>41787.08</v>
      </c>
    </row>
    <row r="582" spans="1:10">
      <c r="A582" s="25">
        <v>45091</v>
      </c>
      <c r="B582" t="s">
        <v>1686</v>
      </c>
      <c r="C582" t="s">
        <v>1677</v>
      </c>
      <c r="D582" t="s">
        <v>1678</v>
      </c>
      <c r="E582" t="s">
        <v>1679</v>
      </c>
      <c r="F582" t="s">
        <v>1687</v>
      </c>
      <c r="G582" t="s">
        <v>1688</v>
      </c>
      <c r="H582">
        <v>6</v>
      </c>
      <c r="I582">
        <v>578.64</v>
      </c>
      <c r="J582">
        <v>3471.84</v>
      </c>
    </row>
    <row r="583" spans="1:10">
      <c r="A583" s="25">
        <v>45237</v>
      </c>
      <c r="B583" t="s">
        <v>1689</v>
      </c>
      <c r="C583" t="s">
        <v>1690</v>
      </c>
      <c r="D583" t="s">
        <v>1678</v>
      </c>
      <c r="E583" t="s">
        <v>1679</v>
      </c>
      <c r="F583" t="s">
        <v>89</v>
      </c>
      <c r="G583" t="s">
        <v>1106</v>
      </c>
      <c r="H583">
        <v>5</v>
      </c>
      <c r="I583">
        <v>1488.21</v>
      </c>
      <c r="J583">
        <v>7441.05</v>
      </c>
    </row>
    <row r="584" spans="1:10">
      <c r="A584" s="25">
        <v>45282</v>
      </c>
      <c r="B584" t="s">
        <v>1698</v>
      </c>
      <c r="C584" t="s">
        <v>1677</v>
      </c>
      <c r="D584" t="s">
        <v>1678</v>
      </c>
      <c r="E584" t="s">
        <v>1679</v>
      </c>
      <c r="F584" t="s">
        <v>101</v>
      </c>
      <c r="G584" t="s">
        <v>1719</v>
      </c>
      <c r="H584">
        <v>19</v>
      </c>
      <c r="I584">
        <v>3196.27</v>
      </c>
      <c r="J584">
        <v>60729.13</v>
      </c>
    </row>
    <row r="585" spans="1:10">
      <c r="A585" s="25">
        <v>45087</v>
      </c>
      <c r="B585" t="s">
        <v>1681</v>
      </c>
      <c r="C585" t="s">
        <v>1717</v>
      </c>
      <c r="D585" t="s">
        <v>1696</v>
      </c>
      <c r="E585" t="s">
        <v>1674</v>
      </c>
      <c r="F585" t="s">
        <v>1687</v>
      </c>
      <c r="G585" t="s">
        <v>1688</v>
      </c>
      <c r="H585">
        <v>5</v>
      </c>
      <c r="I585">
        <v>1018.53</v>
      </c>
      <c r="J585">
        <v>5092.6499999999996</v>
      </c>
    </row>
    <row r="586" spans="1:10">
      <c r="A586" s="25">
        <v>45105</v>
      </c>
      <c r="B586" t="s">
        <v>1694</v>
      </c>
      <c r="C586" t="s">
        <v>1701</v>
      </c>
      <c r="D586" t="s">
        <v>1702</v>
      </c>
      <c r="E586" t="s">
        <v>1703</v>
      </c>
      <c r="F586" t="s">
        <v>114</v>
      </c>
      <c r="G586" t="s">
        <v>1712</v>
      </c>
      <c r="H586">
        <v>13</v>
      </c>
      <c r="I586">
        <v>1367.15</v>
      </c>
      <c r="J586">
        <v>17772.95</v>
      </c>
    </row>
    <row r="587" spans="1:10">
      <c r="A587" s="25">
        <v>45206</v>
      </c>
      <c r="B587" t="s">
        <v>1681</v>
      </c>
      <c r="C587" t="s">
        <v>1690</v>
      </c>
      <c r="D587" t="s">
        <v>1678</v>
      </c>
      <c r="E587" t="s">
        <v>1679</v>
      </c>
      <c r="F587" t="s">
        <v>89</v>
      </c>
      <c r="G587" t="s">
        <v>1714</v>
      </c>
      <c r="H587">
        <v>19</v>
      </c>
      <c r="I587">
        <v>4996.28</v>
      </c>
      <c r="J587">
        <v>94929.32</v>
      </c>
    </row>
    <row r="588" spans="1:10">
      <c r="A588" s="25">
        <v>45230</v>
      </c>
      <c r="B588" t="s">
        <v>1705</v>
      </c>
      <c r="C588" t="s">
        <v>1135</v>
      </c>
      <c r="D588" t="s">
        <v>1673</v>
      </c>
      <c r="E588" t="s">
        <v>1674</v>
      </c>
      <c r="F588" t="s">
        <v>97</v>
      </c>
      <c r="G588" t="s">
        <v>1699</v>
      </c>
      <c r="H588">
        <v>3</v>
      </c>
      <c r="I588">
        <v>4447.8999999999996</v>
      </c>
      <c r="J588">
        <v>13343.7</v>
      </c>
    </row>
    <row r="589" spans="1:10">
      <c r="A589" s="25">
        <v>45067</v>
      </c>
      <c r="B589" t="s">
        <v>1694</v>
      </c>
      <c r="C589" t="s">
        <v>1136</v>
      </c>
      <c r="D589" t="s">
        <v>1673</v>
      </c>
      <c r="E589" t="s">
        <v>1674</v>
      </c>
      <c r="F589" t="s">
        <v>114</v>
      </c>
      <c r="G589" t="s">
        <v>1680</v>
      </c>
      <c r="H589">
        <v>10</v>
      </c>
      <c r="I589">
        <v>1318.51</v>
      </c>
      <c r="J589">
        <v>13185.1</v>
      </c>
    </row>
    <row r="590" spans="1:10">
      <c r="A590" s="25">
        <v>44976</v>
      </c>
      <c r="B590" t="s">
        <v>1671</v>
      </c>
      <c r="C590" t="s">
        <v>1677</v>
      </c>
      <c r="D590" t="s">
        <v>1678</v>
      </c>
      <c r="E590" t="s">
        <v>1679</v>
      </c>
      <c r="F590" t="s">
        <v>1687</v>
      </c>
      <c r="G590" t="s">
        <v>1710</v>
      </c>
      <c r="H590">
        <v>20</v>
      </c>
      <c r="I590">
        <v>1731.99</v>
      </c>
      <c r="J590">
        <v>34639.800000000003</v>
      </c>
    </row>
    <row r="591" spans="1:10">
      <c r="A591" s="25">
        <v>45261</v>
      </c>
      <c r="B591" t="s">
        <v>1694</v>
      </c>
      <c r="C591" t="s">
        <v>1672</v>
      </c>
      <c r="D591" t="s">
        <v>1673</v>
      </c>
      <c r="E591" t="s">
        <v>1674</v>
      </c>
      <c r="F591" t="s">
        <v>97</v>
      </c>
      <c r="G591" t="s">
        <v>1685</v>
      </c>
      <c r="H591">
        <v>12</v>
      </c>
      <c r="I591">
        <v>4514.3900000000003</v>
      </c>
      <c r="J591">
        <v>54172.68</v>
      </c>
    </row>
    <row r="592" spans="1:10">
      <c r="A592" s="25">
        <v>45205</v>
      </c>
      <c r="B592" t="s">
        <v>1705</v>
      </c>
      <c r="C592" t="s">
        <v>1682</v>
      </c>
      <c r="D592" t="s">
        <v>1683</v>
      </c>
      <c r="E592" t="s">
        <v>1679</v>
      </c>
      <c r="F592" t="s">
        <v>101</v>
      </c>
      <c r="G592" t="s">
        <v>1715</v>
      </c>
      <c r="H592">
        <v>20</v>
      </c>
      <c r="I592">
        <v>1710.93</v>
      </c>
      <c r="J592">
        <v>34218.6</v>
      </c>
    </row>
    <row r="593" spans="1:10">
      <c r="A593" s="25">
        <v>45056</v>
      </c>
      <c r="B593" t="s">
        <v>1676</v>
      </c>
      <c r="C593" t="s">
        <v>1707</v>
      </c>
      <c r="D593" t="s">
        <v>1683</v>
      </c>
      <c r="E593" t="s">
        <v>1679</v>
      </c>
      <c r="F593" t="s">
        <v>114</v>
      </c>
      <c r="G593" t="s">
        <v>1691</v>
      </c>
      <c r="H593">
        <v>19</v>
      </c>
      <c r="I593">
        <v>491.53</v>
      </c>
      <c r="J593">
        <v>9339.07</v>
      </c>
    </row>
    <row r="594" spans="1:10">
      <c r="A594" s="25">
        <v>45150</v>
      </c>
      <c r="B594" t="s">
        <v>1705</v>
      </c>
      <c r="C594" t="s">
        <v>1682</v>
      </c>
      <c r="D594" t="s">
        <v>1683</v>
      </c>
      <c r="E594" t="s">
        <v>1679</v>
      </c>
      <c r="F594" t="s">
        <v>1687</v>
      </c>
      <c r="G594" t="s">
        <v>1688</v>
      </c>
      <c r="H594">
        <v>6</v>
      </c>
      <c r="I594">
        <v>203.88</v>
      </c>
      <c r="J594">
        <v>1223.28</v>
      </c>
    </row>
    <row r="595" spans="1:10">
      <c r="A595" s="25">
        <v>45011</v>
      </c>
      <c r="B595" t="s">
        <v>1676</v>
      </c>
      <c r="C595" t="s">
        <v>1135</v>
      </c>
      <c r="D595" t="s">
        <v>1673</v>
      </c>
      <c r="E595" t="s">
        <v>1674</v>
      </c>
      <c r="F595" t="s">
        <v>114</v>
      </c>
      <c r="G595" t="s">
        <v>1680</v>
      </c>
      <c r="H595">
        <v>19</v>
      </c>
      <c r="I595">
        <v>4786.8900000000003</v>
      </c>
      <c r="J595">
        <v>90950.91</v>
      </c>
    </row>
    <row r="596" spans="1:10">
      <c r="A596" s="25">
        <v>45240</v>
      </c>
      <c r="B596" t="s">
        <v>1705</v>
      </c>
      <c r="C596" t="s">
        <v>1693</v>
      </c>
      <c r="D596" t="s">
        <v>1683</v>
      </c>
      <c r="E596" t="s">
        <v>1679</v>
      </c>
      <c r="F596" t="s">
        <v>97</v>
      </c>
      <c r="G596" t="s">
        <v>1699</v>
      </c>
      <c r="H596">
        <v>11</v>
      </c>
      <c r="I596">
        <v>2666.77</v>
      </c>
      <c r="J596">
        <v>29334.47</v>
      </c>
    </row>
    <row r="597" spans="1:10">
      <c r="A597" s="25">
        <v>44967</v>
      </c>
      <c r="B597" t="s">
        <v>1686</v>
      </c>
      <c r="C597" t="s">
        <v>1672</v>
      </c>
      <c r="D597" t="s">
        <v>1673</v>
      </c>
      <c r="E597" t="s">
        <v>1674</v>
      </c>
      <c r="F597" t="s">
        <v>89</v>
      </c>
      <c r="G597" t="s">
        <v>1105</v>
      </c>
      <c r="H597">
        <v>19</v>
      </c>
      <c r="I597">
        <v>2174.7600000000002</v>
      </c>
      <c r="J597">
        <v>41320.44</v>
      </c>
    </row>
    <row r="598" spans="1:10">
      <c r="A598" s="25">
        <v>45163</v>
      </c>
      <c r="B598" t="s">
        <v>1686</v>
      </c>
      <c r="C598" t="s">
        <v>1717</v>
      </c>
      <c r="D598" t="s">
        <v>1696</v>
      </c>
      <c r="E598" t="s">
        <v>1674</v>
      </c>
      <c r="F598" t="s">
        <v>114</v>
      </c>
      <c r="G598" t="s">
        <v>1718</v>
      </c>
      <c r="H598">
        <v>1</v>
      </c>
      <c r="I598">
        <v>1678.18</v>
      </c>
      <c r="J598">
        <v>1678.18</v>
      </c>
    </row>
    <row r="599" spans="1:10">
      <c r="A599" s="25">
        <v>45042</v>
      </c>
      <c r="B599" t="s">
        <v>1692</v>
      </c>
      <c r="C599" t="s">
        <v>1672</v>
      </c>
      <c r="D599" t="s">
        <v>1673</v>
      </c>
      <c r="E599" t="s">
        <v>1674</v>
      </c>
      <c r="F599" t="s">
        <v>89</v>
      </c>
      <c r="G599" t="s">
        <v>1713</v>
      </c>
      <c r="H599">
        <v>20</v>
      </c>
      <c r="I599">
        <v>2163.9499999999998</v>
      </c>
      <c r="J599">
        <v>43279</v>
      </c>
    </row>
    <row r="600" spans="1:10">
      <c r="A600" s="25">
        <v>45265</v>
      </c>
      <c r="B600" t="s">
        <v>1686</v>
      </c>
      <c r="C600" t="s">
        <v>1672</v>
      </c>
      <c r="D600" t="s">
        <v>1673</v>
      </c>
      <c r="E600" t="s">
        <v>1674</v>
      </c>
      <c r="F600" t="s">
        <v>101</v>
      </c>
      <c r="G600" t="s">
        <v>1675</v>
      </c>
      <c r="H600">
        <v>18</v>
      </c>
      <c r="I600">
        <v>3511.28</v>
      </c>
      <c r="J600">
        <v>63203.040000000001</v>
      </c>
    </row>
    <row r="601" spans="1:10">
      <c r="A601" s="25">
        <v>44931</v>
      </c>
      <c r="B601" t="s">
        <v>1676</v>
      </c>
      <c r="C601" t="s">
        <v>1693</v>
      </c>
      <c r="D601" t="s">
        <v>1683</v>
      </c>
      <c r="E601" t="s">
        <v>1679</v>
      </c>
      <c r="F601" t="s">
        <v>114</v>
      </c>
      <c r="G601" t="s">
        <v>1712</v>
      </c>
      <c r="H601">
        <v>13</v>
      </c>
      <c r="I601">
        <v>2979.65</v>
      </c>
      <c r="J601">
        <v>38735.449999999997</v>
      </c>
    </row>
    <row r="602" spans="1:10">
      <c r="A602" s="25">
        <v>45003</v>
      </c>
      <c r="B602" t="s">
        <v>1700</v>
      </c>
      <c r="C602" t="s">
        <v>1672</v>
      </c>
      <c r="D602" t="s">
        <v>1673</v>
      </c>
      <c r="E602" t="s">
        <v>1674</v>
      </c>
      <c r="F602" t="s">
        <v>97</v>
      </c>
      <c r="G602" t="s">
        <v>1697</v>
      </c>
      <c r="H602">
        <v>4</v>
      </c>
      <c r="I602">
        <v>2985.48</v>
      </c>
      <c r="J602">
        <v>11941.92</v>
      </c>
    </row>
    <row r="603" spans="1:10">
      <c r="A603" s="25">
        <v>45036</v>
      </c>
      <c r="B603" t="s">
        <v>1689</v>
      </c>
      <c r="C603" t="s">
        <v>1693</v>
      </c>
      <c r="D603" t="s">
        <v>1683</v>
      </c>
      <c r="E603" t="s">
        <v>1679</v>
      </c>
      <c r="F603" t="s">
        <v>114</v>
      </c>
      <c r="G603" t="s">
        <v>1691</v>
      </c>
      <c r="H603">
        <v>18</v>
      </c>
      <c r="I603">
        <v>3989.44</v>
      </c>
      <c r="J603">
        <v>71809.919999999998</v>
      </c>
    </row>
    <row r="604" spans="1:10">
      <c r="A604" s="25">
        <v>45195</v>
      </c>
      <c r="B604" t="s">
        <v>1689</v>
      </c>
      <c r="C604" t="s">
        <v>1695</v>
      </c>
      <c r="D604" t="s">
        <v>1696</v>
      </c>
      <c r="E604" t="s">
        <v>1674</v>
      </c>
      <c r="F604" t="s">
        <v>89</v>
      </c>
      <c r="G604" t="s">
        <v>1714</v>
      </c>
      <c r="H604">
        <v>14</v>
      </c>
      <c r="I604">
        <v>2251.87</v>
      </c>
      <c r="J604">
        <v>31526.18</v>
      </c>
    </row>
    <row r="605" spans="1:10">
      <c r="A605" s="25">
        <v>45025</v>
      </c>
      <c r="B605" t="s">
        <v>1705</v>
      </c>
      <c r="C605" t="s">
        <v>1137</v>
      </c>
      <c r="D605" t="s">
        <v>1696</v>
      </c>
      <c r="E605" t="s">
        <v>1674</v>
      </c>
      <c r="F605" t="s">
        <v>1687</v>
      </c>
      <c r="G605" t="s">
        <v>1710</v>
      </c>
      <c r="H605">
        <v>8</v>
      </c>
      <c r="I605">
        <v>2519.3000000000002</v>
      </c>
      <c r="J605">
        <v>20154.400000000001</v>
      </c>
    </row>
    <row r="606" spans="1:10">
      <c r="A606" s="25">
        <v>45123</v>
      </c>
      <c r="B606" t="s">
        <v>1681</v>
      </c>
      <c r="C606" t="s">
        <v>1693</v>
      </c>
      <c r="D606" t="s">
        <v>1683</v>
      </c>
      <c r="E606" t="s">
        <v>1679</v>
      </c>
      <c r="F606" t="s">
        <v>97</v>
      </c>
      <c r="G606" t="s">
        <v>1685</v>
      </c>
      <c r="H606">
        <v>3</v>
      </c>
      <c r="I606">
        <v>1129.8800000000001</v>
      </c>
      <c r="J606">
        <v>3389.64</v>
      </c>
    </row>
    <row r="607" spans="1:10">
      <c r="A607" s="25">
        <v>45205</v>
      </c>
      <c r="B607" t="s">
        <v>1671</v>
      </c>
      <c r="C607" t="s">
        <v>1695</v>
      </c>
      <c r="D607" t="s">
        <v>1696</v>
      </c>
      <c r="E607" t="s">
        <v>1674</v>
      </c>
      <c r="F607" t="s">
        <v>101</v>
      </c>
      <c r="G607" t="s">
        <v>1715</v>
      </c>
      <c r="H607">
        <v>15</v>
      </c>
      <c r="I607">
        <v>4146.03</v>
      </c>
      <c r="J607">
        <v>62190.45</v>
      </c>
    </row>
    <row r="608" spans="1:10">
      <c r="A608" s="25">
        <v>45084</v>
      </c>
      <c r="B608" t="s">
        <v>1700</v>
      </c>
      <c r="C608" t="s">
        <v>1672</v>
      </c>
      <c r="D608" t="s">
        <v>1673</v>
      </c>
      <c r="E608" t="s">
        <v>1674</v>
      </c>
      <c r="F608" t="s">
        <v>101</v>
      </c>
      <c r="G608" t="s">
        <v>1709</v>
      </c>
      <c r="H608">
        <v>4</v>
      </c>
      <c r="I608">
        <v>3564.22</v>
      </c>
      <c r="J608">
        <v>14256.88</v>
      </c>
    </row>
    <row r="609" spans="1:10">
      <c r="A609" s="25">
        <v>45246</v>
      </c>
      <c r="B609" t="s">
        <v>1700</v>
      </c>
      <c r="C609" t="s">
        <v>1677</v>
      </c>
      <c r="D609" t="s">
        <v>1678</v>
      </c>
      <c r="E609" t="s">
        <v>1679</v>
      </c>
      <c r="F609" t="s">
        <v>101</v>
      </c>
      <c r="G609" t="s">
        <v>1715</v>
      </c>
      <c r="H609">
        <v>14</v>
      </c>
      <c r="I609">
        <v>414.51</v>
      </c>
      <c r="J609">
        <v>5803.14</v>
      </c>
    </row>
    <row r="610" spans="1:10">
      <c r="A610" s="25">
        <v>44951</v>
      </c>
      <c r="B610" t="s">
        <v>1705</v>
      </c>
      <c r="C610" t="s">
        <v>1695</v>
      </c>
      <c r="D610" t="s">
        <v>1696</v>
      </c>
      <c r="E610" t="s">
        <v>1674</v>
      </c>
      <c r="F610" t="s">
        <v>101</v>
      </c>
      <c r="G610" t="s">
        <v>1709</v>
      </c>
      <c r="H610">
        <v>11</v>
      </c>
      <c r="I610">
        <v>1788.39</v>
      </c>
      <c r="J610">
        <v>19672.29</v>
      </c>
    </row>
    <row r="611" spans="1:10">
      <c r="A611" s="25">
        <v>45258</v>
      </c>
      <c r="B611" t="s">
        <v>1692</v>
      </c>
      <c r="C611" t="s">
        <v>1707</v>
      </c>
      <c r="D611" t="s">
        <v>1683</v>
      </c>
      <c r="E611" t="s">
        <v>1679</v>
      </c>
      <c r="F611" t="s">
        <v>97</v>
      </c>
      <c r="G611" t="s">
        <v>1711</v>
      </c>
      <c r="H611">
        <v>6</v>
      </c>
      <c r="I611">
        <v>2867.98</v>
      </c>
      <c r="J611">
        <v>17207.88</v>
      </c>
    </row>
    <row r="612" spans="1:10">
      <c r="A612" s="25">
        <v>45123</v>
      </c>
      <c r="B612" t="s">
        <v>1686</v>
      </c>
      <c r="C612" t="s">
        <v>1672</v>
      </c>
      <c r="D612" t="s">
        <v>1673</v>
      </c>
      <c r="E612" t="s">
        <v>1674</v>
      </c>
      <c r="F612" t="s">
        <v>97</v>
      </c>
      <c r="G612" t="s">
        <v>1685</v>
      </c>
      <c r="H612">
        <v>6</v>
      </c>
      <c r="I612">
        <v>3566.53</v>
      </c>
      <c r="J612">
        <v>21399.18</v>
      </c>
    </row>
    <row r="613" spans="1:10">
      <c r="A613" s="25">
        <v>45173</v>
      </c>
      <c r="B613" t="s">
        <v>1698</v>
      </c>
      <c r="C613" t="s">
        <v>1137</v>
      </c>
      <c r="D613" t="s">
        <v>1696</v>
      </c>
      <c r="E613" t="s">
        <v>1674</v>
      </c>
      <c r="F613" t="s">
        <v>114</v>
      </c>
      <c r="G613" t="s">
        <v>1691</v>
      </c>
      <c r="H613">
        <v>13</v>
      </c>
      <c r="I613">
        <v>2669.5</v>
      </c>
      <c r="J613">
        <v>34703.5</v>
      </c>
    </row>
    <row r="614" spans="1:10">
      <c r="A614" s="25">
        <v>45144</v>
      </c>
      <c r="B614" t="s">
        <v>1694</v>
      </c>
      <c r="C614" t="s">
        <v>1690</v>
      </c>
      <c r="D614" t="s">
        <v>1678</v>
      </c>
      <c r="E614" t="s">
        <v>1679</v>
      </c>
      <c r="F614" t="s">
        <v>1687</v>
      </c>
      <c r="G614" t="s">
        <v>1710</v>
      </c>
      <c r="H614">
        <v>6</v>
      </c>
      <c r="I614">
        <v>3842.46</v>
      </c>
      <c r="J614">
        <v>23054.76</v>
      </c>
    </row>
    <row r="615" spans="1:10">
      <c r="A615" s="25">
        <v>45075</v>
      </c>
      <c r="B615" t="s">
        <v>1689</v>
      </c>
      <c r="C615" t="s">
        <v>1136</v>
      </c>
      <c r="D615" t="s">
        <v>1673</v>
      </c>
      <c r="E615" t="s">
        <v>1674</v>
      </c>
      <c r="F615" t="s">
        <v>101</v>
      </c>
      <c r="G615" t="s">
        <v>1675</v>
      </c>
      <c r="H615">
        <v>13</v>
      </c>
      <c r="I615">
        <v>1419.3</v>
      </c>
      <c r="J615">
        <v>18450.900000000001</v>
      </c>
    </row>
    <row r="616" spans="1:10">
      <c r="A616" s="25">
        <v>45018</v>
      </c>
      <c r="B616" t="s">
        <v>1686</v>
      </c>
      <c r="C616" t="s">
        <v>1701</v>
      </c>
      <c r="D616" t="s">
        <v>1702</v>
      </c>
      <c r="E616" t="s">
        <v>1703</v>
      </c>
      <c r="F616" t="s">
        <v>89</v>
      </c>
      <c r="G616" t="s">
        <v>1105</v>
      </c>
      <c r="H616">
        <v>1</v>
      </c>
      <c r="I616">
        <v>3187.31</v>
      </c>
      <c r="J616">
        <v>3187.31</v>
      </c>
    </row>
    <row r="617" spans="1:10">
      <c r="A617" s="25">
        <v>45232</v>
      </c>
      <c r="B617" t="s">
        <v>1671</v>
      </c>
      <c r="C617" t="s">
        <v>1682</v>
      </c>
      <c r="D617" t="s">
        <v>1683</v>
      </c>
      <c r="E617" t="s">
        <v>1679</v>
      </c>
      <c r="F617" t="s">
        <v>1687</v>
      </c>
      <c r="G617" t="s">
        <v>1710</v>
      </c>
      <c r="H617">
        <v>12</v>
      </c>
      <c r="I617">
        <v>1837.2</v>
      </c>
      <c r="J617">
        <v>22046.400000000001</v>
      </c>
    </row>
    <row r="618" spans="1:10">
      <c r="A618" s="25">
        <v>45285</v>
      </c>
      <c r="B618" t="s">
        <v>1686</v>
      </c>
      <c r="C618" t="s">
        <v>1695</v>
      </c>
      <c r="D618" t="s">
        <v>1696</v>
      </c>
      <c r="E618" t="s">
        <v>1674</v>
      </c>
      <c r="F618" t="s">
        <v>89</v>
      </c>
      <c r="G618" t="s">
        <v>1714</v>
      </c>
      <c r="H618">
        <v>2</v>
      </c>
      <c r="I618">
        <v>4081.92</v>
      </c>
      <c r="J618">
        <v>8163.84</v>
      </c>
    </row>
    <row r="619" spans="1:10">
      <c r="A619" s="25">
        <v>45166</v>
      </c>
      <c r="B619" t="s">
        <v>1676</v>
      </c>
      <c r="C619" t="s">
        <v>1695</v>
      </c>
      <c r="D619" t="s">
        <v>1696</v>
      </c>
      <c r="E619" t="s">
        <v>1674</v>
      </c>
      <c r="F619" t="s">
        <v>1687</v>
      </c>
      <c r="G619" t="s">
        <v>1688</v>
      </c>
      <c r="H619">
        <v>20</v>
      </c>
      <c r="I619">
        <v>3184.86</v>
      </c>
      <c r="J619">
        <v>63697.2</v>
      </c>
    </row>
    <row r="620" spans="1:10">
      <c r="A620" s="25">
        <v>44957</v>
      </c>
      <c r="B620" t="s">
        <v>1689</v>
      </c>
      <c r="C620" t="s">
        <v>1677</v>
      </c>
      <c r="D620" t="s">
        <v>1678</v>
      </c>
      <c r="E620" t="s">
        <v>1679</v>
      </c>
      <c r="F620" t="s">
        <v>101</v>
      </c>
      <c r="G620" t="s">
        <v>1715</v>
      </c>
      <c r="H620">
        <v>8</v>
      </c>
      <c r="I620">
        <v>3402.24</v>
      </c>
      <c r="J620">
        <v>27217.919999999998</v>
      </c>
    </row>
    <row r="621" spans="1:10">
      <c r="A621" s="25">
        <v>45171</v>
      </c>
      <c r="B621" t="s">
        <v>1689</v>
      </c>
      <c r="C621" t="s">
        <v>1135</v>
      </c>
      <c r="D621" t="s">
        <v>1673</v>
      </c>
      <c r="E621" t="s">
        <v>1674</v>
      </c>
      <c r="F621" t="s">
        <v>101</v>
      </c>
      <c r="G621" t="s">
        <v>1715</v>
      </c>
      <c r="H621">
        <v>10</v>
      </c>
      <c r="I621">
        <v>2750.69</v>
      </c>
      <c r="J621">
        <v>27506.9</v>
      </c>
    </row>
    <row r="622" spans="1:10">
      <c r="A622" s="25">
        <v>44996</v>
      </c>
      <c r="B622" t="s">
        <v>1705</v>
      </c>
      <c r="C622" t="s">
        <v>1136</v>
      </c>
      <c r="D622" t="s">
        <v>1673</v>
      </c>
      <c r="E622" t="s">
        <v>1674</v>
      </c>
      <c r="F622" t="s">
        <v>89</v>
      </c>
      <c r="G622" t="s">
        <v>1105</v>
      </c>
      <c r="H622">
        <v>13</v>
      </c>
      <c r="I622">
        <v>4090.9</v>
      </c>
      <c r="J622">
        <v>53181.7</v>
      </c>
    </row>
    <row r="623" spans="1:10">
      <c r="A623" s="25">
        <v>45118</v>
      </c>
      <c r="B623" t="s">
        <v>1700</v>
      </c>
      <c r="C623" t="s">
        <v>1682</v>
      </c>
      <c r="D623" t="s">
        <v>1683</v>
      </c>
      <c r="E623" t="s">
        <v>1679</v>
      </c>
      <c r="F623" t="s">
        <v>1687</v>
      </c>
      <c r="G623" t="s">
        <v>1708</v>
      </c>
      <c r="H623">
        <v>3</v>
      </c>
      <c r="I623">
        <v>4234</v>
      </c>
      <c r="J623">
        <v>12702</v>
      </c>
    </row>
    <row r="624" spans="1:10">
      <c r="A624" s="25">
        <v>45083</v>
      </c>
      <c r="B624" t="s">
        <v>1705</v>
      </c>
      <c r="C624" t="s">
        <v>1684</v>
      </c>
      <c r="D624" t="s">
        <v>1678</v>
      </c>
      <c r="E624" t="s">
        <v>1679</v>
      </c>
      <c r="F624" t="s">
        <v>89</v>
      </c>
      <c r="G624" t="s">
        <v>1713</v>
      </c>
      <c r="H624">
        <v>12</v>
      </c>
      <c r="I624">
        <v>1701.3</v>
      </c>
      <c r="J624">
        <v>20415.599999999999</v>
      </c>
    </row>
    <row r="625" spans="1:10">
      <c r="A625" s="25">
        <v>45112</v>
      </c>
      <c r="B625" t="s">
        <v>1698</v>
      </c>
      <c r="C625" t="s">
        <v>1690</v>
      </c>
      <c r="D625" t="s">
        <v>1678</v>
      </c>
      <c r="E625" t="s">
        <v>1679</v>
      </c>
      <c r="F625" t="s">
        <v>89</v>
      </c>
      <c r="G625" t="s">
        <v>1714</v>
      </c>
      <c r="H625">
        <v>18</v>
      </c>
      <c r="I625">
        <v>1599.01</v>
      </c>
      <c r="J625">
        <v>28782.18</v>
      </c>
    </row>
    <row r="626" spans="1:10">
      <c r="A626" s="25">
        <v>45076</v>
      </c>
      <c r="B626" t="s">
        <v>1698</v>
      </c>
      <c r="C626" t="s">
        <v>1707</v>
      </c>
      <c r="D626" t="s">
        <v>1683</v>
      </c>
      <c r="E626" t="s">
        <v>1679</v>
      </c>
      <c r="F626" t="s">
        <v>89</v>
      </c>
      <c r="G626" t="s">
        <v>1105</v>
      </c>
      <c r="H626">
        <v>11</v>
      </c>
      <c r="I626">
        <v>4564.7299999999996</v>
      </c>
      <c r="J626">
        <v>50212.03</v>
      </c>
    </row>
    <row r="627" spans="1:10">
      <c r="A627" s="25">
        <v>45110</v>
      </c>
      <c r="B627" t="s">
        <v>1671</v>
      </c>
      <c r="C627" t="s">
        <v>1695</v>
      </c>
      <c r="D627" t="s">
        <v>1696</v>
      </c>
      <c r="E627" t="s">
        <v>1674</v>
      </c>
      <c r="F627" t="s">
        <v>101</v>
      </c>
      <c r="G627" t="s">
        <v>1709</v>
      </c>
      <c r="H627">
        <v>14</v>
      </c>
      <c r="I627">
        <v>3507.75</v>
      </c>
      <c r="J627">
        <v>49108.5</v>
      </c>
    </row>
    <row r="628" spans="1:10">
      <c r="A628" s="25">
        <v>45011</v>
      </c>
      <c r="B628" t="s">
        <v>1694</v>
      </c>
      <c r="C628" t="s">
        <v>1716</v>
      </c>
      <c r="D628" t="s">
        <v>1702</v>
      </c>
      <c r="E628" t="s">
        <v>1703</v>
      </c>
      <c r="F628" t="s">
        <v>114</v>
      </c>
      <c r="G628" t="s">
        <v>1691</v>
      </c>
      <c r="H628">
        <v>4</v>
      </c>
      <c r="I628">
        <v>810.38</v>
      </c>
      <c r="J628">
        <v>3241.52</v>
      </c>
    </row>
    <row r="629" spans="1:10">
      <c r="A629" s="25">
        <v>45097</v>
      </c>
      <c r="B629" t="s">
        <v>1671</v>
      </c>
      <c r="C629" t="s">
        <v>1136</v>
      </c>
      <c r="D629" t="s">
        <v>1673</v>
      </c>
      <c r="E629" t="s">
        <v>1674</v>
      </c>
      <c r="F629" t="s">
        <v>89</v>
      </c>
      <c r="G629" t="s">
        <v>1713</v>
      </c>
      <c r="H629">
        <v>7</v>
      </c>
      <c r="I629">
        <v>698.8</v>
      </c>
      <c r="J629">
        <v>4891.6000000000004</v>
      </c>
    </row>
    <row r="630" spans="1:10">
      <c r="A630" s="25">
        <v>45179</v>
      </c>
      <c r="B630" t="s">
        <v>1700</v>
      </c>
      <c r="C630" t="s">
        <v>1677</v>
      </c>
      <c r="D630" t="s">
        <v>1678</v>
      </c>
      <c r="E630" t="s">
        <v>1679</v>
      </c>
      <c r="F630" t="s">
        <v>89</v>
      </c>
      <c r="G630" t="s">
        <v>1714</v>
      </c>
      <c r="H630">
        <v>14</v>
      </c>
      <c r="I630">
        <v>2833.44</v>
      </c>
      <c r="J630">
        <v>39668.160000000003</v>
      </c>
    </row>
    <row r="631" spans="1:10">
      <c r="A631" s="25">
        <v>45000</v>
      </c>
      <c r="B631" t="s">
        <v>1686</v>
      </c>
      <c r="C631" t="s">
        <v>1682</v>
      </c>
      <c r="D631" t="s">
        <v>1683</v>
      </c>
      <c r="E631" t="s">
        <v>1679</v>
      </c>
      <c r="F631" t="s">
        <v>1687</v>
      </c>
      <c r="G631" t="s">
        <v>1708</v>
      </c>
      <c r="H631">
        <v>20</v>
      </c>
      <c r="I631">
        <v>2409.6799999999998</v>
      </c>
      <c r="J631">
        <v>48193.599999999999</v>
      </c>
    </row>
    <row r="632" spans="1:10">
      <c r="A632" s="25">
        <v>45175</v>
      </c>
      <c r="B632" t="s">
        <v>1700</v>
      </c>
      <c r="C632" t="s">
        <v>1690</v>
      </c>
      <c r="D632" t="s">
        <v>1678</v>
      </c>
      <c r="E632" t="s">
        <v>1679</v>
      </c>
      <c r="F632" t="s">
        <v>1687</v>
      </c>
      <c r="G632" t="s">
        <v>1710</v>
      </c>
      <c r="H632">
        <v>17</v>
      </c>
      <c r="I632">
        <v>2448.5100000000002</v>
      </c>
      <c r="J632">
        <v>41624.67</v>
      </c>
    </row>
    <row r="633" spans="1:10">
      <c r="A633" s="25">
        <v>45148</v>
      </c>
      <c r="B633" t="s">
        <v>1705</v>
      </c>
      <c r="C633" t="s">
        <v>1690</v>
      </c>
      <c r="D633" t="s">
        <v>1678</v>
      </c>
      <c r="E633" t="s">
        <v>1679</v>
      </c>
      <c r="F633" t="s">
        <v>97</v>
      </c>
      <c r="G633" t="s">
        <v>1697</v>
      </c>
      <c r="H633">
        <v>7</v>
      </c>
      <c r="I633">
        <v>4029.58</v>
      </c>
      <c r="J633">
        <v>28207.06</v>
      </c>
    </row>
    <row r="634" spans="1:10">
      <c r="A634" s="25">
        <v>45183</v>
      </c>
      <c r="B634" t="s">
        <v>1686</v>
      </c>
      <c r="C634" t="s">
        <v>1684</v>
      </c>
      <c r="D634" t="s">
        <v>1678</v>
      </c>
      <c r="E634" t="s">
        <v>1679</v>
      </c>
      <c r="F634" t="s">
        <v>1687</v>
      </c>
      <c r="G634" t="s">
        <v>1704</v>
      </c>
      <c r="H634">
        <v>15</v>
      </c>
      <c r="I634">
        <v>3999.29</v>
      </c>
      <c r="J634">
        <v>59989.35</v>
      </c>
    </row>
    <row r="635" spans="1:10">
      <c r="A635" s="25">
        <v>45168</v>
      </c>
      <c r="B635" t="s">
        <v>1692</v>
      </c>
      <c r="C635" t="s">
        <v>1693</v>
      </c>
      <c r="D635" t="s">
        <v>1683</v>
      </c>
      <c r="E635" t="s">
        <v>1679</v>
      </c>
      <c r="F635" t="s">
        <v>114</v>
      </c>
      <c r="G635" t="s">
        <v>1712</v>
      </c>
      <c r="H635">
        <v>17</v>
      </c>
      <c r="I635">
        <v>583.88</v>
      </c>
      <c r="J635">
        <v>9925.9599999999991</v>
      </c>
    </row>
    <row r="636" spans="1:10">
      <c r="A636" s="25">
        <v>45140</v>
      </c>
      <c r="B636" t="s">
        <v>1705</v>
      </c>
      <c r="C636" t="s">
        <v>1137</v>
      </c>
      <c r="D636" t="s">
        <v>1696</v>
      </c>
      <c r="E636" t="s">
        <v>1674</v>
      </c>
      <c r="F636" t="s">
        <v>97</v>
      </c>
      <c r="G636" t="s">
        <v>1699</v>
      </c>
      <c r="H636">
        <v>7</v>
      </c>
      <c r="I636">
        <v>1319.32</v>
      </c>
      <c r="J636">
        <v>9235.24</v>
      </c>
    </row>
    <row r="637" spans="1:10">
      <c r="A637" s="25">
        <v>45068</v>
      </c>
      <c r="B637" t="s">
        <v>1689</v>
      </c>
      <c r="C637" t="s">
        <v>1672</v>
      </c>
      <c r="D637" t="s">
        <v>1673</v>
      </c>
      <c r="E637" t="s">
        <v>1674</v>
      </c>
      <c r="F637" t="s">
        <v>101</v>
      </c>
      <c r="G637" t="s">
        <v>1719</v>
      </c>
      <c r="H637">
        <v>15</v>
      </c>
      <c r="I637">
        <v>2698.6</v>
      </c>
      <c r="J637">
        <v>40479</v>
      </c>
    </row>
    <row r="638" spans="1:10">
      <c r="A638" s="25">
        <v>45107</v>
      </c>
      <c r="B638" t="s">
        <v>1681</v>
      </c>
      <c r="C638" t="s">
        <v>1682</v>
      </c>
      <c r="D638" t="s">
        <v>1683</v>
      </c>
      <c r="E638" t="s">
        <v>1679</v>
      </c>
      <c r="F638" t="s">
        <v>114</v>
      </c>
      <c r="G638" t="s">
        <v>1712</v>
      </c>
      <c r="H638">
        <v>19</v>
      </c>
      <c r="I638">
        <v>4364.6400000000003</v>
      </c>
      <c r="J638">
        <v>82928.160000000003</v>
      </c>
    </row>
    <row r="639" spans="1:10">
      <c r="A639" s="25">
        <v>45033</v>
      </c>
      <c r="B639" t="s">
        <v>1698</v>
      </c>
      <c r="C639" t="s">
        <v>1684</v>
      </c>
      <c r="D639" t="s">
        <v>1678</v>
      </c>
      <c r="E639" t="s">
        <v>1679</v>
      </c>
      <c r="F639" t="s">
        <v>101</v>
      </c>
      <c r="G639" t="s">
        <v>1709</v>
      </c>
      <c r="H639">
        <v>8</v>
      </c>
      <c r="I639">
        <v>4740.97</v>
      </c>
      <c r="J639">
        <v>37927.760000000002</v>
      </c>
    </row>
    <row r="640" spans="1:10">
      <c r="A640" s="25">
        <v>45060</v>
      </c>
      <c r="B640" t="s">
        <v>1689</v>
      </c>
      <c r="C640" t="s">
        <v>1693</v>
      </c>
      <c r="D640" t="s">
        <v>1683</v>
      </c>
      <c r="E640" t="s">
        <v>1679</v>
      </c>
      <c r="F640" t="s">
        <v>114</v>
      </c>
      <c r="G640" t="s">
        <v>1712</v>
      </c>
      <c r="H640">
        <v>4</v>
      </c>
      <c r="I640">
        <v>917.97</v>
      </c>
      <c r="J640">
        <v>3671.88</v>
      </c>
    </row>
    <row r="641" spans="1:10">
      <c r="A641" s="25">
        <v>45055</v>
      </c>
      <c r="B641" t="s">
        <v>1689</v>
      </c>
      <c r="C641" t="s">
        <v>1137</v>
      </c>
      <c r="D641" t="s">
        <v>1696</v>
      </c>
      <c r="E641" t="s">
        <v>1674</v>
      </c>
      <c r="F641" t="s">
        <v>97</v>
      </c>
      <c r="G641" t="s">
        <v>1697</v>
      </c>
      <c r="H641">
        <v>10</v>
      </c>
      <c r="I641">
        <v>224.53</v>
      </c>
      <c r="J641">
        <v>2245.3000000000002</v>
      </c>
    </row>
    <row r="642" spans="1:10">
      <c r="A642" s="25">
        <v>44973</v>
      </c>
      <c r="B642" t="s">
        <v>1676</v>
      </c>
      <c r="C642" t="s">
        <v>1716</v>
      </c>
      <c r="D642" t="s">
        <v>1702</v>
      </c>
      <c r="E642" t="s">
        <v>1703</v>
      </c>
      <c r="F642" t="s">
        <v>114</v>
      </c>
      <c r="G642" t="s">
        <v>1712</v>
      </c>
      <c r="H642">
        <v>1</v>
      </c>
      <c r="I642">
        <v>3246.08</v>
      </c>
      <c r="J642">
        <v>3246.08</v>
      </c>
    </row>
    <row r="643" spans="1:10">
      <c r="A643" s="25">
        <v>45248</v>
      </c>
      <c r="B643" t="s">
        <v>1681</v>
      </c>
      <c r="C643" t="s">
        <v>1672</v>
      </c>
      <c r="D643" t="s">
        <v>1673</v>
      </c>
      <c r="E643" t="s">
        <v>1674</v>
      </c>
      <c r="F643" t="s">
        <v>101</v>
      </c>
      <c r="G643" t="s">
        <v>1719</v>
      </c>
      <c r="H643">
        <v>16</v>
      </c>
      <c r="I643">
        <v>1411.33</v>
      </c>
      <c r="J643">
        <v>22581.279999999999</v>
      </c>
    </row>
    <row r="644" spans="1:10">
      <c r="A644" s="25">
        <v>45051</v>
      </c>
      <c r="B644" t="s">
        <v>1671</v>
      </c>
      <c r="C644" t="s">
        <v>1690</v>
      </c>
      <c r="D644" t="s">
        <v>1678</v>
      </c>
      <c r="E644" t="s">
        <v>1679</v>
      </c>
      <c r="F644" t="s">
        <v>97</v>
      </c>
      <c r="G644" t="s">
        <v>1711</v>
      </c>
      <c r="H644">
        <v>19</v>
      </c>
      <c r="I644">
        <v>2174.06</v>
      </c>
      <c r="J644">
        <v>41307.14</v>
      </c>
    </row>
    <row r="645" spans="1:10">
      <c r="A645" s="25">
        <v>45026</v>
      </c>
      <c r="B645" t="s">
        <v>1671</v>
      </c>
      <c r="C645" t="s">
        <v>1684</v>
      </c>
      <c r="D645" t="s">
        <v>1678</v>
      </c>
      <c r="E645" t="s">
        <v>1679</v>
      </c>
      <c r="F645" t="s">
        <v>1687</v>
      </c>
      <c r="G645" t="s">
        <v>1704</v>
      </c>
      <c r="H645">
        <v>2</v>
      </c>
      <c r="I645">
        <v>1194.4000000000001</v>
      </c>
      <c r="J645">
        <v>2388.8000000000002</v>
      </c>
    </row>
    <row r="646" spans="1:10">
      <c r="A646" s="25">
        <v>45188</v>
      </c>
      <c r="B646" t="s">
        <v>1700</v>
      </c>
      <c r="C646" t="s">
        <v>1137</v>
      </c>
      <c r="D646" t="s">
        <v>1696</v>
      </c>
      <c r="E646" t="s">
        <v>1674</v>
      </c>
      <c r="F646" t="s">
        <v>97</v>
      </c>
      <c r="G646" t="s">
        <v>1697</v>
      </c>
      <c r="H646">
        <v>2</v>
      </c>
      <c r="I646">
        <v>3726.58</v>
      </c>
      <c r="J646">
        <v>7453.16</v>
      </c>
    </row>
    <row r="647" spans="1:10">
      <c r="A647" s="25">
        <v>45085</v>
      </c>
      <c r="B647" t="s">
        <v>1692</v>
      </c>
      <c r="C647" t="s">
        <v>1690</v>
      </c>
      <c r="D647" t="s">
        <v>1678</v>
      </c>
      <c r="E647" t="s">
        <v>1679</v>
      </c>
      <c r="F647" t="s">
        <v>101</v>
      </c>
      <c r="G647" t="s">
        <v>1715</v>
      </c>
      <c r="H647">
        <v>5</v>
      </c>
      <c r="I647">
        <v>1599.65</v>
      </c>
      <c r="J647">
        <v>7998.25</v>
      </c>
    </row>
    <row r="648" spans="1:10">
      <c r="A648" s="25">
        <v>45258</v>
      </c>
      <c r="B648" t="s">
        <v>1698</v>
      </c>
      <c r="C648" t="s">
        <v>1706</v>
      </c>
      <c r="D648" t="s">
        <v>1702</v>
      </c>
      <c r="E648" t="s">
        <v>1703</v>
      </c>
      <c r="F648" t="s">
        <v>101</v>
      </c>
      <c r="G648" t="s">
        <v>1675</v>
      </c>
      <c r="H648">
        <v>16</v>
      </c>
      <c r="I648">
        <v>1628.19</v>
      </c>
      <c r="J648">
        <v>26051.040000000001</v>
      </c>
    </row>
    <row r="649" spans="1:10">
      <c r="A649" s="25">
        <v>45070</v>
      </c>
      <c r="B649" t="s">
        <v>1698</v>
      </c>
      <c r="C649" t="s">
        <v>1682</v>
      </c>
      <c r="D649" t="s">
        <v>1683</v>
      </c>
      <c r="E649" t="s">
        <v>1679</v>
      </c>
      <c r="F649" t="s">
        <v>97</v>
      </c>
      <c r="G649" t="s">
        <v>1699</v>
      </c>
      <c r="H649">
        <v>17</v>
      </c>
      <c r="I649">
        <v>3381.75</v>
      </c>
      <c r="J649">
        <v>57489.75</v>
      </c>
    </row>
    <row r="650" spans="1:10">
      <c r="A650" s="25">
        <v>45229</v>
      </c>
      <c r="B650" t="s">
        <v>1676</v>
      </c>
      <c r="C650" t="s">
        <v>1693</v>
      </c>
      <c r="D650" t="s">
        <v>1683</v>
      </c>
      <c r="E650" t="s">
        <v>1679</v>
      </c>
      <c r="F650" t="s">
        <v>114</v>
      </c>
      <c r="G650" t="s">
        <v>1680</v>
      </c>
      <c r="H650">
        <v>18</v>
      </c>
      <c r="I650">
        <v>3627.09</v>
      </c>
      <c r="J650">
        <v>65287.62</v>
      </c>
    </row>
    <row r="651" spans="1:10">
      <c r="A651" s="25">
        <v>45077</v>
      </c>
      <c r="B651" t="s">
        <v>1671</v>
      </c>
      <c r="C651" t="s">
        <v>1137</v>
      </c>
      <c r="D651" t="s">
        <v>1696</v>
      </c>
      <c r="E651" t="s">
        <v>1674</v>
      </c>
      <c r="F651" t="s">
        <v>1687</v>
      </c>
      <c r="G651" t="s">
        <v>1688</v>
      </c>
      <c r="H651">
        <v>2</v>
      </c>
      <c r="I651">
        <v>3106.64</v>
      </c>
      <c r="J651">
        <v>6213.28</v>
      </c>
    </row>
    <row r="652" spans="1:10">
      <c r="A652" s="25">
        <v>44995</v>
      </c>
      <c r="B652" t="s">
        <v>1671</v>
      </c>
      <c r="C652" t="s">
        <v>1136</v>
      </c>
      <c r="D652" t="s">
        <v>1673</v>
      </c>
      <c r="E652" t="s">
        <v>1674</v>
      </c>
      <c r="F652" t="s">
        <v>89</v>
      </c>
      <c r="G652" t="s">
        <v>1106</v>
      </c>
      <c r="H652">
        <v>15</v>
      </c>
      <c r="I652">
        <v>4310.01</v>
      </c>
      <c r="J652">
        <v>64650.15</v>
      </c>
    </row>
    <row r="653" spans="1:10">
      <c r="A653" s="25">
        <v>44988</v>
      </c>
      <c r="B653" t="s">
        <v>1694</v>
      </c>
      <c r="C653" t="s">
        <v>1717</v>
      </c>
      <c r="D653" t="s">
        <v>1696</v>
      </c>
      <c r="E653" t="s">
        <v>1674</v>
      </c>
      <c r="F653" t="s">
        <v>101</v>
      </c>
      <c r="G653" t="s">
        <v>1675</v>
      </c>
      <c r="H653">
        <v>14</v>
      </c>
      <c r="I653">
        <v>3352.19</v>
      </c>
      <c r="J653">
        <v>46930.66</v>
      </c>
    </row>
    <row r="654" spans="1:10">
      <c r="A654" s="25">
        <v>45061</v>
      </c>
      <c r="B654" t="s">
        <v>1686</v>
      </c>
      <c r="C654" t="s">
        <v>1706</v>
      </c>
      <c r="D654" t="s">
        <v>1702</v>
      </c>
      <c r="E654" t="s">
        <v>1703</v>
      </c>
      <c r="F654" t="s">
        <v>89</v>
      </c>
      <c r="G654" t="s">
        <v>1713</v>
      </c>
      <c r="H654">
        <v>18</v>
      </c>
      <c r="I654">
        <v>214.47</v>
      </c>
      <c r="J654">
        <v>3860.46</v>
      </c>
    </row>
    <row r="655" spans="1:10">
      <c r="A655" s="25">
        <v>45000</v>
      </c>
      <c r="B655" t="s">
        <v>1671</v>
      </c>
      <c r="C655" t="s">
        <v>1707</v>
      </c>
      <c r="D655" t="s">
        <v>1683</v>
      </c>
      <c r="E655" t="s">
        <v>1679</v>
      </c>
      <c r="F655" t="s">
        <v>1687</v>
      </c>
      <c r="G655" t="s">
        <v>1688</v>
      </c>
      <c r="H655">
        <v>3</v>
      </c>
      <c r="I655">
        <v>1810.87</v>
      </c>
      <c r="J655">
        <v>5432.61</v>
      </c>
    </row>
    <row r="656" spans="1:10">
      <c r="A656" s="25">
        <v>44956</v>
      </c>
      <c r="B656" t="s">
        <v>1700</v>
      </c>
      <c r="C656" t="s">
        <v>1701</v>
      </c>
      <c r="D656" t="s">
        <v>1702</v>
      </c>
      <c r="E656" t="s">
        <v>1703</v>
      </c>
      <c r="F656" t="s">
        <v>101</v>
      </c>
      <c r="G656" t="s">
        <v>1715</v>
      </c>
      <c r="H656">
        <v>3</v>
      </c>
      <c r="I656">
        <v>1105.46</v>
      </c>
      <c r="J656">
        <v>3316.38</v>
      </c>
    </row>
    <row r="657" spans="1:10">
      <c r="A657" s="25">
        <v>45166</v>
      </c>
      <c r="B657" t="s">
        <v>1705</v>
      </c>
      <c r="C657" t="s">
        <v>1135</v>
      </c>
      <c r="D657" t="s">
        <v>1673</v>
      </c>
      <c r="E657" t="s">
        <v>1674</v>
      </c>
      <c r="F657" t="s">
        <v>1687</v>
      </c>
      <c r="G657" t="s">
        <v>1704</v>
      </c>
      <c r="H657">
        <v>10</v>
      </c>
      <c r="I657">
        <v>3707.43</v>
      </c>
      <c r="J657">
        <v>37074.300000000003</v>
      </c>
    </row>
    <row r="658" spans="1:10">
      <c r="A658" s="25">
        <v>45209</v>
      </c>
      <c r="B658" t="s">
        <v>1698</v>
      </c>
      <c r="C658" t="s">
        <v>1684</v>
      </c>
      <c r="D658" t="s">
        <v>1678</v>
      </c>
      <c r="E658" t="s">
        <v>1679</v>
      </c>
      <c r="F658" t="s">
        <v>89</v>
      </c>
      <c r="G658" t="s">
        <v>1713</v>
      </c>
      <c r="H658">
        <v>18</v>
      </c>
      <c r="I658">
        <v>584.4</v>
      </c>
      <c r="J658">
        <v>10519.2</v>
      </c>
    </row>
    <row r="659" spans="1:10">
      <c r="A659" s="25">
        <v>44985</v>
      </c>
      <c r="B659" t="s">
        <v>1676</v>
      </c>
      <c r="C659" t="s">
        <v>1707</v>
      </c>
      <c r="D659" t="s">
        <v>1683</v>
      </c>
      <c r="E659" t="s">
        <v>1679</v>
      </c>
      <c r="F659" t="s">
        <v>101</v>
      </c>
      <c r="G659" t="s">
        <v>1715</v>
      </c>
      <c r="H659">
        <v>1</v>
      </c>
      <c r="I659">
        <v>2498.7399999999998</v>
      </c>
      <c r="J659">
        <v>2498.7399999999998</v>
      </c>
    </row>
    <row r="660" spans="1:10">
      <c r="A660" s="25">
        <v>44992</v>
      </c>
      <c r="B660" t="s">
        <v>1689</v>
      </c>
      <c r="C660" t="s">
        <v>1682</v>
      </c>
      <c r="D660" t="s">
        <v>1683</v>
      </c>
      <c r="E660" t="s">
        <v>1679</v>
      </c>
      <c r="F660" t="s">
        <v>89</v>
      </c>
      <c r="G660" t="s">
        <v>1713</v>
      </c>
      <c r="H660">
        <v>17</v>
      </c>
      <c r="I660">
        <v>2460.73</v>
      </c>
      <c r="J660">
        <v>41832.410000000003</v>
      </c>
    </row>
    <row r="661" spans="1:10">
      <c r="A661" s="25">
        <v>44938</v>
      </c>
      <c r="B661" t="s">
        <v>1700</v>
      </c>
      <c r="C661" t="s">
        <v>1672</v>
      </c>
      <c r="D661" t="s">
        <v>1673</v>
      </c>
      <c r="E661" t="s">
        <v>1674</v>
      </c>
      <c r="F661" t="s">
        <v>101</v>
      </c>
      <c r="G661" t="s">
        <v>1675</v>
      </c>
      <c r="H661">
        <v>13</v>
      </c>
      <c r="I661">
        <v>4630.9799999999996</v>
      </c>
      <c r="J661">
        <v>60202.74</v>
      </c>
    </row>
    <row r="662" spans="1:10">
      <c r="A662" s="25">
        <v>45241</v>
      </c>
      <c r="B662" t="s">
        <v>1686</v>
      </c>
      <c r="C662" t="s">
        <v>1682</v>
      </c>
      <c r="D662" t="s">
        <v>1683</v>
      </c>
      <c r="E662" t="s">
        <v>1679</v>
      </c>
      <c r="F662" t="s">
        <v>89</v>
      </c>
      <c r="G662" t="s">
        <v>1714</v>
      </c>
      <c r="H662">
        <v>3</v>
      </c>
      <c r="I662">
        <v>4324.88</v>
      </c>
      <c r="J662">
        <v>12974.64</v>
      </c>
    </row>
    <row r="663" spans="1:10">
      <c r="A663" s="25">
        <v>45211</v>
      </c>
      <c r="B663" t="s">
        <v>1671</v>
      </c>
      <c r="C663" t="s">
        <v>1701</v>
      </c>
      <c r="D663" t="s">
        <v>1702</v>
      </c>
      <c r="E663" t="s">
        <v>1703</v>
      </c>
      <c r="F663" t="s">
        <v>89</v>
      </c>
      <c r="G663" t="s">
        <v>1714</v>
      </c>
      <c r="H663">
        <v>20</v>
      </c>
      <c r="I663">
        <v>4049.4</v>
      </c>
      <c r="J663">
        <v>80988</v>
      </c>
    </row>
    <row r="664" spans="1:10">
      <c r="A664" s="25">
        <v>45207</v>
      </c>
      <c r="B664" t="s">
        <v>1676</v>
      </c>
      <c r="C664" t="s">
        <v>1717</v>
      </c>
      <c r="D664" t="s">
        <v>1696</v>
      </c>
      <c r="E664" t="s">
        <v>1674</v>
      </c>
      <c r="F664" t="s">
        <v>1687</v>
      </c>
      <c r="G664" t="s">
        <v>1710</v>
      </c>
      <c r="H664">
        <v>16</v>
      </c>
      <c r="I664">
        <v>2347.21</v>
      </c>
      <c r="J664">
        <v>37555.360000000001</v>
      </c>
    </row>
    <row r="665" spans="1:10">
      <c r="A665" s="25">
        <v>45254</v>
      </c>
      <c r="B665" t="s">
        <v>1676</v>
      </c>
      <c r="C665" t="s">
        <v>1136</v>
      </c>
      <c r="D665" t="s">
        <v>1673</v>
      </c>
      <c r="E665" t="s">
        <v>1674</v>
      </c>
      <c r="F665" t="s">
        <v>97</v>
      </c>
      <c r="G665" t="s">
        <v>1711</v>
      </c>
      <c r="H665">
        <v>2</v>
      </c>
      <c r="I665">
        <v>3743.52</v>
      </c>
      <c r="J665">
        <v>7487.04</v>
      </c>
    </row>
    <row r="666" spans="1:10">
      <c r="A666" s="25">
        <v>45221</v>
      </c>
      <c r="B666" t="s">
        <v>1681</v>
      </c>
      <c r="C666" t="s">
        <v>1693</v>
      </c>
      <c r="D666" t="s">
        <v>1683</v>
      </c>
      <c r="E666" t="s">
        <v>1679</v>
      </c>
      <c r="F666" t="s">
        <v>1687</v>
      </c>
      <c r="G666" t="s">
        <v>1708</v>
      </c>
      <c r="H666">
        <v>8</v>
      </c>
      <c r="I666">
        <v>303.48</v>
      </c>
      <c r="J666">
        <v>2427.84</v>
      </c>
    </row>
    <row r="667" spans="1:10">
      <c r="A667" s="25">
        <v>45183</v>
      </c>
      <c r="B667" t="s">
        <v>1698</v>
      </c>
      <c r="C667" t="s">
        <v>1677</v>
      </c>
      <c r="D667" t="s">
        <v>1678</v>
      </c>
      <c r="E667" t="s">
        <v>1679</v>
      </c>
      <c r="F667" t="s">
        <v>101</v>
      </c>
      <c r="G667" t="s">
        <v>1709</v>
      </c>
      <c r="H667">
        <v>7</v>
      </c>
      <c r="I667">
        <v>1373.41</v>
      </c>
      <c r="J667">
        <v>9613.8700000000008</v>
      </c>
    </row>
    <row r="668" spans="1:10">
      <c r="A668" s="25">
        <v>45006</v>
      </c>
      <c r="B668" t="s">
        <v>1698</v>
      </c>
      <c r="C668" t="s">
        <v>1706</v>
      </c>
      <c r="D668" t="s">
        <v>1702</v>
      </c>
      <c r="E668" t="s">
        <v>1703</v>
      </c>
      <c r="F668" t="s">
        <v>89</v>
      </c>
      <c r="G668" t="s">
        <v>1713</v>
      </c>
      <c r="H668">
        <v>10</v>
      </c>
      <c r="I668">
        <v>3048.2</v>
      </c>
      <c r="J668">
        <v>30482</v>
      </c>
    </row>
    <row r="669" spans="1:10">
      <c r="A669" s="25">
        <v>45290</v>
      </c>
      <c r="B669" t="s">
        <v>1700</v>
      </c>
      <c r="C669" t="s">
        <v>1695</v>
      </c>
      <c r="D669" t="s">
        <v>1696</v>
      </c>
      <c r="E669" t="s">
        <v>1674</v>
      </c>
      <c r="F669" t="s">
        <v>101</v>
      </c>
      <c r="G669" t="s">
        <v>1709</v>
      </c>
      <c r="H669">
        <v>20</v>
      </c>
      <c r="I669">
        <v>2818.78</v>
      </c>
      <c r="J669">
        <v>56375.6</v>
      </c>
    </row>
    <row r="670" spans="1:10">
      <c r="A670" s="25">
        <v>45234</v>
      </c>
      <c r="B670" t="s">
        <v>1676</v>
      </c>
      <c r="C670" t="s">
        <v>1136</v>
      </c>
      <c r="D670" t="s">
        <v>1673</v>
      </c>
      <c r="E670" t="s">
        <v>1674</v>
      </c>
      <c r="F670" t="s">
        <v>97</v>
      </c>
      <c r="G670" t="s">
        <v>1711</v>
      </c>
      <c r="H670">
        <v>1</v>
      </c>
      <c r="I670">
        <v>4647.3</v>
      </c>
      <c r="J670">
        <v>4647.3</v>
      </c>
    </row>
    <row r="671" spans="1:10">
      <c r="A671" s="25">
        <v>44964</v>
      </c>
      <c r="B671" t="s">
        <v>1681</v>
      </c>
      <c r="C671" t="s">
        <v>1137</v>
      </c>
      <c r="D671" t="s">
        <v>1696</v>
      </c>
      <c r="E671" t="s">
        <v>1674</v>
      </c>
      <c r="F671" t="s">
        <v>97</v>
      </c>
      <c r="G671" t="s">
        <v>1685</v>
      </c>
      <c r="H671">
        <v>20</v>
      </c>
      <c r="I671">
        <v>2302.4699999999998</v>
      </c>
      <c r="J671">
        <v>46049.4</v>
      </c>
    </row>
    <row r="672" spans="1:10">
      <c r="A672" s="25">
        <v>45011</v>
      </c>
      <c r="B672" t="s">
        <v>1705</v>
      </c>
      <c r="C672" t="s">
        <v>1706</v>
      </c>
      <c r="D672" t="s">
        <v>1702</v>
      </c>
      <c r="E672" t="s">
        <v>1703</v>
      </c>
      <c r="F672" t="s">
        <v>101</v>
      </c>
      <c r="G672" t="s">
        <v>1709</v>
      </c>
      <c r="H672">
        <v>17</v>
      </c>
      <c r="I672">
        <v>2805.45</v>
      </c>
      <c r="J672">
        <v>47692.65</v>
      </c>
    </row>
    <row r="673" spans="1:10">
      <c r="A673" s="25">
        <v>45030</v>
      </c>
      <c r="B673" t="s">
        <v>1705</v>
      </c>
      <c r="C673" t="s">
        <v>1677</v>
      </c>
      <c r="D673" t="s">
        <v>1678</v>
      </c>
      <c r="E673" t="s">
        <v>1679</v>
      </c>
      <c r="F673" t="s">
        <v>89</v>
      </c>
      <c r="G673" t="s">
        <v>1106</v>
      </c>
      <c r="H673">
        <v>3</v>
      </c>
      <c r="I673">
        <v>413.26</v>
      </c>
      <c r="J673">
        <v>1239.78</v>
      </c>
    </row>
    <row r="674" spans="1:10">
      <c r="A674" s="25">
        <v>45004</v>
      </c>
      <c r="B674" t="s">
        <v>1689</v>
      </c>
      <c r="C674" t="s">
        <v>1137</v>
      </c>
      <c r="D674" t="s">
        <v>1696</v>
      </c>
      <c r="E674" t="s">
        <v>1674</v>
      </c>
      <c r="F674" t="s">
        <v>97</v>
      </c>
      <c r="G674" t="s">
        <v>1697</v>
      </c>
      <c r="H674">
        <v>17</v>
      </c>
      <c r="I674">
        <v>3203.04</v>
      </c>
      <c r="J674">
        <v>54451.68</v>
      </c>
    </row>
    <row r="675" spans="1:10">
      <c r="A675" s="25">
        <v>45030</v>
      </c>
      <c r="B675" t="s">
        <v>1692</v>
      </c>
      <c r="C675" t="s">
        <v>1695</v>
      </c>
      <c r="D675" t="s">
        <v>1696</v>
      </c>
      <c r="E675" t="s">
        <v>1674</v>
      </c>
      <c r="F675" t="s">
        <v>97</v>
      </c>
      <c r="G675" t="s">
        <v>1685</v>
      </c>
      <c r="H675">
        <v>4</v>
      </c>
      <c r="I675">
        <v>1906.89</v>
      </c>
      <c r="J675">
        <v>7627.56</v>
      </c>
    </row>
    <row r="676" spans="1:10">
      <c r="A676" s="25">
        <v>45103</v>
      </c>
      <c r="B676" t="s">
        <v>1700</v>
      </c>
      <c r="C676" t="s">
        <v>1701</v>
      </c>
      <c r="D676" t="s">
        <v>1702</v>
      </c>
      <c r="E676" t="s">
        <v>1703</v>
      </c>
      <c r="F676" t="s">
        <v>1687</v>
      </c>
      <c r="G676" t="s">
        <v>1710</v>
      </c>
      <c r="H676">
        <v>14</v>
      </c>
      <c r="I676">
        <v>3829.68</v>
      </c>
      <c r="J676">
        <v>53615.519999999997</v>
      </c>
    </row>
    <row r="677" spans="1:10">
      <c r="A677" s="25">
        <v>45040</v>
      </c>
      <c r="B677" t="s">
        <v>1676</v>
      </c>
      <c r="C677" t="s">
        <v>1690</v>
      </c>
      <c r="D677" t="s">
        <v>1678</v>
      </c>
      <c r="E677" t="s">
        <v>1679</v>
      </c>
      <c r="F677" t="s">
        <v>114</v>
      </c>
      <c r="G677" t="s">
        <v>1680</v>
      </c>
      <c r="H677">
        <v>19</v>
      </c>
      <c r="I677">
        <v>2636.08</v>
      </c>
      <c r="J677">
        <v>50085.52</v>
      </c>
    </row>
    <row r="678" spans="1:10">
      <c r="A678" s="25">
        <v>45149</v>
      </c>
      <c r="B678" t="s">
        <v>1671</v>
      </c>
      <c r="C678" t="s">
        <v>1677</v>
      </c>
      <c r="D678" t="s">
        <v>1678</v>
      </c>
      <c r="E678" t="s">
        <v>1679</v>
      </c>
      <c r="F678" t="s">
        <v>89</v>
      </c>
      <c r="G678" t="s">
        <v>1105</v>
      </c>
      <c r="H678">
        <v>13</v>
      </c>
      <c r="I678">
        <v>3994.86</v>
      </c>
      <c r="J678">
        <v>51933.18</v>
      </c>
    </row>
    <row r="679" spans="1:10">
      <c r="A679" s="25">
        <v>45102</v>
      </c>
      <c r="B679" t="s">
        <v>1689</v>
      </c>
      <c r="C679" t="s">
        <v>1695</v>
      </c>
      <c r="D679" t="s">
        <v>1696</v>
      </c>
      <c r="E679" t="s">
        <v>1674</v>
      </c>
      <c r="F679" t="s">
        <v>114</v>
      </c>
      <c r="G679" t="s">
        <v>1691</v>
      </c>
      <c r="H679">
        <v>12</v>
      </c>
      <c r="I679">
        <v>1554.75</v>
      </c>
      <c r="J679">
        <v>18657</v>
      </c>
    </row>
    <row r="680" spans="1:10">
      <c r="A680" s="25">
        <v>44933</v>
      </c>
      <c r="B680" t="s">
        <v>1692</v>
      </c>
      <c r="C680" t="s">
        <v>1693</v>
      </c>
      <c r="D680" t="s">
        <v>1683</v>
      </c>
      <c r="E680" t="s">
        <v>1679</v>
      </c>
      <c r="F680" t="s">
        <v>114</v>
      </c>
      <c r="G680" t="s">
        <v>1718</v>
      </c>
      <c r="H680">
        <v>9</v>
      </c>
      <c r="I680">
        <v>4674.04</v>
      </c>
      <c r="J680">
        <v>42066.36</v>
      </c>
    </row>
    <row r="681" spans="1:10">
      <c r="A681" s="25">
        <v>44961</v>
      </c>
      <c r="B681" t="s">
        <v>1692</v>
      </c>
      <c r="C681" t="s">
        <v>1717</v>
      </c>
      <c r="D681" t="s">
        <v>1696</v>
      </c>
      <c r="E681" t="s">
        <v>1674</v>
      </c>
      <c r="F681" t="s">
        <v>101</v>
      </c>
      <c r="G681" t="s">
        <v>1675</v>
      </c>
      <c r="H681">
        <v>2</v>
      </c>
      <c r="I681">
        <v>1252.3</v>
      </c>
      <c r="J681">
        <v>2504.6</v>
      </c>
    </row>
    <row r="682" spans="1:10">
      <c r="A682" s="25">
        <v>45199</v>
      </c>
      <c r="B682" t="s">
        <v>1686</v>
      </c>
      <c r="C682" t="s">
        <v>1707</v>
      </c>
      <c r="D682" t="s">
        <v>1683</v>
      </c>
      <c r="E682" t="s">
        <v>1679</v>
      </c>
      <c r="F682" t="s">
        <v>114</v>
      </c>
      <c r="G682" t="s">
        <v>1691</v>
      </c>
      <c r="H682">
        <v>15</v>
      </c>
      <c r="I682">
        <v>1738.86</v>
      </c>
      <c r="J682">
        <v>26082.9</v>
      </c>
    </row>
    <row r="683" spans="1:10">
      <c r="A683" s="25">
        <v>45229</v>
      </c>
      <c r="B683" t="s">
        <v>1676</v>
      </c>
      <c r="C683" t="s">
        <v>1137</v>
      </c>
      <c r="D683" t="s">
        <v>1696</v>
      </c>
      <c r="E683" t="s">
        <v>1674</v>
      </c>
      <c r="F683" t="s">
        <v>97</v>
      </c>
      <c r="G683" t="s">
        <v>1697</v>
      </c>
      <c r="H683">
        <v>4</v>
      </c>
      <c r="I683">
        <v>2527.15</v>
      </c>
      <c r="J683">
        <v>10108.6</v>
      </c>
    </row>
    <row r="684" spans="1:10">
      <c r="A684" s="25">
        <v>44958</v>
      </c>
      <c r="B684" t="s">
        <v>1686</v>
      </c>
      <c r="C684" t="s">
        <v>1695</v>
      </c>
      <c r="D684" t="s">
        <v>1696</v>
      </c>
      <c r="E684" t="s">
        <v>1674</v>
      </c>
      <c r="F684" t="s">
        <v>97</v>
      </c>
      <c r="G684" t="s">
        <v>1685</v>
      </c>
      <c r="H684">
        <v>17</v>
      </c>
      <c r="I684">
        <v>4247.5600000000004</v>
      </c>
      <c r="J684">
        <v>72208.52</v>
      </c>
    </row>
    <row r="685" spans="1:10">
      <c r="A685" s="25">
        <v>45279</v>
      </c>
      <c r="B685" t="s">
        <v>1700</v>
      </c>
      <c r="C685" t="s">
        <v>1690</v>
      </c>
      <c r="D685" t="s">
        <v>1678</v>
      </c>
      <c r="E685" t="s">
        <v>1679</v>
      </c>
      <c r="F685" t="s">
        <v>1687</v>
      </c>
      <c r="G685" t="s">
        <v>1688</v>
      </c>
      <c r="H685">
        <v>8</v>
      </c>
      <c r="I685">
        <v>978.4</v>
      </c>
      <c r="J685">
        <v>7827.2</v>
      </c>
    </row>
    <row r="686" spans="1:10">
      <c r="A686" s="25">
        <v>45141</v>
      </c>
      <c r="B686" t="s">
        <v>1700</v>
      </c>
      <c r="C686" t="s">
        <v>1717</v>
      </c>
      <c r="D686" t="s">
        <v>1696</v>
      </c>
      <c r="E686" t="s">
        <v>1674</v>
      </c>
      <c r="F686" t="s">
        <v>101</v>
      </c>
      <c r="G686" t="s">
        <v>1715</v>
      </c>
      <c r="H686">
        <v>5</v>
      </c>
      <c r="I686">
        <v>1530.16</v>
      </c>
      <c r="J686">
        <v>7650.8</v>
      </c>
    </row>
    <row r="687" spans="1:10">
      <c r="A687" s="25">
        <v>44962</v>
      </c>
      <c r="B687" t="s">
        <v>1705</v>
      </c>
      <c r="C687" t="s">
        <v>1677</v>
      </c>
      <c r="D687" t="s">
        <v>1678</v>
      </c>
      <c r="E687" t="s">
        <v>1679</v>
      </c>
      <c r="F687" t="s">
        <v>101</v>
      </c>
      <c r="G687" t="s">
        <v>1715</v>
      </c>
      <c r="H687">
        <v>15</v>
      </c>
      <c r="I687">
        <v>4748.62</v>
      </c>
      <c r="J687">
        <v>71229.3</v>
      </c>
    </row>
    <row r="688" spans="1:10">
      <c r="A688" s="25">
        <v>45249</v>
      </c>
      <c r="B688" t="s">
        <v>1700</v>
      </c>
      <c r="C688" t="s">
        <v>1682</v>
      </c>
      <c r="D688" t="s">
        <v>1683</v>
      </c>
      <c r="E688" t="s">
        <v>1679</v>
      </c>
      <c r="F688" t="s">
        <v>101</v>
      </c>
      <c r="G688" t="s">
        <v>1675</v>
      </c>
      <c r="H688">
        <v>5</v>
      </c>
      <c r="I688">
        <v>4402.72</v>
      </c>
      <c r="J688">
        <v>22013.599999999999</v>
      </c>
    </row>
    <row r="689" spans="1:10">
      <c r="A689" s="25">
        <v>45117</v>
      </c>
      <c r="B689" t="s">
        <v>1671</v>
      </c>
      <c r="C689" t="s">
        <v>1135</v>
      </c>
      <c r="D689" t="s">
        <v>1673</v>
      </c>
      <c r="E689" t="s">
        <v>1674</v>
      </c>
      <c r="F689" t="s">
        <v>97</v>
      </c>
      <c r="G689" t="s">
        <v>1685</v>
      </c>
      <c r="H689">
        <v>16</v>
      </c>
      <c r="I689">
        <v>3858.12</v>
      </c>
      <c r="J689">
        <v>61729.919999999998</v>
      </c>
    </row>
    <row r="690" spans="1:10">
      <c r="A690" s="25">
        <v>44956</v>
      </c>
      <c r="B690" t="s">
        <v>1681</v>
      </c>
      <c r="C690" t="s">
        <v>1717</v>
      </c>
      <c r="D690" t="s">
        <v>1696</v>
      </c>
      <c r="E690" t="s">
        <v>1674</v>
      </c>
      <c r="F690" t="s">
        <v>1687</v>
      </c>
      <c r="G690" t="s">
        <v>1704</v>
      </c>
      <c r="H690">
        <v>10</v>
      </c>
      <c r="I690">
        <v>4939.99</v>
      </c>
      <c r="J690">
        <v>49399.9</v>
      </c>
    </row>
    <row r="691" spans="1:10">
      <c r="A691" s="25">
        <v>45128</v>
      </c>
      <c r="B691" t="s">
        <v>1671</v>
      </c>
      <c r="C691" t="s">
        <v>1677</v>
      </c>
      <c r="D691" t="s">
        <v>1678</v>
      </c>
      <c r="E691" t="s">
        <v>1679</v>
      </c>
      <c r="F691" t="s">
        <v>101</v>
      </c>
      <c r="G691" t="s">
        <v>1719</v>
      </c>
      <c r="H691">
        <v>8</v>
      </c>
      <c r="I691">
        <v>2394.87</v>
      </c>
      <c r="J691">
        <v>19158.96</v>
      </c>
    </row>
    <row r="692" spans="1:10">
      <c r="A692" s="25">
        <v>45257</v>
      </c>
      <c r="B692" t="s">
        <v>1676</v>
      </c>
      <c r="C692" t="s">
        <v>1717</v>
      </c>
      <c r="D692" t="s">
        <v>1696</v>
      </c>
      <c r="E692" t="s">
        <v>1674</v>
      </c>
      <c r="F692" t="s">
        <v>97</v>
      </c>
      <c r="G692" t="s">
        <v>1711</v>
      </c>
      <c r="H692">
        <v>11</v>
      </c>
      <c r="I692">
        <v>3277.74</v>
      </c>
      <c r="J692">
        <v>36055.14</v>
      </c>
    </row>
    <row r="693" spans="1:10">
      <c r="A693" s="25">
        <v>45009</v>
      </c>
      <c r="B693" t="s">
        <v>1689</v>
      </c>
      <c r="C693" t="s">
        <v>1682</v>
      </c>
      <c r="D693" t="s">
        <v>1683</v>
      </c>
      <c r="E693" t="s">
        <v>1679</v>
      </c>
      <c r="F693" t="s">
        <v>101</v>
      </c>
      <c r="G693" t="s">
        <v>1719</v>
      </c>
      <c r="H693">
        <v>5</v>
      </c>
      <c r="I693">
        <v>2411.33</v>
      </c>
      <c r="J693">
        <v>12056.65</v>
      </c>
    </row>
    <row r="694" spans="1:10">
      <c r="A694" s="25">
        <v>45016</v>
      </c>
      <c r="B694" t="s">
        <v>1681</v>
      </c>
      <c r="C694" t="s">
        <v>1695</v>
      </c>
      <c r="D694" t="s">
        <v>1696</v>
      </c>
      <c r="E694" t="s">
        <v>1674</v>
      </c>
      <c r="F694" t="s">
        <v>114</v>
      </c>
      <c r="G694" t="s">
        <v>1712</v>
      </c>
      <c r="H694">
        <v>17</v>
      </c>
      <c r="I694">
        <v>3844.7</v>
      </c>
      <c r="J694">
        <v>65359.9</v>
      </c>
    </row>
    <row r="695" spans="1:10">
      <c r="A695" s="25">
        <v>45136</v>
      </c>
      <c r="B695" t="s">
        <v>1700</v>
      </c>
      <c r="C695" t="s">
        <v>1677</v>
      </c>
      <c r="D695" t="s">
        <v>1678</v>
      </c>
      <c r="E695" t="s">
        <v>1679</v>
      </c>
      <c r="F695" t="s">
        <v>97</v>
      </c>
      <c r="G695" t="s">
        <v>1699</v>
      </c>
      <c r="H695">
        <v>14</v>
      </c>
      <c r="I695">
        <v>816.99</v>
      </c>
      <c r="J695">
        <v>11437.86</v>
      </c>
    </row>
    <row r="696" spans="1:10">
      <c r="A696" s="25">
        <v>45273</v>
      </c>
      <c r="B696" t="s">
        <v>1694</v>
      </c>
      <c r="C696" t="s">
        <v>1690</v>
      </c>
      <c r="D696" t="s">
        <v>1678</v>
      </c>
      <c r="E696" t="s">
        <v>1679</v>
      </c>
      <c r="F696" t="s">
        <v>89</v>
      </c>
      <c r="G696" t="s">
        <v>1714</v>
      </c>
      <c r="H696">
        <v>3</v>
      </c>
      <c r="I696">
        <v>3102.92</v>
      </c>
      <c r="J696">
        <v>9308.76</v>
      </c>
    </row>
    <row r="697" spans="1:10">
      <c r="A697" s="25">
        <v>44970</v>
      </c>
      <c r="B697" t="s">
        <v>1686</v>
      </c>
      <c r="C697" t="s">
        <v>1695</v>
      </c>
      <c r="D697" t="s">
        <v>1696</v>
      </c>
      <c r="E697" t="s">
        <v>1674</v>
      </c>
      <c r="F697" t="s">
        <v>89</v>
      </c>
      <c r="G697" t="s">
        <v>1106</v>
      </c>
      <c r="H697">
        <v>11</v>
      </c>
      <c r="I697">
        <v>490.34</v>
      </c>
      <c r="J697">
        <v>5393.74</v>
      </c>
    </row>
    <row r="698" spans="1:10">
      <c r="A698" s="25">
        <v>45186</v>
      </c>
      <c r="B698" t="s">
        <v>1692</v>
      </c>
      <c r="C698" t="s">
        <v>1136</v>
      </c>
      <c r="D698" t="s">
        <v>1673</v>
      </c>
      <c r="E698" t="s">
        <v>1674</v>
      </c>
      <c r="F698" t="s">
        <v>97</v>
      </c>
      <c r="G698" t="s">
        <v>1699</v>
      </c>
      <c r="H698">
        <v>6</v>
      </c>
      <c r="I698">
        <v>4079.26</v>
      </c>
      <c r="J698">
        <v>24475.56</v>
      </c>
    </row>
    <row r="699" spans="1:10">
      <c r="A699" s="25">
        <v>44988</v>
      </c>
      <c r="B699" t="s">
        <v>1671</v>
      </c>
      <c r="C699" t="s">
        <v>1716</v>
      </c>
      <c r="D699" t="s">
        <v>1702</v>
      </c>
      <c r="E699" t="s">
        <v>1703</v>
      </c>
      <c r="F699" t="s">
        <v>101</v>
      </c>
      <c r="G699" t="s">
        <v>1719</v>
      </c>
      <c r="H699">
        <v>12</v>
      </c>
      <c r="I699">
        <v>3229.61</v>
      </c>
      <c r="J699">
        <v>38755.32</v>
      </c>
    </row>
    <row r="700" spans="1:10">
      <c r="A700" s="25">
        <v>45208</v>
      </c>
      <c r="B700" t="s">
        <v>1689</v>
      </c>
      <c r="C700" t="s">
        <v>1684</v>
      </c>
      <c r="D700" t="s">
        <v>1678</v>
      </c>
      <c r="E700" t="s">
        <v>1679</v>
      </c>
      <c r="F700" t="s">
        <v>114</v>
      </c>
      <c r="G700" t="s">
        <v>1712</v>
      </c>
      <c r="H700">
        <v>16</v>
      </c>
      <c r="I700">
        <v>1873.12</v>
      </c>
      <c r="J700">
        <v>29969.919999999998</v>
      </c>
    </row>
    <row r="701" spans="1:10">
      <c r="A701" s="25">
        <v>44996</v>
      </c>
      <c r="B701" t="s">
        <v>1686</v>
      </c>
      <c r="C701" t="s">
        <v>1135</v>
      </c>
      <c r="D701" t="s">
        <v>1673</v>
      </c>
      <c r="E701" t="s">
        <v>1674</v>
      </c>
      <c r="F701" t="s">
        <v>1687</v>
      </c>
      <c r="G701" t="s">
        <v>1708</v>
      </c>
      <c r="H701">
        <v>7</v>
      </c>
      <c r="I701">
        <v>1640.58</v>
      </c>
      <c r="J701">
        <v>11484.06</v>
      </c>
    </row>
    <row r="702" spans="1:10">
      <c r="A702" s="25">
        <v>45015</v>
      </c>
      <c r="B702" t="s">
        <v>1671</v>
      </c>
      <c r="C702" t="s">
        <v>1672</v>
      </c>
      <c r="D702" t="s">
        <v>1673</v>
      </c>
      <c r="E702" t="s">
        <v>1674</v>
      </c>
      <c r="F702" t="s">
        <v>89</v>
      </c>
      <c r="G702" t="s">
        <v>1106</v>
      </c>
      <c r="H702">
        <v>13</v>
      </c>
      <c r="I702">
        <v>4843.21</v>
      </c>
      <c r="J702">
        <v>62961.73</v>
      </c>
    </row>
    <row r="703" spans="1:10">
      <c r="A703" s="25">
        <v>45229</v>
      </c>
      <c r="B703" t="s">
        <v>1705</v>
      </c>
      <c r="C703" t="s">
        <v>1701</v>
      </c>
      <c r="D703" t="s">
        <v>1702</v>
      </c>
      <c r="E703" t="s">
        <v>1703</v>
      </c>
      <c r="F703" t="s">
        <v>114</v>
      </c>
      <c r="G703" t="s">
        <v>1680</v>
      </c>
      <c r="H703">
        <v>13</v>
      </c>
      <c r="I703">
        <v>1782.01</v>
      </c>
      <c r="J703">
        <v>23166.13</v>
      </c>
    </row>
    <row r="704" spans="1:10">
      <c r="A704" s="25">
        <v>45136</v>
      </c>
      <c r="B704" t="s">
        <v>1705</v>
      </c>
      <c r="C704" t="s">
        <v>1693</v>
      </c>
      <c r="D704" t="s">
        <v>1683</v>
      </c>
      <c r="E704" t="s">
        <v>1679</v>
      </c>
      <c r="F704" t="s">
        <v>1687</v>
      </c>
      <c r="G704" t="s">
        <v>1708</v>
      </c>
      <c r="H704">
        <v>19</v>
      </c>
      <c r="I704">
        <v>1120.5999999999999</v>
      </c>
      <c r="J704">
        <v>21291.4</v>
      </c>
    </row>
    <row r="705" spans="1:10">
      <c r="A705" s="25">
        <v>44981</v>
      </c>
      <c r="B705" t="s">
        <v>1694</v>
      </c>
      <c r="C705" t="s">
        <v>1682</v>
      </c>
      <c r="D705" t="s">
        <v>1683</v>
      </c>
      <c r="E705" t="s">
        <v>1679</v>
      </c>
      <c r="F705" t="s">
        <v>101</v>
      </c>
      <c r="G705" t="s">
        <v>1709</v>
      </c>
      <c r="H705">
        <v>2</v>
      </c>
      <c r="I705">
        <v>1927.02</v>
      </c>
      <c r="J705">
        <v>3854.04</v>
      </c>
    </row>
    <row r="706" spans="1:10">
      <c r="A706" s="25">
        <v>44977</v>
      </c>
      <c r="B706" t="s">
        <v>1686</v>
      </c>
      <c r="C706" t="s">
        <v>1135</v>
      </c>
      <c r="D706" t="s">
        <v>1673</v>
      </c>
      <c r="E706" t="s">
        <v>1674</v>
      </c>
      <c r="F706" t="s">
        <v>101</v>
      </c>
      <c r="G706" t="s">
        <v>1715</v>
      </c>
      <c r="H706">
        <v>15</v>
      </c>
      <c r="I706">
        <v>4642.6899999999996</v>
      </c>
      <c r="J706">
        <v>69640.350000000006</v>
      </c>
    </row>
    <row r="707" spans="1:10">
      <c r="A707" s="25">
        <v>45169</v>
      </c>
      <c r="B707" t="s">
        <v>1686</v>
      </c>
      <c r="C707" t="s">
        <v>1135</v>
      </c>
      <c r="D707" t="s">
        <v>1673</v>
      </c>
      <c r="E707" t="s">
        <v>1674</v>
      </c>
      <c r="F707" t="s">
        <v>114</v>
      </c>
      <c r="G707" t="s">
        <v>1680</v>
      </c>
      <c r="H707">
        <v>19</v>
      </c>
      <c r="I707">
        <v>3316.87</v>
      </c>
      <c r="J707">
        <v>63020.53</v>
      </c>
    </row>
    <row r="708" spans="1:10">
      <c r="A708" s="25">
        <v>45142</v>
      </c>
      <c r="B708" t="s">
        <v>1676</v>
      </c>
      <c r="C708" t="s">
        <v>1137</v>
      </c>
      <c r="D708" t="s">
        <v>1696</v>
      </c>
      <c r="E708" t="s">
        <v>1674</v>
      </c>
      <c r="F708" t="s">
        <v>114</v>
      </c>
      <c r="G708" t="s">
        <v>1718</v>
      </c>
      <c r="H708">
        <v>19</v>
      </c>
      <c r="I708">
        <v>1372.28</v>
      </c>
      <c r="J708">
        <v>26073.32</v>
      </c>
    </row>
    <row r="709" spans="1:10">
      <c r="A709" s="25">
        <v>44932</v>
      </c>
      <c r="B709" t="s">
        <v>1686</v>
      </c>
      <c r="C709" t="s">
        <v>1682</v>
      </c>
      <c r="D709" t="s">
        <v>1683</v>
      </c>
      <c r="E709" t="s">
        <v>1679</v>
      </c>
      <c r="F709" t="s">
        <v>114</v>
      </c>
      <c r="G709" t="s">
        <v>1718</v>
      </c>
      <c r="H709">
        <v>8</v>
      </c>
      <c r="I709">
        <v>4786.4799999999996</v>
      </c>
      <c r="J709">
        <v>38291.839999999997</v>
      </c>
    </row>
    <row r="710" spans="1:10">
      <c r="A710" s="25">
        <v>44956</v>
      </c>
      <c r="B710" t="s">
        <v>1681</v>
      </c>
      <c r="C710" t="s">
        <v>1690</v>
      </c>
      <c r="D710" t="s">
        <v>1678</v>
      </c>
      <c r="E710" t="s">
        <v>1679</v>
      </c>
      <c r="F710" t="s">
        <v>101</v>
      </c>
      <c r="G710" t="s">
        <v>1715</v>
      </c>
      <c r="H710">
        <v>18</v>
      </c>
      <c r="I710">
        <v>620.92999999999995</v>
      </c>
      <c r="J710">
        <v>11176.74</v>
      </c>
    </row>
    <row r="711" spans="1:10">
      <c r="A711" s="25">
        <v>45214</v>
      </c>
      <c r="B711" t="s">
        <v>1705</v>
      </c>
      <c r="C711" t="s">
        <v>1690</v>
      </c>
      <c r="D711" t="s">
        <v>1678</v>
      </c>
      <c r="E711" t="s">
        <v>1679</v>
      </c>
      <c r="F711" t="s">
        <v>89</v>
      </c>
      <c r="G711" t="s">
        <v>1714</v>
      </c>
      <c r="H711">
        <v>4</v>
      </c>
      <c r="I711">
        <v>1241.21</v>
      </c>
      <c r="J711">
        <v>4964.84</v>
      </c>
    </row>
    <row r="712" spans="1:10">
      <c r="A712" s="25">
        <v>45120</v>
      </c>
      <c r="B712" t="s">
        <v>1671</v>
      </c>
      <c r="C712" t="s">
        <v>1136</v>
      </c>
      <c r="D712" t="s">
        <v>1673</v>
      </c>
      <c r="E712" t="s">
        <v>1674</v>
      </c>
      <c r="F712" t="s">
        <v>89</v>
      </c>
      <c r="G712" t="s">
        <v>1714</v>
      </c>
      <c r="H712">
        <v>10</v>
      </c>
      <c r="I712">
        <v>1823.34</v>
      </c>
      <c r="J712">
        <v>18233.400000000001</v>
      </c>
    </row>
    <row r="713" spans="1:10">
      <c r="A713" s="25">
        <v>45146</v>
      </c>
      <c r="B713" t="s">
        <v>1700</v>
      </c>
      <c r="C713" t="s">
        <v>1136</v>
      </c>
      <c r="D713" t="s">
        <v>1673</v>
      </c>
      <c r="E713" t="s">
        <v>1674</v>
      </c>
      <c r="F713" t="s">
        <v>97</v>
      </c>
      <c r="G713" t="s">
        <v>1697</v>
      </c>
      <c r="H713">
        <v>10</v>
      </c>
      <c r="I713">
        <v>4304.71</v>
      </c>
      <c r="J713">
        <v>43047.1</v>
      </c>
    </row>
    <row r="714" spans="1:10">
      <c r="A714" s="25">
        <v>45193</v>
      </c>
      <c r="B714" t="s">
        <v>1705</v>
      </c>
      <c r="C714" t="s">
        <v>1677</v>
      </c>
      <c r="D714" t="s">
        <v>1678</v>
      </c>
      <c r="E714" t="s">
        <v>1679</v>
      </c>
      <c r="F714" t="s">
        <v>1687</v>
      </c>
      <c r="G714" t="s">
        <v>1708</v>
      </c>
      <c r="H714">
        <v>11</v>
      </c>
      <c r="I714">
        <v>4446.37</v>
      </c>
      <c r="J714">
        <v>48910.07</v>
      </c>
    </row>
    <row r="715" spans="1:10">
      <c r="A715" s="25">
        <v>45227</v>
      </c>
      <c r="B715" t="s">
        <v>1681</v>
      </c>
      <c r="C715" t="s">
        <v>1135</v>
      </c>
      <c r="D715" t="s">
        <v>1673</v>
      </c>
      <c r="E715" t="s">
        <v>1674</v>
      </c>
      <c r="F715" t="s">
        <v>1687</v>
      </c>
      <c r="G715" t="s">
        <v>1688</v>
      </c>
      <c r="H715">
        <v>8</v>
      </c>
      <c r="I715">
        <v>465.32</v>
      </c>
      <c r="J715">
        <v>3722.56</v>
      </c>
    </row>
    <row r="716" spans="1:10">
      <c r="A716" s="25">
        <v>45221</v>
      </c>
      <c r="B716" t="s">
        <v>1692</v>
      </c>
      <c r="C716" t="s">
        <v>1684</v>
      </c>
      <c r="D716" t="s">
        <v>1678</v>
      </c>
      <c r="E716" t="s">
        <v>1679</v>
      </c>
      <c r="F716" t="s">
        <v>114</v>
      </c>
      <c r="G716" t="s">
        <v>1712</v>
      </c>
      <c r="H716">
        <v>1</v>
      </c>
      <c r="I716">
        <v>3431.7</v>
      </c>
      <c r="J716">
        <v>3431.7</v>
      </c>
    </row>
    <row r="717" spans="1:10">
      <c r="A717" s="25">
        <v>45198</v>
      </c>
      <c r="B717" t="s">
        <v>1686</v>
      </c>
      <c r="C717" t="s">
        <v>1135</v>
      </c>
      <c r="D717" t="s">
        <v>1673</v>
      </c>
      <c r="E717" t="s">
        <v>1674</v>
      </c>
      <c r="F717" t="s">
        <v>101</v>
      </c>
      <c r="G717" t="s">
        <v>1715</v>
      </c>
      <c r="H717">
        <v>20</v>
      </c>
      <c r="I717">
        <v>1365.33</v>
      </c>
      <c r="J717">
        <v>27306.6</v>
      </c>
    </row>
    <row r="718" spans="1:10">
      <c r="A718" s="25">
        <v>45276</v>
      </c>
      <c r="B718" t="s">
        <v>1681</v>
      </c>
      <c r="C718" t="s">
        <v>1677</v>
      </c>
      <c r="D718" t="s">
        <v>1678</v>
      </c>
      <c r="E718" t="s">
        <v>1679</v>
      </c>
      <c r="F718" t="s">
        <v>89</v>
      </c>
      <c r="G718" t="s">
        <v>1105</v>
      </c>
      <c r="H718">
        <v>14</v>
      </c>
      <c r="I718">
        <v>2343.4</v>
      </c>
      <c r="J718">
        <v>32807.599999999999</v>
      </c>
    </row>
    <row r="719" spans="1:10">
      <c r="A719" s="25">
        <v>44932</v>
      </c>
      <c r="B719" t="s">
        <v>1698</v>
      </c>
      <c r="C719" t="s">
        <v>1695</v>
      </c>
      <c r="D719" t="s">
        <v>1696</v>
      </c>
      <c r="E719" t="s">
        <v>1674</v>
      </c>
      <c r="F719" t="s">
        <v>89</v>
      </c>
      <c r="G719" t="s">
        <v>1106</v>
      </c>
      <c r="H719">
        <v>15</v>
      </c>
      <c r="I719">
        <v>447.71</v>
      </c>
      <c r="J719">
        <v>6715.65</v>
      </c>
    </row>
    <row r="720" spans="1:10">
      <c r="A720" s="25">
        <v>44931</v>
      </c>
      <c r="B720" t="s">
        <v>1698</v>
      </c>
      <c r="C720" t="s">
        <v>1717</v>
      </c>
      <c r="D720" t="s">
        <v>1696</v>
      </c>
      <c r="E720" t="s">
        <v>1674</v>
      </c>
      <c r="F720" t="s">
        <v>1687</v>
      </c>
      <c r="G720" t="s">
        <v>1710</v>
      </c>
      <c r="H720">
        <v>3</v>
      </c>
      <c r="I720">
        <v>2393.7199999999998</v>
      </c>
      <c r="J720">
        <v>7181.16</v>
      </c>
    </row>
    <row r="721" spans="1:10">
      <c r="A721" s="25">
        <v>45257</v>
      </c>
      <c r="B721" t="s">
        <v>1705</v>
      </c>
      <c r="C721" t="s">
        <v>1701</v>
      </c>
      <c r="D721" t="s">
        <v>1702</v>
      </c>
      <c r="E721" t="s">
        <v>1703</v>
      </c>
      <c r="F721" t="s">
        <v>97</v>
      </c>
      <c r="G721" t="s">
        <v>1697</v>
      </c>
      <c r="H721">
        <v>20</v>
      </c>
      <c r="I721">
        <v>138.6</v>
      </c>
      <c r="J721">
        <v>2772</v>
      </c>
    </row>
    <row r="722" spans="1:10">
      <c r="A722" s="25">
        <v>45291</v>
      </c>
      <c r="B722" t="s">
        <v>1694</v>
      </c>
      <c r="C722" t="s">
        <v>1135</v>
      </c>
      <c r="D722" t="s">
        <v>1673</v>
      </c>
      <c r="E722" t="s">
        <v>1674</v>
      </c>
      <c r="F722" t="s">
        <v>1687</v>
      </c>
      <c r="G722" t="s">
        <v>1688</v>
      </c>
      <c r="H722">
        <v>6</v>
      </c>
      <c r="I722">
        <v>3119.62</v>
      </c>
      <c r="J722">
        <v>18717.72</v>
      </c>
    </row>
    <row r="723" spans="1:10">
      <c r="A723" s="25">
        <v>45189</v>
      </c>
      <c r="B723" t="s">
        <v>1689</v>
      </c>
      <c r="C723" t="s">
        <v>1690</v>
      </c>
      <c r="D723" t="s">
        <v>1678</v>
      </c>
      <c r="E723" t="s">
        <v>1679</v>
      </c>
      <c r="F723" t="s">
        <v>89</v>
      </c>
      <c r="G723" t="s">
        <v>1714</v>
      </c>
      <c r="H723">
        <v>1</v>
      </c>
      <c r="I723">
        <v>4175.7</v>
      </c>
      <c r="J723">
        <v>4175.7</v>
      </c>
    </row>
    <row r="724" spans="1:10">
      <c r="A724" s="25">
        <v>45283</v>
      </c>
      <c r="B724" t="s">
        <v>1700</v>
      </c>
      <c r="C724" t="s">
        <v>1706</v>
      </c>
      <c r="D724" t="s">
        <v>1702</v>
      </c>
      <c r="E724" t="s">
        <v>1703</v>
      </c>
      <c r="F724" t="s">
        <v>114</v>
      </c>
      <c r="G724" t="s">
        <v>1712</v>
      </c>
      <c r="H724">
        <v>17</v>
      </c>
      <c r="I724">
        <v>2655.23</v>
      </c>
      <c r="J724">
        <v>45138.91</v>
      </c>
    </row>
    <row r="725" spans="1:10">
      <c r="A725" s="25">
        <v>45201</v>
      </c>
      <c r="B725" t="s">
        <v>1698</v>
      </c>
      <c r="C725" t="s">
        <v>1716</v>
      </c>
      <c r="D725" t="s">
        <v>1702</v>
      </c>
      <c r="E725" t="s">
        <v>1703</v>
      </c>
      <c r="F725" t="s">
        <v>1687</v>
      </c>
      <c r="G725" t="s">
        <v>1710</v>
      </c>
      <c r="H725">
        <v>14</v>
      </c>
      <c r="I725">
        <v>4235.22</v>
      </c>
      <c r="J725">
        <v>59293.08</v>
      </c>
    </row>
    <row r="726" spans="1:10">
      <c r="A726" s="25">
        <v>45071</v>
      </c>
      <c r="B726" t="s">
        <v>1671</v>
      </c>
      <c r="C726" t="s">
        <v>1701</v>
      </c>
      <c r="D726" t="s">
        <v>1702</v>
      </c>
      <c r="E726" t="s">
        <v>1703</v>
      </c>
      <c r="F726" t="s">
        <v>114</v>
      </c>
      <c r="G726" t="s">
        <v>1712</v>
      </c>
      <c r="H726">
        <v>20</v>
      </c>
      <c r="I726">
        <v>3393.01</v>
      </c>
      <c r="J726">
        <v>67860.2</v>
      </c>
    </row>
    <row r="727" spans="1:10">
      <c r="A727" s="25">
        <v>45018</v>
      </c>
      <c r="B727" t="s">
        <v>1698</v>
      </c>
      <c r="C727" t="s">
        <v>1693</v>
      </c>
      <c r="D727" t="s">
        <v>1683</v>
      </c>
      <c r="E727" t="s">
        <v>1679</v>
      </c>
      <c r="F727" t="s">
        <v>89</v>
      </c>
      <c r="G727" t="s">
        <v>1105</v>
      </c>
      <c r="H727">
        <v>14</v>
      </c>
      <c r="I727">
        <v>1247.48</v>
      </c>
      <c r="J727">
        <v>17464.72</v>
      </c>
    </row>
    <row r="728" spans="1:10">
      <c r="A728" s="25">
        <v>45143</v>
      </c>
      <c r="B728" t="s">
        <v>1700</v>
      </c>
      <c r="C728" t="s">
        <v>1695</v>
      </c>
      <c r="D728" t="s">
        <v>1696</v>
      </c>
      <c r="E728" t="s">
        <v>1674</v>
      </c>
      <c r="F728" t="s">
        <v>97</v>
      </c>
      <c r="G728" t="s">
        <v>1685</v>
      </c>
      <c r="H728">
        <v>20</v>
      </c>
      <c r="I728">
        <v>4428.59</v>
      </c>
      <c r="J728">
        <v>88571.8</v>
      </c>
    </row>
    <row r="729" spans="1:10">
      <c r="A729" s="25">
        <v>45265</v>
      </c>
      <c r="B729" t="s">
        <v>1689</v>
      </c>
      <c r="C729" t="s">
        <v>1690</v>
      </c>
      <c r="D729" t="s">
        <v>1678</v>
      </c>
      <c r="E729" t="s">
        <v>1679</v>
      </c>
      <c r="F729" t="s">
        <v>114</v>
      </c>
      <c r="G729" t="s">
        <v>1680</v>
      </c>
      <c r="H729">
        <v>9</v>
      </c>
      <c r="I729">
        <v>2251.19</v>
      </c>
      <c r="J729">
        <v>20260.71</v>
      </c>
    </row>
    <row r="730" spans="1:10">
      <c r="A730" s="25">
        <v>45001</v>
      </c>
      <c r="B730" t="s">
        <v>1681</v>
      </c>
      <c r="C730" t="s">
        <v>1677</v>
      </c>
      <c r="D730" t="s">
        <v>1678</v>
      </c>
      <c r="E730" t="s">
        <v>1679</v>
      </c>
      <c r="F730" t="s">
        <v>89</v>
      </c>
      <c r="G730" t="s">
        <v>1713</v>
      </c>
      <c r="H730">
        <v>19</v>
      </c>
      <c r="I730">
        <v>2240.89</v>
      </c>
      <c r="J730">
        <v>42576.91</v>
      </c>
    </row>
    <row r="731" spans="1:10">
      <c r="A731" s="25">
        <v>45206</v>
      </c>
      <c r="B731" t="s">
        <v>1692</v>
      </c>
      <c r="C731" t="s">
        <v>1701</v>
      </c>
      <c r="D731" t="s">
        <v>1702</v>
      </c>
      <c r="E731" t="s">
        <v>1703</v>
      </c>
      <c r="F731" t="s">
        <v>101</v>
      </c>
      <c r="G731" t="s">
        <v>1715</v>
      </c>
      <c r="H731">
        <v>19</v>
      </c>
      <c r="I731">
        <v>4089.21</v>
      </c>
      <c r="J731">
        <v>77694.990000000005</v>
      </c>
    </row>
    <row r="732" spans="1:10">
      <c r="A732" s="25">
        <v>45255</v>
      </c>
      <c r="B732" t="s">
        <v>1698</v>
      </c>
      <c r="C732" t="s">
        <v>1677</v>
      </c>
      <c r="D732" t="s">
        <v>1678</v>
      </c>
      <c r="E732" t="s">
        <v>1679</v>
      </c>
      <c r="F732" t="s">
        <v>1687</v>
      </c>
      <c r="G732" t="s">
        <v>1704</v>
      </c>
      <c r="H732">
        <v>6</v>
      </c>
      <c r="I732">
        <v>4286.28</v>
      </c>
      <c r="J732">
        <v>25717.68</v>
      </c>
    </row>
    <row r="733" spans="1:10">
      <c r="A733" s="25">
        <v>45076</v>
      </c>
      <c r="B733" t="s">
        <v>1686</v>
      </c>
      <c r="C733" t="s">
        <v>1684</v>
      </c>
      <c r="D733" t="s">
        <v>1678</v>
      </c>
      <c r="E733" t="s">
        <v>1679</v>
      </c>
      <c r="F733" t="s">
        <v>89</v>
      </c>
      <c r="G733" t="s">
        <v>1106</v>
      </c>
      <c r="H733">
        <v>20</v>
      </c>
      <c r="I733">
        <v>1316.67</v>
      </c>
      <c r="J733">
        <v>26333.4</v>
      </c>
    </row>
    <row r="734" spans="1:10">
      <c r="A734" s="25">
        <v>44941</v>
      </c>
      <c r="B734" t="s">
        <v>1698</v>
      </c>
      <c r="C734" t="s">
        <v>1137</v>
      </c>
      <c r="D734" t="s">
        <v>1696</v>
      </c>
      <c r="E734" t="s">
        <v>1674</v>
      </c>
      <c r="F734" t="s">
        <v>97</v>
      </c>
      <c r="G734" t="s">
        <v>1711</v>
      </c>
      <c r="H734">
        <v>17</v>
      </c>
      <c r="I734">
        <v>3145.73</v>
      </c>
      <c r="J734">
        <v>53477.41</v>
      </c>
    </row>
    <row r="735" spans="1:10">
      <c r="A735" s="25">
        <v>45187</v>
      </c>
      <c r="B735" t="s">
        <v>1698</v>
      </c>
      <c r="C735" t="s">
        <v>1136</v>
      </c>
      <c r="D735" t="s">
        <v>1673</v>
      </c>
      <c r="E735" t="s">
        <v>1674</v>
      </c>
      <c r="F735" t="s">
        <v>97</v>
      </c>
      <c r="G735" t="s">
        <v>1697</v>
      </c>
      <c r="H735">
        <v>10</v>
      </c>
      <c r="I735">
        <v>2523.59</v>
      </c>
      <c r="J735">
        <v>25235.9</v>
      </c>
    </row>
    <row r="736" spans="1:10">
      <c r="A736" s="25">
        <v>45195</v>
      </c>
      <c r="B736" t="s">
        <v>1681</v>
      </c>
      <c r="C736" t="s">
        <v>1706</v>
      </c>
      <c r="D736" t="s">
        <v>1702</v>
      </c>
      <c r="E736" t="s">
        <v>1703</v>
      </c>
      <c r="F736" t="s">
        <v>114</v>
      </c>
      <c r="G736" t="s">
        <v>1680</v>
      </c>
      <c r="H736">
        <v>2</v>
      </c>
      <c r="I736">
        <v>2851.64</v>
      </c>
      <c r="J736">
        <v>5703.28</v>
      </c>
    </row>
    <row r="737" spans="1:10">
      <c r="A737" s="25">
        <v>45196</v>
      </c>
      <c r="B737" t="s">
        <v>1698</v>
      </c>
      <c r="C737" t="s">
        <v>1136</v>
      </c>
      <c r="D737" t="s">
        <v>1673</v>
      </c>
      <c r="E737" t="s">
        <v>1674</v>
      </c>
      <c r="F737" t="s">
        <v>114</v>
      </c>
      <c r="G737" t="s">
        <v>1680</v>
      </c>
      <c r="H737">
        <v>20</v>
      </c>
      <c r="I737">
        <v>3193.18</v>
      </c>
      <c r="J737">
        <v>63863.6</v>
      </c>
    </row>
    <row r="738" spans="1:10">
      <c r="A738" s="25">
        <v>45007</v>
      </c>
      <c r="B738" t="s">
        <v>1681</v>
      </c>
      <c r="C738" t="s">
        <v>1716</v>
      </c>
      <c r="D738" t="s">
        <v>1702</v>
      </c>
      <c r="E738" t="s">
        <v>1703</v>
      </c>
      <c r="F738" t="s">
        <v>97</v>
      </c>
      <c r="G738" t="s">
        <v>1697</v>
      </c>
      <c r="H738">
        <v>8</v>
      </c>
      <c r="I738">
        <v>4663.82</v>
      </c>
      <c r="J738">
        <v>37310.559999999998</v>
      </c>
    </row>
    <row r="739" spans="1:10">
      <c r="A739" s="25">
        <v>45261</v>
      </c>
      <c r="B739" t="s">
        <v>1692</v>
      </c>
      <c r="C739" t="s">
        <v>1135</v>
      </c>
      <c r="D739" t="s">
        <v>1673</v>
      </c>
      <c r="E739" t="s">
        <v>1674</v>
      </c>
      <c r="F739" t="s">
        <v>114</v>
      </c>
      <c r="G739" t="s">
        <v>1718</v>
      </c>
      <c r="H739">
        <v>13</v>
      </c>
      <c r="I739">
        <v>4263.79</v>
      </c>
      <c r="J739">
        <v>55429.27</v>
      </c>
    </row>
    <row r="740" spans="1:10">
      <c r="A740" s="25">
        <v>45093</v>
      </c>
      <c r="B740" t="s">
        <v>1705</v>
      </c>
      <c r="C740" t="s">
        <v>1684</v>
      </c>
      <c r="D740" t="s">
        <v>1678</v>
      </c>
      <c r="E740" t="s">
        <v>1679</v>
      </c>
      <c r="F740" t="s">
        <v>101</v>
      </c>
      <c r="G740" t="s">
        <v>1719</v>
      </c>
      <c r="H740">
        <v>11</v>
      </c>
      <c r="I740">
        <v>819.85</v>
      </c>
      <c r="J740">
        <v>9018.35</v>
      </c>
    </row>
    <row r="741" spans="1:10">
      <c r="A741" s="25">
        <v>44984</v>
      </c>
      <c r="B741" t="s">
        <v>1700</v>
      </c>
      <c r="C741" t="s">
        <v>1684</v>
      </c>
      <c r="D741" t="s">
        <v>1678</v>
      </c>
      <c r="E741" t="s">
        <v>1679</v>
      </c>
      <c r="F741" t="s">
        <v>89</v>
      </c>
      <c r="G741" t="s">
        <v>1714</v>
      </c>
      <c r="H741">
        <v>8</v>
      </c>
      <c r="I741">
        <v>2784.08</v>
      </c>
      <c r="J741">
        <v>22272.639999999999</v>
      </c>
    </row>
    <row r="742" spans="1:10">
      <c r="A742" s="25">
        <v>45002</v>
      </c>
      <c r="B742" t="s">
        <v>1698</v>
      </c>
      <c r="C742" t="s">
        <v>1690</v>
      </c>
      <c r="D742" t="s">
        <v>1678</v>
      </c>
      <c r="E742" t="s">
        <v>1679</v>
      </c>
      <c r="F742" t="s">
        <v>97</v>
      </c>
      <c r="G742" t="s">
        <v>1699</v>
      </c>
      <c r="H742">
        <v>8</v>
      </c>
      <c r="I742">
        <v>2240.2199999999998</v>
      </c>
      <c r="J742">
        <v>17921.759999999998</v>
      </c>
    </row>
    <row r="743" spans="1:10">
      <c r="A743" s="25">
        <v>45266</v>
      </c>
      <c r="B743" t="s">
        <v>1676</v>
      </c>
      <c r="C743" t="s">
        <v>1690</v>
      </c>
      <c r="D743" t="s">
        <v>1678</v>
      </c>
      <c r="E743" t="s">
        <v>1679</v>
      </c>
      <c r="F743" t="s">
        <v>89</v>
      </c>
      <c r="G743" t="s">
        <v>1105</v>
      </c>
      <c r="H743">
        <v>18</v>
      </c>
      <c r="I743">
        <v>1039.3800000000001</v>
      </c>
      <c r="J743">
        <v>18708.84</v>
      </c>
    </row>
    <row r="744" spans="1:10">
      <c r="A744" s="25">
        <v>45237</v>
      </c>
      <c r="B744" t="s">
        <v>1686</v>
      </c>
      <c r="C744" t="s">
        <v>1137</v>
      </c>
      <c r="D744" t="s">
        <v>1696</v>
      </c>
      <c r="E744" t="s">
        <v>1674</v>
      </c>
      <c r="F744" t="s">
        <v>1687</v>
      </c>
      <c r="G744" t="s">
        <v>1704</v>
      </c>
      <c r="H744">
        <v>18</v>
      </c>
      <c r="I744">
        <v>1297.93</v>
      </c>
      <c r="J744">
        <v>23362.74</v>
      </c>
    </row>
    <row r="745" spans="1:10">
      <c r="A745" s="25">
        <v>44931</v>
      </c>
      <c r="B745" t="s">
        <v>1705</v>
      </c>
      <c r="C745" t="s">
        <v>1135</v>
      </c>
      <c r="D745" t="s">
        <v>1673</v>
      </c>
      <c r="E745" t="s">
        <v>1674</v>
      </c>
      <c r="F745" t="s">
        <v>101</v>
      </c>
      <c r="G745" t="s">
        <v>1715</v>
      </c>
      <c r="H745">
        <v>4</v>
      </c>
      <c r="I745">
        <v>4293.74</v>
      </c>
      <c r="J745">
        <v>17174.96</v>
      </c>
    </row>
    <row r="746" spans="1:10">
      <c r="A746" s="25">
        <v>45151</v>
      </c>
      <c r="B746" t="s">
        <v>1689</v>
      </c>
      <c r="C746" t="s">
        <v>1716</v>
      </c>
      <c r="D746" t="s">
        <v>1702</v>
      </c>
      <c r="E746" t="s">
        <v>1703</v>
      </c>
      <c r="F746" t="s">
        <v>89</v>
      </c>
      <c r="G746" t="s">
        <v>1105</v>
      </c>
      <c r="H746">
        <v>11</v>
      </c>
      <c r="I746">
        <v>2133.36</v>
      </c>
      <c r="J746">
        <v>23466.959999999999</v>
      </c>
    </row>
    <row r="747" spans="1:10">
      <c r="A747" s="25">
        <v>45221</v>
      </c>
      <c r="B747" t="s">
        <v>1671</v>
      </c>
      <c r="C747" t="s">
        <v>1682</v>
      </c>
      <c r="D747" t="s">
        <v>1683</v>
      </c>
      <c r="E747" t="s">
        <v>1679</v>
      </c>
      <c r="F747" t="s">
        <v>1687</v>
      </c>
      <c r="G747" t="s">
        <v>1708</v>
      </c>
      <c r="H747">
        <v>11</v>
      </c>
      <c r="I747">
        <v>735.74</v>
      </c>
      <c r="J747">
        <v>8093.14</v>
      </c>
    </row>
    <row r="748" spans="1:10">
      <c r="A748" s="25">
        <v>44993</v>
      </c>
      <c r="B748" t="s">
        <v>1681</v>
      </c>
      <c r="C748" t="s">
        <v>1701</v>
      </c>
      <c r="D748" t="s">
        <v>1702</v>
      </c>
      <c r="E748" t="s">
        <v>1703</v>
      </c>
      <c r="F748" t="s">
        <v>97</v>
      </c>
      <c r="G748" t="s">
        <v>1685</v>
      </c>
      <c r="H748">
        <v>14</v>
      </c>
      <c r="I748">
        <v>271.27</v>
      </c>
      <c r="J748">
        <v>3797.78</v>
      </c>
    </row>
    <row r="749" spans="1:10">
      <c r="A749" s="25">
        <v>45240</v>
      </c>
      <c r="B749" t="s">
        <v>1681</v>
      </c>
      <c r="C749" t="s">
        <v>1682</v>
      </c>
      <c r="D749" t="s">
        <v>1683</v>
      </c>
      <c r="E749" t="s">
        <v>1679</v>
      </c>
      <c r="F749" t="s">
        <v>101</v>
      </c>
      <c r="G749" t="s">
        <v>1675</v>
      </c>
      <c r="H749">
        <v>5</v>
      </c>
      <c r="I749">
        <v>4759.1899999999996</v>
      </c>
      <c r="J749">
        <v>23795.95</v>
      </c>
    </row>
    <row r="750" spans="1:10">
      <c r="A750" s="25">
        <v>45270</v>
      </c>
      <c r="B750" t="s">
        <v>1676</v>
      </c>
      <c r="C750" t="s">
        <v>1695</v>
      </c>
      <c r="D750" t="s">
        <v>1696</v>
      </c>
      <c r="E750" t="s">
        <v>1674</v>
      </c>
      <c r="F750" t="s">
        <v>89</v>
      </c>
      <c r="G750" t="s">
        <v>1106</v>
      </c>
      <c r="H750">
        <v>11</v>
      </c>
      <c r="I750">
        <v>941.97</v>
      </c>
      <c r="J750">
        <v>10361.67</v>
      </c>
    </row>
    <row r="751" spans="1:10">
      <c r="A751" s="25">
        <v>45149</v>
      </c>
      <c r="B751" t="s">
        <v>1676</v>
      </c>
      <c r="C751" t="s">
        <v>1684</v>
      </c>
      <c r="D751" t="s">
        <v>1678</v>
      </c>
      <c r="E751" t="s">
        <v>1679</v>
      </c>
      <c r="F751" t="s">
        <v>1687</v>
      </c>
      <c r="G751" t="s">
        <v>1710</v>
      </c>
      <c r="H751">
        <v>11</v>
      </c>
      <c r="I751">
        <v>2182.46</v>
      </c>
      <c r="J751">
        <v>24007.06</v>
      </c>
    </row>
    <row r="752" spans="1:10">
      <c r="A752" s="25">
        <v>45282</v>
      </c>
      <c r="B752" t="s">
        <v>1676</v>
      </c>
      <c r="C752" t="s">
        <v>1135</v>
      </c>
      <c r="D752" t="s">
        <v>1673</v>
      </c>
      <c r="E752" t="s">
        <v>1674</v>
      </c>
      <c r="F752" t="s">
        <v>1687</v>
      </c>
      <c r="G752" t="s">
        <v>1708</v>
      </c>
      <c r="H752">
        <v>10</v>
      </c>
      <c r="I752">
        <v>2112.91</v>
      </c>
      <c r="J752">
        <v>21129.1</v>
      </c>
    </row>
    <row r="753" spans="1:10">
      <c r="A753" s="25">
        <v>44968</v>
      </c>
      <c r="B753" t="s">
        <v>1686</v>
      </c>
      <c r="C753" t="s">
        <v>1137</v>
      </c>
      <c r="D753" t="s">
        <v>1696</v>
      </c>
      <c r="E753" t="s">
        <v>1674</v>
      </c>
      <c r="F753" t="s">
        <v>97</v>
      </c>
      <c r="G753" t="s">
        <v>1685</v>
      </c>
      <c r="H753">
        <v>13</v>
      </c>
      <c r="I753">
        <v>3495.08</v>
      </c>
      <c r="J753">
        <v>45436.04</v>
      </c>
    </row>
    <row r="754" spans="1:10">
      <c r="A754" s="25">
        <v>45078</v>
      </c>
      <c r="B754" t="s">
        <v>1671</v>
      </c>
      <c r="C754" t="s">
        <v>1706</v>
      </c>
      <c r="D754" t="s">
        <v>1702</v>
      </c>
      <c r="E754" t="s">
        <v>1703</v>
      </c>
      <c r="F754" t="s">
        <v>1687</v>
      </c>
      <c r="G754" t="s">
        <v>1688</v>
      </c>
      <c r="H754">
        <v>2</v>
      </c>
      <c r="I754">
        <v>3439.47</v>
      </c>
      <c r="J754">
        <v>6878.94</v>
      </c>
    </row>
    <row r="755" spans="1:10">
      <c r="A755" s="25">
        <v>44937</v>
      </c>
      <c r="B755" t="s">
        <v>1681</v>
      </c>
      <c r="C755" t="s">
        <v>1717</v>
      </c>
      <c r="D755" t="s">
        <v>1696</v>
      </c>
      <c r="E755" t="s">
        <v>1674</v>
      </c>
      <c r="F755" t="s">
        <v>101</v>
      </c>
      <c r="G755" t="s">
        <v>1675</v>
      </c>
      <c r="H755">
        <v>20</v>
      </c>
      <c r="I755">
        <v>3279.25</v>
      </c>
      <c r="J755">
        <v>65585</v>
      </c>
    </row>
    <row r="756" spans="1:10">
      <c r="A756" s="25">
        <v>44958</v>
      </c>
      <c r="B756" t="s">
        <v>1681</v>
      </c>
      <c r="C756" t="s">
        <v>1716</v>
      </c>
      <c r="D756" t="s">
        <v>1702</v>
      </c>
      <c r="E756" t="s">
        <v>1703</v>
      </c>
      <c r="F756" t="s">
        <v>101</v>
      </c>
      <c r="G756" t="s">
        <v>1709</v>
      </c>
      <c r="H756">
        <v>16</v>
      </c>
      <c r="I756">
        <v>3320.8</v>
      </c>
      <c r="J756">
        <v>53132.800000000003</v>
      </c>
    </row>
    <row r="757" spans="1:10">
      <c r="A757" s="25">
        <v>45291</v>
      </c>
      <c r="B757" t="s">
        <v>1681</v>
      </c>
      <c r="C757" t="s">
        <v>1136</v>
      </c>
      <c r="D757" t="s">
        <v>1673</v>
      </c>
      <c r="E757" t="s">
        <v>1674</v>
      </c>
      <c r="F757" t="s">
        <v>97</v>
      </c>
      <c r="G757" t="s">
        <v>1711</v>
      </c>
      <c r="H757">
        <v>6</v>
      </c>
      <c r="I757">
        <v>4105.1899999999996</v>
      </c>
      <c r="J757">
        <v>24631.14</v>
      </c>
    </row>
    <row r="758" spans="1:10">
      <c r="A758" s="25">
        <v>45169</v>
      </c>
      <c r="B758" t="s">
        <v>1694</v>
      </c>
      <c r="C758" t="s">
        <v>1706</v>
      </c>
      <c r="D758" t="s">
        <v>1702</v>
      </c>
      <c r="E758" t="s">
        <v>1703</v>
      </c>
      <c r="F758" t="s">
        <v>1687</v>
      </c>
      <c r="G758" t="s">
        <v>1704</v>
      </c>
      <c r="H758">
        <v>7</v>
      </c>
      <c r="I758">
        <v>1830.46</v>
      </c>
      <c r="J758">
        <v>12813.22</v>
      </c>
    </row>
    <row r="759" spans="1:10">
      <c r="A759" s="25">
        <v>44954</v>
      </c>
      <c r="B759" t="s">
        <v>1676</v>
      </c>
      <c r="C759" t="s">
        <v>1706</v>
      </c>
      <c r="D759" t="s">
        <v>1702</v>
      </c>
      <c r="E759" t="s">
        <v>1703</v>
      </c>
      <c r="F759" t="s">
        <v>114</v>
      </c>
      <c r="G759" t="s">
        <v>1718</v>
      </c>
      <c r="H759">
        <v>19</v>
      </c>
      <c r="I759">
        <v>3901.75</v>
      </c>
      <c r="J759">
        <v>74133.25</v>
      </c>
    </row>
    <row r="760" spans="1:10">
      <c r="A760" s="25">
        <v>45289</v>
      </c>
      <c r="B760" t="s">
        <v>1676</v>
      </c>
      <c r="C760" t="s">
        <v>1677</v>
      </c>
      <c r="D760" t="s">
        <v>1678</v>
      </c>
      <c r="E760" t="s">
        <v>1679</v>
      </c>
      <c r="F760" t="s">
        <v>1687</v>
      </c>
      <c r="G760" t="s">
        <v>1688</v>
      </c>
      <c r="H760">
        <v>10</v>
      </c>
      <c r="I760">
        <v>3031.91</v>
      </c>
      <c r="J760">
        <v>30319.1</v>
      </c>
    </row>
    <row r="761" spans="1:10">
      <c r="A761" s="25">
        <v>45176</v>
      </c>
      <c r="B761" t="s">
        <v>1692</v>
      </c>
      <c r="C761" t="s">
        <v>1672</v>
      </c>
      <c r="D761" t="s">
        <v>1673</v>
      </c>
      <c r="E761" t="s">
        <v>1674</v>
      </c>
      <c r="F761" t="s">
        <v>114</v>
      </c>
      <c r="G761" t="s">
        <v>1680</v>
      </c>
      <c r="H761">
        <v>18</v>
      </c>
      <c r="I761">
        <v>3575.04</v>
      </c>
      <c r="J761">
        <v>64350.720000000001</v>
      </c>
    </row>
    <row r="762" spans="1:10">
      <c r="A762" s="25">
        <v>45170</v>
      </c>
      <c r="B762" t="s">
        <v>1694</v>
      </c>
      <c r="C762" t="s">
        <v>1682</v>
      </c>
      <c r="D762" t="s">
        <v>1683</v>
      </c>
      <c r="E762" t="s">
        <v>1679</v>
      </c>
      <c r="F762" t="s">
        <v>1687</v>
      </c>
      <c r="G762" t="s">
        <v>1708</v>
      </c>
      <c r="H762">
        <v>17</v>
      </c>
      <c r="I762">
        <v>2920.06</v>
      </c>
      <c r="J762">
        <v>49641.02</v>
      </c>
    </row>
    <row r="763" spans="1:10">
      <c r="A763" s="25">
        <v>45030</v>
      </c>
      <c r="B763" t="s">
        <v>1698</v>
      </c>
      <c r="C763" t="s">
        <v>1135</v>
      </c>
      <c r="D763" t="s">
        <v>1673</v>
      </c>
      <c r="E763" t="s">
        <v>1674</v>
      </c>
      <c r="F763" t="s">
        <v>89</v>
      </c>
      <c r="G763" t="s">
        <v>1714</v>
      </c>
      <c r="H763">
        <v>15</v>
      </c>
      <c r="I763">
        <v>2796.48</v>
      </c>
      <c r="J763">
        <v>41947.199999999997</v>
      </c>
    </row>
    <row r="764" spans="1:10">
      <c r="A764" s="25">
        <v>45013</v>
      </c>
      <c r="B764" t="s">
        <v>1689</v>
      </c>
      <c r="C764" t="s">
        <v>1690</v>
      </c>
      <c r="D764" t="s">
        <v>1678</v>
      </c>
      <c r="E764" t="s">
        <v>1679</v>
      </c>
      <c r="F764" t="s">
        <v>89</v>
      </c>
      <c r="G764" t="s">
        <v>1106</v>
      </c>
      <c r="H764">
        <v>1</v>
      </c>
      <c r="I764">
        <v>2918.29</v>
      </c>
      <c r="J764">
        <v>2918.29</v>
      </c>
    </row>
    <row r="765" spans="1:10">
      <c r="A765" s="25">
        <v>45159</v>
      </c>
      <c r="B765" t="s">
        <v>1694</v>
      </c>
      <c r="C765" t="s">
        <v>1695</v>
      </c>
      <c r="D765" t="s">
        <v>1696</v>
      </c>
      <c r="E765" t="s">
        <v>1674</v>
      </c>
      <c r="F765" t="s">
        <v>101</v>
      </c>
      <c r="G765" t="s">
        <v>1709</v>
      </c>
      <c r="H765">
        <v>10</v>
      </c>
      <c r="I765">
        <v>1097.83</v>
      </c>
      <c r="J765">
        <v>10978.3</v>
      </c>
    </row>
    <row r="766" spans="1:10">
      <c r="A766" s="25">
        <v>44969</v>
      </c>
      <c r="B766" t="s">
        <v>1671</v>
      </c>
      <c r="C766" t="s">
        <v>1135</v>
      </c>
      <c r="D766" t="s">
        <v>1673</v>
      </c>
      <c r="E766" t="s">
        <v>1674</v>
      </c>
      <c r="F766" t="s">
        <v>97</v>
      </c>
      <c r="G766" t="s">
        <v>1699</v>
      </c>
      <c r="H766">
        <v>10</v>
      </c>
      <c r="I766">
        <v>3391.5</v>
      </c>
      <c r="J766">
        <v>33915</v>
      </c>
    </row>
    <row r="767" spans="1:10">
      <c r="A767" s="25">
        <v>45116</v>
      </c>
      <c r="B767" t="s">
        <v>1700</v>
      </c>
      <c r="C767" t="s">
        <v>1716</v>
      </c>
      <c r="D767" t="s">
        <v>1702</v>
      </c>
      <c r="E767" t="s">
        <v>1703</v>
      </c>
      <c r="F767" t="s">
        <v>1687</v>
      </c>
      <c r="G767" t="s">
        <v>1708</v>
      </c>
      <c r="H767">
        <v>13</v>
      </c>
      <c r="I767">
        <v>2225.88</v>
      </c>
      <c r="J767">
        <v>28936.44</v>
      </c>
    </row>
    <row r="768" spans="1:10">
      <c r="A768" s="25">
        <v>45265</v>
      </c>
      <c r="B768" t="s">
        <v>1692</v>
      </c>
      <c r="C768" t="s">
        <v>1136</v>
      </c>
      <c r="D768" t="s">
        <v>1673</v>
      </c>
      <c r="E768" t="s">
        <v>1674</v>
      </c>
      <c r="F768" t="s">
        <v>97</v>
      </c>
      <c r="G768" t="s">
        <v>1699</v>
      </c>
      <c r="H768">
        <v>2</v>
      </c>
      <c r="I768">
        <v>1559.76</v>
      </c>
      <c r="J768">
        <v>3119.52</v>
      </c>
    </row>
    <row r="769" spans="1:10">
      <c r="A769" s="25">
        <v>44945</v>
      </c>
      <c r="B769" t="s">
        <v>1681</v>
      </c>
      <c r="C769" t="s">
        <v>1717</v>
      </c>
      <c r="D769" t="s">
        <v>1696</v>
      </c>
      <c r="E769" t="s">
        <v>1674</v>
      </c>
      <c r="F769" t="s">
        <v>1687</v>
      </c>
      <c r="G769" t="s">
        <v>1704</v>
      </c>
      <c r="H769">
        <v>13</v>
      </c>
      <c r="I769">
        <v>4719.96</v>
      </c>
      <c r="J769">
        <v>61359.48</v>
      </c>
    </row>
    <row r="770" spans="1:10">
      <c r="A770" s="25">
        <v>45250</v>
      </c>
      <c r="B770" t="s">
        <v>1705</v>
      </c>
      <c r="C770" t="s">
        <v>1682</v>
      </c>
      <c r="D770" t="s">
        <v>1683</v>
      </c>
      <c r="E770" t="s">
        <v>1679</v>
      </c>
      <c r="F770" t="s">
        <v>114</v>
      </c>
      <c r="G770" t="s">
        <v>1691</v>
      </c>
      <c r="H770">
        <v>5</v>
      </c>
      <c r="I770">
        <v>1593.02</v>
      </c>
      <c r="J770">
        <v>7965.1</v>
      </c>
    </row>
    <row r="771" spans="1:10">
      <c r="A771" s="25">
        <v>45031</v>
      </c>
      <c r="B771" t="s">
        <v>1689</v>
      </c>
      <c r="C771" t="s">
        <v>1690</v>
      </c>
      <c r="D771" t="s">
        <v>1678</v>
      </c>
      <c r="E771" t="s">
        <v>1679</v>
      </c>
      <c r="F771" t="s">
        <v>97</v>
      </c>
      <c r="G771" t="s">
        <v>1685</v>
      </c>
      <c r="H771">
        <v>7</v>
      </c>
      <c r="I771">
        <v>1233.6300000000001</v>
      </c>
      <c r="J771">
        <v>8635.41</v>
      </c>
    </row>
    <row r="772" spans="1:10">
      <c r="A772" s="25">
        <v>45060</v>
      </c>
      <c r="B772" t="s">
        <v>1686</v>
      </c>
      <c r="C772" t="s">
        <v>1684</v>
      </c>
      <c r="D772" t="s">
        <v>1678</v>
      </c>
      <c r="E772" t="s">
        <v>1679</v>
      </c>
      <c r="F772" t="s">
        <v>89</v>
      </c>
      <c r="G772" t="s">
        <v>1713</v>
      </c>
      <c r="H772">
        <v>2</v>
      </c>
      <c r="I772">
        <v>2261.69</v>
      </c>
      <c r="J772">
        <v>4523.38</v>
      </c>
    </row>
    <row r="773" spans="1:10">
      <c r="A773" s="25">
        <v>45057</v>
      </c>
      <c r="B773" t="s">
        <v>1694</v>
      </c>
      <c r="C773" t="s">
        <v>1677</v>
      </c>
      <c r="D773" t="s">
        <v>1678</v>
      </c>
      <c r="E773" t="s">
        <v>1679</v>
      </c>
      <c r="F773" t="s">
        <v>1687</v>
      </c>
      <c r="G773" t="s">
        <v>1708</v>
      </c>
      <c r="H773">
        <v>15</v>
      </c>
      <c r="I773">
        <v>1197.31</v>
      </c>
      <c r="J773">
        <v>17959.650000000001</v>
      </c>
    </row>
    <row r="774" spans="1:10">
      <c r="A774" s="25">
        <v>45025</v>
      </c>
      <c r="B774" t="s">
        <v>1676</v>
      </c>
      <c r="C774" t="s">
        <v>1693</v>
      </c>
      <c r="D774" t="s">
        <v>1683</v>
      </c>
      <c r="E774" t="s">
        <v>1679</v>
      </c>
      <c r="F774" t="s">
        <v>114</v>
      </c>
      <c r="G774" t="s">
        <v>1691</v>
      </c>
      <c r="H774">
        <v>9</v>
      </c>
      <c r="I774">
        <v>3441.09</v>
      </c>
      <c r="J774">
        <v>30969.81</v>
      </c>
    </row>
    <row r="775" spans="1:10">
      <c r="A775" s="25">
        <v>45100</v>
      </c>
      <c r="B775" t="s">
        <v>1676</v>
      </c>
      <c r="C775" t="s">
        <v>1716</v>
      </c>
      <c r="D775" t="s">
        <v>1702</v>
      </c>
      <c r="E775" t="s">
        <v>1703</v>
      </c>
      <c r="F775" t="s">
        <v>101</v>
      </c>
      <c r="G775" t="s">
        <v>1715</v>
      </c>
      <c r="H775">
        <v>2</v>
      </c>
      <c r="I775">
        <v>3325.99</v>
      </c>
      <c r="J775">
        <v>6651.98</v>
      </c>
    </row>
    <row r="776" spans="1:10">
      <c r="A776" s="25">
        <v>45165</v>
      </c>
      <c r="B776" t="s">
        <v>1705</v>
      </c>
      <c r="C776" t="s">
        <v>1135</v>
      </c>
      <c r="D776" t="s">
        <v>1673</v>
      </c>
      <c r="E776" t="s">
        <v>1674</v>
      </c>
      <c r="F776" t="s">
        <v>97</v>
      </c>
      <c r="G776" t="s">
        <v>1685</v>
      </c>
      <c r="H776">
        <v>2</v>
      </c>
      <c r="I776">
        <v>991.8</v>
      </c>
      <c r="J776">
        <v>1983.6</v>
      </c>
    </row>
    <row r="777" spans="1:10">
      <c r="A777" s="25">
        <v>45040</v>
      </c>
      <c r="B777" t="s">
        <v>1700</v>
      </c>
      <c r="C777" t="s">
        <v>1716</v>
      </c>
      <c r="D777" t="s">
        <v>1702</v>
      </c>
      <c r="E777" t="s">
        <v>1703</v>
      </c>
      <c r="F777" t="s">
        <v>1687</v>
      </c>
      <c r="G777" t="s">
        <v>1688</v>
      </c>
      <c r="H777">
        <v>9</v>
      </c>
      <c r="I777">
        <v>4763.01</v>
      </c>
      <c r="J777">
        <v>42867.09</v>
      </c>
    </row>
    <row r="778" spans="1:10">
      <c r="A778" s="25">
        <v>45029</v>
      </c>
      <c r="B778" t="s">
        <v>1698</v>
      </c>
      <c r="C778" t="s">
        <v>1717</v>
      </c>
      <c r="D778" t="s">
        <v>1696</v>
      </c>
      <c r="E778" t="s">
        <v>1674</v>
      </c>
      <c r="F778" t="s">
        <v>97</v>
      </c>
      <c r="G778" t="s">
        <v>1711</v>
      </c>
      <c r="H778">
        <v>8</v>
      </c>
      <c r="I778">
        <v>826.71</v>
      </c>
      <c r="J778">
        <v>6613.68</v>
      </c>
    </row>
    <row r="779" spans="1:10">
      <c r="A779" s="25">
        <v>45222</v>
      </c>
      <c r="B779" t="s">
        <v>1671</v>
      </c>
      <c r="C779" t="s">
        <v>1682</v>
      </c>
      <c r="D779" t="s">
        <v>1683</v>
      </c>
      <c r="E779" t="s">
        <v>1679</v>
      </c>
      <c r="F779" t="s">
        <v>1687</v>
      </c>
      <c r="G779" t="s">
        <v>1710</v>
      </c>
      <c r="H779">
        <v>9</v>
      </c>
      <c r="I779">
        <v>209.57</v>
      </c>
      <c r="J779">
        <v>1886.13</v>
      </c>
    </row>
    <row r="780" spans="1:10">
      <c r="A780" s="25">
        <v>45092</v>
      </c>
      <c r="B780" t="s">
        <v>1689</v>
      </c>
      <c r="C780" t="s">
        <v>1682</v>
      </c>
      <c r="D780" t="s">
        <v>1683</v>
      </c>
      <c r="E780" t="s">
        <v>1679</v>
      </c>
      <c r="F780" t="s">
        <v>89</v>
      </c>
      <c r="G780" t="s">
        <v>1105</v>
      </c>
      <c r="H780">
        <v>7</v>
      </c>
      <c r="I780">
        <v>2538.4299999999998</v>
      </c>
      <c r="J780">
        <v>17769.009999999998</v>
      </c>
    </row>
    <row r="781" spans="1:10">
      <c r="A781" s="25">
        <v>45134</v>
      </c>
      <c r="B781" t="s">
        <v>1686</v>
      </c>
      <c r="C781" t="s">
        <v>1137</v>
      </c>
      <c r="D781" t="s">
        <v>1696</v>
      </c>
      <c r="E781" t="s">
        <v>1674</v>
      </c>
      <c r="F781" t="s">
        <v>1687</v>
      </c>
      <c r="G781" t="s">
        <v>1708</v>
      </c>
      <c r="H781">
        <v>7</v>
      </c>
      <c r="I781">
        <v>4116.9799999999996</v>
      </c>
      <c r="J781">
        <v>28818.86</v>
      </c>
    </row>
    <row r="782" spans="1:10">
      <c r="A782" s="25">
        <v>45108</v>
      </c>
      <c r="B782" t="s">
        <v>1676</v>
      </c>
      <c r="C782" t="s">
        <v>1136</v>
      </c>
      <c r="D782" t="s">
        <v>1673</v>
      </c>
      <c r="E782" t="s">
        <v>1674</v>
      </c>
      <c r="F782" t="s">
        <v>89</v>
      </c>
      <c r="G782" t="s">
        <v>1106</v>
      </c>
      <c r="H782">
        <v>20</v>
      </c>
      <c r="I782">
        <v>3638.01</v>
      </c>
      <c r="J782">
        <v>72760.2</v>
      </c>
    </row>
    <row r="783" spans="1:10">
      <c r="A783" s="25">
        <v>44954</v>
      </c>
      <c r="B783" t="s">
        <v>1705</v>
      </c>
      <c r="C783" t="s">
        <v>1701</v>
      </c>
      <c r="D783" t="s">
        <v>1702</v>
      </c>
      <c r="E783" t="s">
        <v>1703</v>
      </c>
      <c r="F783" t="s">
        <v>101</v>
      </c>
      <c r="G783" t="s">
        <v>1715</v>
      </c>
      <c r="H783">
        <v>8</v>
      </c>
      <c r="I783">
        <v>4523.4399999999996</v>
      </c>
      <c r="J783">
        <v>36187.519999999997</v>
      </c>
    </row>
    <row r="784" spans="1:10">
      <c r="A784" s="25">
        <v>45198</v>
      </c>
      <c r="B784" t="s">
        <v>1686</v>
      </c>
      <c r="C784" t="s">
        <v>1716</v>
      </c>
      <c r="D784" t="s">
        <v>1702</v>
      </c>
      <c r="E784" t="s">
        <v>1703</v>
      </c>
      <c r="F784" t="s">
        <v>101</v>
      </c>
      <c r="G784" t="s">
        <v>1709</v>
      </c>
      <c r="H784">
        <v>17</v>
      </c>
      <c r="I784">
        <v>2042</v>
      </c>
      <c r="J784">
        <v>34714</v>
      </c>
    </row>
    <row r="785" spans="1:10">
      <c r="A785" s="25">
        <v>44983</v>
      </c>
      <c r="B785" t="s">
        <v>1705</v>
      </c>
      <c r="C785" t="s">
        <v>1684</v>
      </c>
      <c r="D785" t="s">
        <v>1678</v>
      </c>
      <c r="E785" t="s">
        <v>1679</v>
      </c>
      <c r="F785" t="s">
        <v>114</v>
      </c>
      <c r="G785" t="s">
        <v>1680</v>
      </c>
      <c r="H785">
        <v>19</v>
      </c>
      <c r="I785">
        <v>2357.62</v>
      </c>
      <c r="J785">
        <v>44794.78</v>
      </c>
    </row>
    <row r="786" spans="1:10">
      <c r="A786" s="25">
        <v>44963</v>
      </c>
      <c r="B786" t="s">
        <v>1681</v>
      </c>
      <c r="C786" t="s">
        <v>1693</v>
      </c>
      <c r="D786" t="s">
        <v>1683</v>
      </c>
      <c r="E786" t="s">
        <v>1679</v>
      </c>
      <c r="F786" t="s">
        <v>97</v>
      </c>
      <c r="G786" t="s">
        <v>1685</v>
      </c>
      <c r="H786">
        <v>18</v>
      </c>
      <c r="I786">
        <v>941.19</v>
      </c>
      <c r="J786">
        <v>16941.419999999998</v>
      </c>
    </row>
    <row r="787" spans="1:10">
      <c r="A787" s="25">
        <v>45050</v>
      </c>
      <c r="B787" t="s">
        <v>1700</v>
      </c>
      <c r="C787" t="s">
        <v>1677</v>
      </c>
      <c r="D787" t="s">
        <v>1678</v>
      </c>
      <c r="E787" t="s">
        <v>1679</v>
      </c>
      <c r="F787" t="s">
        <v>97</v>
      </c>
      <c r="G787" t="s">
        <v>1699</v>
      </c>
      <c r="H787">
        <v>9</v>
      </c>
      <c r="I787">
        <v>3927.83</v>
      </c>
      <c r="J787">
        <v>35350.47</v>
      </c>
    </row>
    <row r="788" spans="1:10">
      <c r="A788" s="25">
        <v>45256</v>
      </c>
      <c r="B788" t="s">
        <v>1676</v>
      </c>
      <c r="C788" t="s">
        <v>1682</v>
      </c>
      <c r="D788" t="s">
        <v>1683</v>
      </c>
      <c r="E788" t="s">
        <v>1679</v>
      </c>
      <c r="F788" t="s">
        <v>1687</v>
      </c>
      <c r="G788" t="s">
        <v>1708</v>
      </c>
      <c r="H788">
        <v>1</v>
      </c>
      <c r="I788">
        <v>4555.42</v>
      </c>
      <c r="J788">
        <v>4555.42</v>
      </c>
    </row>
    <row r="789" spans="1:10">
      <c r="A789" s="25">
        <v>45046</v>
      </c>
      <c r="B789" t="s">
        <v>1689</v>
      </c>
      <c r="C789" t="s">
        <v>1672</v>
      </c>
      <c r="D789" t="s">
        <v>1673</v>
      </c>
      <c r="E789" t="s">
        <v>1674</v>
      </c>
      <c r="F789" t="s">
        <v>97</v>
      </c>
      <c r="G789" t="s">
        <v>1699</v>
      </c>
      <c r="H789">
        <v>18</v>
      </c>
      <c r="I789">
        <v>3271.29</v>
      </c>
      <c r="J789">
        <v>58883.22</v>
      </c>
    </row>
    <row r="790" spans="1:10">
      <c r="A790" s="25">
        <v>45163</v>
      </c>
      <c r="B790" t="s">
        <v>1671</v>
      </c>
      <c r="C790" t="s">
        <v>1717</v>
      </c>
      <c r="D790" t="s">
        <v>1696</v>
      </c>
      <c r="E790" t="s">
        <v>1674</v>
      </c>
      <c r="F790" t="s">
        <v>89</v>
      </c>
      <c r="G790" t="s">
        <v>1713</v>
      </c>
      <c r="H790">
        <v>15</v>
      </c>
      <c r="I790">
        <v>4406.3100000000004</v>
      </c>
      <c r="J790">
        <v>66094.649999999994</v>
      </c>
    </row>
    <row r="791" spans="1:10">
      <c r="A791" s="25">
        <v>45263</v>
      </c>
      <c r="B791" t="s">
        <v>1698</v>
      </c>
      <c r="C791" t="s">
        <v>1137</v>
      </c>
      <c r="D791" t="s">
        <v>1696</v>
      </c>
      <c r="E791" t="s">
        <v>1674</v>
      </c>
      <c r="F791" t="s">
        <v>114</v>
      </c>
      <c r="G791" t="s">
        <v>1718</v>
      </c>
      <c r="H791">
        <v>19</v>
      </c>
      <c r="I791">
        <v>2016.56</v>
      </c>
      <c r="J791">
        <v>38314.639999999999</v>
      </c>
    </row>
    <row r="792" spans="1:10">
      <c r="A792" s="25">
        <v>45188</v>
      </c>
      <c r="B792" t="s">
        <v>1698</v>
      </c>
      <c r="C792" t="s">
        <v>1717</v>
      </c>
      <c r="D792" t="s">
        <v>1696</v>
      </c>
      <c r="E792" t="s">
        <v>1674</v>
      </c>
      <c r="F792" t="s">
        <v>101</v>
      </c>
      <c r="G792" t="s">
        <v>1719</v>
      </c>
      <c r="H792">
        <v>13</v>
      </c>
      <c r="I792">
        <v>3531.03</v>
      </c>
      <c r="J792">
        <v>45903.39</v>
      </c>
    </row>
    <row r="793" spans="1:10">
      <c r="A793" s="25">
        <v>45245</v>
      </c>
      <c r="B793" t="s">
        <v>1692</v>
      </c>
      <c r="C793" t="s">
        <v>1677</v>
      </c>
      <c r="D793" t="s">
        <v>1678</v>
      </c>
      <c r="E793" t="s">
        <v>1679</v>
      </c>
      <c r="F793" t="s">
        <v>101</v>
      </c>
      <c r="G793" t="s">
        <v>1675</v>
      </c>
      <c r="H793">
        <v>7</v>
      </c>
      <c r="I793">
        <v>4077.95</v>
      </c>
      <c r="J793">
        <v>28545.65</v>
      </c>
    </row>
    <row r="794" spans="1:10">
      <c r="A794" s="25">
        <v>45032</v>
      </c>
      <c r="B794" t="s">
        <v>1689</v>
      </c>
      <c r="C794" t="s">
        <v>1693</v>
      </c>
      <c r="D794" t="s">
        <v>1683</v>
      </c>
      <c r="E794" t="s">
        <v>1679</v>
      </c>
      <c r="F794" t="s">
        <v>1687</v>
      </c>
      <c r="G794" t="s">
        <v>1710</v>
      </c>
      <c r="H794">
        <v>1</v>
      </c>
      <c r="I794">
        <v>1628.88</v>
      </c>
      <c r="J794">
        <v>1628.88</v>
      </c>
    </row>
    <row r="795" spans="1:10">
      <c r="A795" s="25">
        <v>44976</v>
      </c>
      <c r="B795" t="s">
        <v>1676</v>
      </c>
      <c r="C795" t="s">
        <v>1682</v>
      </c>
      <c r="D795" t="s">
        <v>1683</v>
      </c>
      <c r="E795" t="s">
        <v>1679</v>
      </c>
      <c r="F795" t="s">
        <v>97</v>
      </c>
      <c r="G795" t="s">
        <v>1685</v>
      </c>
      <c r="H795">
        <v>15</v>
      </c>
      <c r="I795">
        <v>2093.0300000000002</v>
      </c>
      <c r="J795">
        <v>31395.45</v>
      </c>
    </row>
    <row r="796" spans="1:10">
      <c r="A796" s="25">
        <v>45110</v>
      </c>
      <c r="B796" t="s">
        <v>1700</v>
      </c>
      <c r="C796" t="s">
        <v>1706</v>
      </c>
      <c r="D796" t="s">
        <v>1702</v>
      </c>
      <c r="E796" t="s">
        <v>1703</v>
      </c>
      <c r="F796" t="s">
        <v>97</v>
      </c>
      <c r="G796" t="s">
        <v>1699</v>
      </c>
      <c r="H796">
        <v>14</v>
      </c>
      <c r="I796">
        <v>2441.0700000000002</v>
      </c>
      <c r="J796">
        <v>34174.980000000003</v>
      </c>
    </row>
    <row r="797" spans="1:10">
      <c r="A797" s="25">
        <v>45089</v>
      </c>
      <c r="B797" t="s">
        <v>1705</v>
      </c>
      <c r="C797" t="s">
        <v>1136</v>
      </c>
      <c r="D797" t="s">
        <v>1673</v>
      </c>
      <c r="E797" t="s">
        <v>1674</v>
      </c>
      <c r="F797" t="s">
        <v>101</v>
      </c>
      <c r="G797" t="s">
        <v>1715</v>
      </c>
      <c r="H797">
        <v>18</v>
      </c>
      <c r="I797">
        <v>134.66999999999999</v>
      </c>
      <c r="J797">
        <v>2424.06</v>
      </c>
    </row>
    <row r="798" spans="1:10">
      <c r="A798" s="25">
        <v>45148</v>
      </c>
      <c r="B798" t="s">
        <v>1676</v>
      </c>
      <c r="C798" t="s">
        <v>1693</v>
      </c>
      <c r="D798" t="s">
        <v>1683</v>
      </c>
      <c r="E798" t="s">
        <v>1679</v>
      </c>
      <c r="F798" t="s">
        <v>89</v>
      </c>
      <c r="G798" t="s">
        <v>1105</v>
      </c>
      <c r="H798">
        <v>8</v>
      </c>
      <c r="I798">
        <v>2518.13</v>
      </c>
      <c r="J798">
        <v>20145.04</v>
      </c>
    </row>
    <row r="799" spans="1:10">
      <c r="A799" s="25">
        <v>45143</v>
      </c>
      <c r="B799" t="s">
        <v>1681</v>
      </c>
      <c r="C799" t="s">
        <v>1706</v>
      </c>
      <c r="D799" t="s">
        <v>1702</v>
      </c>
      <c r="E799" t="s">
        <v>1703</v>
      </c>
      <c r="F799" t="s">
        <v>114</v>
      </c>
      <c r="G799" t="s">
        <v>1712</v>
      </c>
      <c r="H799">
        <v>1</v>
      </c>
      <c r="I799">
        <v>2366.64</v>
      </c>
      <c r="J799">
        <v>2366.64</v>
      </c>
    </row>
    <row r="800" spans="1:10">
      <c r="A800" s="25">
        <v>45264</v>
      </c>
      <c r="B800" t="s">
        <v>1676</v>
      </c>
      <c r="C800" t="s">
        <v>1135</v>
      </c>
      <c r="D800" t="s">
        <v>1673</v>
      </c>
      <c r="E800" t="s">
        <v>1674</v>
      </c>
      <c r="F800" t="s">
        <v>114</v>
      </c>
      <c r="G800" t="s">
        <v>1680</v>
      </c>
      <c r="H800">
        <v>14</v>
      </c>
      <c r="I800">
        <v>3167.49</v>
      </c>
      <c r="J800">
        <v>44344.86</v>
      </c>
    </row>
    <row r="801" spans="1:10">
      <c r="A801" s="25">
        <v>45058</v>
      </c>
      <c r="B801" t="s">
        <v>1689</v>
      </c>
      <c r="C801" t="s">
        <v>1135</v>
      </c>
      <c r="D801" t="s">
        <v>1673</v>
      </c>
      <c r="E801" t="s">
        <v>1674</v>
      </c>
      <c r="F801" t="s">
        <v>89</v>
      </c>
      <c r="G801" t="s">
        <v>1106</v>
      </c>
      <c r="H801">
        <v>9</v>
      </c>
      <c r="I801">
        <v>109.56</v>
      </c>
      <c r="J801">
        <v>986.04</v>
      </c>
    </row>
    <row r="802" spans="1:10">
      <c r="A802" s="25">
        <v>45079</v>
      </c>
      <c r="B802" t="s">
        <v>1692</v>
      </c>
      <c r="C802" t="s">
        <v>1706</v>
      </c>
      <c r="D802" t="s">
        <v>1702</v>
      </c>
      <c r="E802" t="s">
        <v>1703</v>
      </c>
      <c r="F802" t="s">
        <v>89</v>
      </c>
      <c r="G802" t="s">
        <v>1714</v>
      </c>
      <c r="H802">
        <v>20</v>
      </c>
      <c r="I802">
        <v>652.87</v>
      </c>
      <c r="J802">
        <v>13057.4</v>
      </c>
    </row>
    <row r="803" spans="1:10">
      <c r="A803" s="25">
        <v>45000</v>
      </c>
      <c r="B803" t="s">
        <v>1689</v>
      </c>
      <c r="C803" t="s">
        <v>1682</v>
      </c>
      <c r="D803" t="s">
        <v>1683</v>
      </c>
      <c r="E803" t="s">
        <v>1679</v>
      </c>
      <c r="F803" t="s">
        <v>97</v>
      </c>
      <c r="G803" t="s">
        <v>1699</v>
      </c>
      <c r="H803">
        <v>4</v>
      </c>
      <c r="I803">
        <v>2563.65</v>
      </c>
      <c r="J803">
        <v>10254.6</v>
      </c>
    </row>
    <row r="804" spans="1:10">
      <c r="A804" s="25">
        <v>44944</v>
      </c>
      <c r="B804" t="s">
        <v>1686</v>
      </c>
      <c r="C804" t="s">
        <v>1690</v>
      </c>
      <c r="D804" t="s">
        <v>1678</v>
      </c>
      <c r="E804" t="s">
        <v>1679</v>
      </c>
      <c r="F804" t="s">
        <v>1687</v>
      </c>
      <c r="G804" t="s">
        <v>1704</v>
      </c>
      <c r="H804">
        <v>2</v>
      </c>
      <c r="I804">
        <v>771.23</v>
      </c>
      <c r="J804">
        <v>1542.46</v>
      </c>
    </row>
    <row r="805" spans="1:10">
      <c r="A805" s="25">
        <v>45137</v>
      </c>
      <c r="B805" t="s">
        <v>1694</v>
      </c>
      <c r="C805" t="s">
        <v>1684</v>
      </c>
      <c r="D805" t="s">
        <v>1678</v>
      </c>
      <c r="E805" t="s">
        <v>1679</v>
      </c>
      <c r="F805" t="s">
        <v>97</v>
      </c>
      <c r="G805" t="s">
        <v>1699</v>
      </c>
      <c r="H805">
        <v>19</v>
      </c>
      <c r="I805">
        <v>2290.6799999999998</v>
      </c>
      <c r="J805">
        <v>43522.92</v>
      </c>
    </row>
    <row r="806" spans="1:10">
      <c r="A806" s="25">
        <v>44950</v>
      </c>
      <c r="B806" t="s">
        <v>1689</v>
      </c>
      <c r="C806" t="s">
        <v>1707</v>
      </c>
      <c r="D806" t="s">
        <v>1683</v>
      </c>
      <c r="E806" t="s">
        <v>1679</v>
      </c>
      <c r="F806" t="s">
        <v>114</v>
      </c>
      <c r="G806" t="s">
        <v>1691</v>
      </c>
      <c r="H806">
        <v>9</v>
      </c>
      <c r="I806">
        <v>4965.3</v>
      </c>
      <c r="J806">
        <v>44687.7</v>
      </c>
    </row>
    <row r="807" spans="1:10">
      <c r="A807" s="25">
        <v>45195</v>
      </c>
      <c r="B807" t="s">
        <v>1686</v>
      </c>
      <c r="C807" t="s">
        <v>1672</v>
      </c>
      <c r="D807" t="s">
        <v>1673</v>
      </c>
      <c r="E807" t="s">
        <v>1674</v>
      </c>
      <c r="F807" t="s">
        <v>89</v>
      </c>
      <c r="G807" t="s">
        <v>1106</v>
      </c>
      <c r="H807">
        <v>4</v>
      </c>
      <c r="I807">
        <v>3684.5</v>
      </c>
      <c r="J807">
        <v>14738</v>
      </c>
    </row>
    <row r="808" spans="1:10">
      <c r="A808" s="25">
        <v>45118</v>
      </c>
      <c r="B808" t="s">
        <v>1681</v>
      </c>
      <c r="C808" t="s">
        <v>1695</v>
      </c>
      <c r="D808" t="s">
        <v>1696</v>
      </c>
      <c r="E808" t="s">
        <v>1674</v>
      </c>
      <c r="F808" t="s">
        <v>1687</v>
      </c>
      <c r="G808" t="s">
        <v>1710</v>
      </c>
      <c r="H808">
        <v>14</v>
      </c>
      <c r="I808">
        <v>4566.12</v>
      </c>
      <c r="J808">
        <v>63925.68</v>
      </c>
    </row>
    <row r="809" spans="1:10">
      <c r="A809" s="25">
        <v>45254</v>
      </c>
      <c r="B809" t="s">
        <v>1692</v>
      </c>
      <c r="C809" t="s">
        <v>1690</v>
      </c>
      <c r="D809" t="s">
        <v>1678</v>
      </c>
      <c r="E809" t="s">
        <v>1679</v>
      </c>
      <c r="F809" t="s">
        <v>101</v>
      </c>
      <c r="G809" t="s">
        <v>1719</v>
      </c>
      <c r="H809">
        <v>17</v>
      </c>
      <c r="I809">
        <v>2246.8200000000002</v>
      </c>
      <c r="J809">
        <v>38195.94</v>
      </c>
    </row>
    <row r="810" spans="1:10">
      <c r="A810" s="25">
        <v>45089</v>
      </c>
      <c r="B810" t="s">
        <v>1681</v>
      </c>
      <c r="C810" t="s">
        <v>1716</v>
      </c>
      <c r="D810" t="s">
        <v>1702</v>
      </c>
      <c r="E810" t="s">
        <v>1703</v>
      </c>
      <c r="F810" t="s">
        <v>114</v>
      </c>
      <c r="G810" t="s">
        <v>1680</v>
      </c>
      <c r="H810">
        <v>3</v>
      </c>
      <c r="I810">
        <v>215.21</v>
      </c>
      <c r="J810">
        <v>645.63</v>
      </c>
    </row>
    <row r="811" spans="1:10">
      <c r="A811" s="25">
        <v>45289</v>
      </c>
      <c r="B811" t="s">
        <v>1705</v>
      </c>
      <c r="C811" t="s">
        <v>1682</v>
      </c>
      <c r="D811" t="s">
        <v>1683</v>
      </c>
      <c r="E811" t="s">
        <v>1679</v>
      </c>
      <c r="F811" t="s">
        <v>89</v>
      </c>
      <c r="G811" t="s">
        <v>1105</v>
      </c>
      <c r="H811">
        <v>7</v>
      </c>
      <c r="I811">
        <v>1294.31</v>
      </c>
      <c r="J811">
        <v>9060.17</v>
      </c>
    </row>
    <row r="812" spans="1:10">
      <c r="A812" s="25">
        <v>45158</v>
      </c>
      <c r="B812" t="s">
        <v>1689</v>
      </c>
      <c r="C812" t="s">
        <v>1717</v>
      </c>
      <c r="D812" t="s">
        <v>1696</v>
      </c>
      <c r="E812" t="s">
        <v>1674</v>
      </c>
      <c r="F812" t="s">
        <v>1687</v>
      </c>
      <c r="G812" t="s">
        <v>1710</v>
      </c>
      <c r="H812">
        <v>9</v>
      </c>
      <c r="I812">
        <v>1558.74</v>
      </c>
      <c r="J812">
        <v>14028.66</v>
      </c>
    </row>
    <row r="813" spans="1:10">
      <c r="A813" s="25">
        <v>45009</v>
      </c>
      <c r="B813" t="s">
        <v>1698</v>
      </c>
      <c r="C813" t="s">
        <v>1677</v>
      </c>
      <c r="D813" t="s">
        <v>1678</v>
      </c>
      <c r="E813" t="s">
        <v>1679</v>
      </c>
      <c r="F813" t="s">
        <v>114</v>
      </c>
      <c r="G813" t="s">
        <v>1718</v>
      </c>
      <c r="H813">
        <v>11</v>
      </c>
      <c r="I813">
        <v>4382.91</v>
      </c>
      <c r="J813">
        <v>48212.01</v>
      </c>
    </row>
    <row r="814" spans="1:10">
      <c r="A814" s="25">
        <v>45138</v>
      </c>
      <c r="B814" t="s">
        <v>1689</v>
      </c>
      <c r="C814" t="s">
        <v>1716</v>
      </c>
      <c r="D814" t="s">
        <v>1702</v>
      </c>
      <c r="E814" t="s">
        <v>1703</v>
      </c>
      <c r="F814" t="s">
        <v>89</v>
      </c>
      <c r="G814" t="s">
        <v>1713</v>
      </c>
      <c r="H814">
        <v>6</v>
      </c>
      <c r="I814">
        <v>4197.59</v>
      </c>
      <c r="J814">
        <v>25185.54</v>
      </c>
    </row>
    <row r="815" spans="1:10">
      <c r="A815" s="25">
        <v>44961</v>
      </c>
      <c r="B815" t="s">
        <v>1671</v>
      </c>
      <c r="C815" t="s">
        <v>1690</v>
      </c>
      <c r="D815" t="s">
        <v>1678</v>
      </c>
      <c r="E815" t="s">
        <v>1679</v>
      </c>
      <c r="F815" t="s">
        <v>114</v>
      </c>
      <c r="G815" t="s">
        <v>1718</v>
      </c>
      <c r="H815">
        <v>2</v>
      </c>
      <c r="I815">
        <v>4137.49</v>
      </c>
      <c r="J815">
        <v>8274.98</v>
      </c>
    </row>
    <row r="816" spans="1:10">
      <c r="A816" s="25">
        <v>45242</v>
      </c>
      <c r="B816" t="s">
        <v>1694</v>
      </c>
      <c r="C816" t="s">
        <v>1706</v>
      </c>
      <c r="D816" t="s">
        <v>1702</v>
      </c>
      <c r="E816" t="s">
        <v>1703</v>
      </c>
      <c r="F816" t="s">
        <v>89</v>
      </c>
      <c r="G816" t="s">
        <v>1713</v>
      </c>
      <c r="H816">
        <v>16</v>
      </c>
      <c r="I816">
        <v>1598.06</v>
      </c>
      <c r="J816">
        <v>25568.959999999999</v>
      </c>
    </row>
    <row r="817" spans="1:10">
      <c r="A817" s="25">
        <v>45250</v>
      </c>
      <c r="B817" t="s">
        <v>1676</v>
      </c>
      <c r="C817" t="s">
        <v>1716</v>
      </c>
      <c r="D817" t="s">
        <v>1702</v>
      </c>
      <c r="E817" t="s">
        <v>1703</v>
      </c>
      <c r="F817" t="s">
        <v>101</v>
      </c>
      <c r="G817" t="s">
        <v>1719</v>
      </c>
      <c r="H817">
        <v>3</v>
      </c>
      <c r="I817">
        <v>3044.02</v>
      </c>
      <c r="J817">
        <v>9132.06</v>
      </c>
    </row>
    <row r="818" spans="1:10">
      <c r="A818" s="25">
        <v>44935</v>
      </c>
      <c r="B818" t="s">
        <v>1671</v>
      </c>
      <c r="C818" t="s">
        <v>1136</v>
      </c>
      <c r="D818" t="s">
        <v>1673</v>
      </c>
      <c r="E818" t="s">
        <v>1674</v>
      </c>
      <c r="F818" t="s">
        <v>97</v>
      </c>
      <c r="G818" t="s">
        <v>1711</v>
      </c>
      <c r="H818">
        <v>6</v>
      </c>
      <c r="I818">
        <v>4270.03</v>
      </c>
      <c r="J818">
        <v>25620.18</v>
      </c>
    </row>
    <row r="819" spans="1:10">
      <c r="A819" s="25">
        <v>45179</v>
      </c>
      <c r="B819" t="s">
        <v>1676</v>
      </c>
      <c r="C819" t="s">
        <v>1136</v>
      </c>
      <c r="D819" t="s">
        <v>1673</v>
      </c>
      <c r="E819" t="s">
        <v>1674</v>
      </c>
      <c r="F819" t="s">
        <v>101</v>
      </c>
      <c r="G819" t="s">
        <v>1719</v>
      </c>
      <c r="H819">
        <v>13</v>
      </c>
      <c r="I819">
        <v>298.08999999999997</v>
      </c>
      <c r="J819">
        <v>3875.17</v>
      </c>
    </row>
    <row r="820" spans="1:10">
      <c r="A820" s="25">
        <v>45090</v>
      </c>
      <c r="B820" t="s">
        <v>1694</v>
      </c>
      <c r="C820" t="s">
        <v>1717</v>
      </c>
      <c r="D820" t="s">
        <v>1696</v>
      </c>
      <c r="E820" t="s">
        <v>1674</v>
      </c>
      <c r="F820" t="s">
        <v>89</v>
      </c>
      <c r="G820" t="s">
        <v>1106</v>
      </c>
      <c r="H820">
        <v>3</v>
      </c>
      <c r="I820">
        <v>1453.68</v>
      </c>
      <c r="J820">
        <v>4361.04</v>
      </c>
    </row>
    <row r="821" spans="1:10">
      <c r="A821" s="25">
        <v>45129</v>
      </c>
      <c r="B821" t="s">
        <v>1700</v>
      </c>
      <c r="C821" t="s">
        <v>1706</v>
      </c>
      <c r="D821" t="s">
        <v>1702</v>
      </c>
      <c r="E821" t="s">
        <v>1703</v>
      </c>
      <c r="F821" t="s">
        <v>114</v>
      </c>
      <c r="G821" t="s">
        <v>1712</v>
      </c>
      <c r="H821">
        <v>4</v>
      </c>
      <c r="I821">
        <v>1009.78</v>
      </c>
      <c r="J821">
        <v>4039.12</v>
      </c>
    </row>
    <row r="822" spans="1:10">
      <c r="A822" s="25">
        <v>45203</v>
      </c>
      <c r="B822" t="s">
        <v>1671</v>
      </c>
      <c r="C822" t="s">
        <v>1684</v>
      </c>
      <c r="D822" t="s">
        <v>1678</v>
      </c>
      <c r="E822" t="s">
        <v>1679</v>
      </c>
      <c r="F822" t="s">
        <v>89</v>
      </c>
      <c r="G822" t="s">
        <v>1105</v>
      </c>
      <c r="H822">
        <v>12</v>
      </c>
      <c r="I822">
        <v>231.07</v>
      </c>
      <c r="J822">
        <v>2772.84</v>
      </c>
    </row>
    <row r="823" spans="1:10">
      <c r="A823" s="25">
        <v>44963</v>
      </c>
      <c r="B823" t="s">
        <v>1671</v>
      </c>
      <c r="C823" t="s">
        <v>1672</v>
      </c>
      <c r="D823" t="s">
        <v>1673</v>
      </c>
      <c r="E823" t="s">
        <v>1674</v>
      </c>
      <c r="F823" t="s">
        <v>89</v>
      </c>
      <c r="G823" t="s">
        <v>1106</v>
      </c>
      <c r="H823">
        <v>12</v>
      </c>
      <c r="I823">
        <v>1410.03</v>
      </c>
      <c r="J823">
        <v>16920.36</v>
      </c>
    </row>
    <row r="824" spans="1:10">
      <c r="A824" s="25">
        <v>44966</v>
      </c>
      <c r="B824" t="s">
        <v>1694</v>
      </c>
      <c r="C824" t="s">
        <v>1136</v>
      </c>
      <c r="D824" t="s">
        <v>1673</v>
      </c>
      <c r="E824" t="s">
        <v>1674</v>
      </c>
      <c r="F824" t="s">
        <v>114</v>
      </c>
      <c r="G824" t="s">
        <v>1691</v>
      </c>
      <c r="H824">
        <v>6</v>
      </c>
      <c r="I824">
        <v>1610.91</v>
      </c>
      <c r="J824">
        <v>9665.4599999999991</v>
      </c>
    </row>
    <row r="825" spans="1:10">
      <c r="A825" s="25">
        <v>44964</v>
      </c>
      <c r="B825" t="s">
        <v>1698</v>
      </c>
      <c r="C825" t="s">
        <v>1707</v>
      </c>
      <c r="D825" t="s">
        <v>1683</v>
      </c>
      <c r="E825" t="s">
        <v>1679</v>
      </c>
      <c r="F825" t="s">
        <v>114</v>
      </c>
      <c r="G825" t="s">
        <v>1691</v>
      </c>
      <c r="H825">
        <v>7</v>
      </c>
      <c r="I825">
        <v>3396.62</v>
      </c>
      <c r="J825">
        <v>23776.34</v>
      </c>
    </row>
    <row r="826" spans="1:10">
      <c r="A826" s="25">
        <v>45115</v>
      </c>
      <c r="B826" t="s">
        <v>1705</v>
      </c>
      <c r="C826" t="s">
        <v>1707</v>
      </c>
      <c r="D826" t="s">
        <v>1683</v>
      </c>
      <c r="E826" t="s">
        <v>1679</v>
      </c>
      <c r="F826" t="s">
        <v>114</v>
      </c>
      <c r="G826" t="s">
        <v>1712</v>
      </c>
      <c r="H826">
        <v>14</v>
      </c>
      <c r="I826">
        <v>4164.33</v>
      </c>
      <c r="J826">
        <v>58300.62</v>
      </c>
    </row>
    <row r="827" spans="1:10">
      <c r="A827" s="25">
        <v>44939</v>
      </c>
      <c r="B827" t="s">
        <v>1705</v>
      </c>
      <c r="C827" t="s">
        <v>1672</v>
      </c>
      <c r="D827" t="s">
        <v>1673</v>
      </c>
      <c r="E827" t="s">
        <v>1674</v>
      </c>
      <c r="F827" t="s">
        <v>101</v>
      </c>
      <c r="G827" t="s">
        <v>1709</v>
      </c>
      <c r="H827">
        <v>12</v>
      </c>
      <c r="I827">
        <v>4414.2700000000004</v>
      </c>
      <c r="J827">
        <v>52971.24</v>
      </c>
    </row>
    <row r="828" spans="1:10">
      <c r="A828" s="25">
        <v>45125</v>
      </c>
      <c r="B828" t="s">
        <v>1698</v>
      </c>
      <c r="C828" t="s">
        <v>1690</v>
      </c>
      <c r="D828" t="s">
        <v>1678</v>
      </c>
      <c r="E828" t="s">
        <v>1679</v>
      </c>
      <c r="F828" t="s">
        <v>97</v>
      </c>
      <c r="G828" t="s">
        <v>1711</v>
      </c>
      <c r="H828">
        <v>13</v>
      </c>
      <c r="I828">
        <v>3101.42</v>
      </c>
      <c r="J828">
        <v>40318.46</v>
      </c>
    </row>
    <row r="829" spans="1:10">
      <c r="A829" s="25">
        <v>45158</v>
      </c>
      <c r="B829" t="s">
        <v>1700</v>
      </c>
      <c r="C829" t="s">
        <v>1684</v>
      </c>
      <c r="D829" t="s">
        <v>1678</v>
      </c>
      <c r="E829" t="s">
        <v>1679</v>
      </c>
      <c r="F829" t="s">
        <v>114</v>
      </c>
      <c r="G829" t="s">
        <v>1718</v>
      </c>
      <c r="H829">
        <v>18</v>
      </c>
      <c r="I829">
        <v>3002.55</v>
      </c>
      <c r="J829">
        <v>54045.9</v>
      </c>
    </row>
    <row r="830" spans="1:10">
      <c r="A830" s="25">
        <v>44962</v>
      </c>
      <c r="B830" t="s">
        <v>1671</v>
      </c>
      <c r="C830" t="s">
        <v>1701</v>
      </c>
      <c r="D830" t="s">
        <v>1702</v>
      </c>
      <c r="E830" t="s">
        <v>1703</v>
      </c>
      <c r="F830" t="s">
        <v>101</v>
      </c>
      <c r="G830" t="s">
        <v>1675</v>
      </c>
      <c r="H830">
        <v>13</v>
      </c>
      <c r="I830">
        <v>2098.65</v>
      </c>
      <c r="J830">
        <v>27282.45</v>
      </c>
    </row>
    <row r="831" spans="1:10">
      <c r="A831" s="25">
        <v>45205</v>
      </c>
      <c r="B831" t="s">
        <v>1698</v>
      </c>
      <c r="C831" t="s">
        <v>1137</v>
      </c>
      <c r="D831" t="s">
        <v>1696</v>
      </c>
      <c r="E831" t="s">
        <v>1674</v>
      </c>
      <c r="F831" t="s">
        <v>89</v>
      </c>
      <c r="G831" t="s">
        <v>1713</v>
      </c>
      <c r="H831">
        <v>5</v>
      </c>
      <c r="I831">
        <v>4106.79</v>
      </c>
      <c r="J831">
        <v>20533.95</v>
      </c>
    </row>
    <row r="832" spans="1:10">
      <c r="A832" s="25">
        <v>45077</v>
      </c>
      <c r="B832" t="s">
        <v>1686</v>
      </c>
      <c r="C832" t="s">
        <v>1706</v>
      </c>
      <c r="D832" t="s">
        <v>1702</v>
      </c>
      <c r="E832" t="s">
        <v>1703</v>
      </c>
      <c r="F832" t="s">
        <v>97</v>
      </c>
      <c r="G832" t="s">
        <v>1685</v>
      </c>
      <c r="H832">
        <v>1</v>
      </c>
      <c r="I832">
        <v>3041.26</v>
      </c>
      <c r="J832">
        <v>3041.26</v>
      </c>
    </row>
    <row r="833" spans="1:10">
      <c r="A833" s="25">
        <v>45248</v>
      </c>
      <c r="B833" t="s">
        <v>1686</v>
      </c>
      <c r="C833" t="s">
        <v>1135</v>
      </c>
      <c r="D833" t="s">
        <v>1673</v>
      </c>
      <c r="E833" t="s">
        <v>1674</v>
      </c>
      <c r="F833" t="s">
        <v>114</v>
      </c>
      <c r="G833" t="s">
        <v>1691</v>
      </c>
      <c r="H833">
        <v>7</v>
      </c>
      <c r="I833">
        <v>4514.21</v>
      </c>
      <c r="J833">
        <v>31599.47</v>
      </c>
    </row>
    <row r="834" spans="1:10">
      <c r="A834" s="25">
        <v>45006</v>
      </c>
      <c r="B834" t="s">
        <v>1705</v>
      </c>
      <c r="C834" t="s">
        <v>1690</v>
      </c>
      <c r="D834" t="s">
        <v>1678</v>
      </c>
      <c r="E834" t="s">
        <v>1679</v>
      </c>
      <c r="F834" t="s">
        <v>97</v>
      </c>
      <c r="G834" t="s">
        <v>1685</v>
      </c>
      <c r="H834">
        <v>18</v>
      </c>
      <c r="I834">
        <v>2971.68</v>
      </c>
      <c r="J834">
        <v>53490.239999999998</v>
      </c>
    </row>
    <row r="835" spans="1:10">
      <c r="A835" s="25">
        <v>45161</v>
      </c>
      <c r="B835" t="s">
        <v>1694</v>
      </c>
      <c r="C835" t="s">
        <v>1693</v>
      </c>
      <c r="D835" t="s">
        <v>1683</v>
      </c>
      <c r="E835" t="s">
        <v>1679</v>
      </c>
      <c r="F835" t="s">
        <v>1687</v>
      </c>
      <c r="G835" t="s">
        <v>1688</v>
      </c>
      <c r="H835">
        <v>6</v>
      </c>
      <c r="I835">
        <v>2263.36</v>
      </c>
      <c r="J835">
        <v>13580.16</v>
      </c>
    </row>
    <row r="836" spans="1:10">
      <c r="A836" s="25">
        <v>45059</v>
      </c>
      <c r="B836" t="s">
        <v>1671</v>
      </c>
      <c r="C836" t="s">
        <v>1677</v>
      </c>
      <c r="D836" t="s">
        <v>1678</v>
      </c>
      <c r="E836" t="s">
        <v>1679</v>
      </c>
      <c r="F836" t="s">
        <v>101</v>
      </c>
      <c r="G836" t="s">
        <v>1715</v>
      </c>
      <c r="H836">
        <v>8</v>
      </c>
      <c r="I836">
        <v>3859.28</v>
      </c>
      <c r="J836">
        <v>30874.240000000002</v>
      </c>
    </row>
    <row r="837" spans="1:10">
      <c r="A837" s="25">
        <v>45061</v>
      </c>
      <c r="B837" t="s">
        <v>1698</v>
      </c>
      <c r="C837" t="s">
        <v>1672</v>
      </c>
      <c r="D837" t="s">
        <v>1673</v>
      </c>
      <c r="E837" t="s">
        <v>1674</v>
      </c>
      <c r="F837" t="s">
        <v>101</v>
      </c>
      <c r="G837" t="s">
        <v>1719</v>
      </c>
      <c r="H837">
        <v>14</v>
      </c>
      <c r="I837">
        <v>3044.71</v>
      </c>
      <c r="J837">
        <v>42625.94</v>
      </c>
    </row>
    <row r="838" spans="1:10">
      <c r="A838" s="25">
        <v>45105</v>
      </c>
      <c r="B838" t="s">
        <v>1686</v>
      </c>
      <c r="C838" t="s">
        <v>1707</v>
      </c>
      <c r="D838" t="s">
        <v>1683</v>
      </c>
      <c r="E838" t="s">
        <v>1679</v>
      </c>
      <c r="F838" t="s">
        <v>114</v>
      </c>
      <c r="G838" t="s">
        <v>1712</v>
      </c>
      <c r="H838">
        <v>11</v>
      </c>
      <c r="I838">
        <v>4653.38</v>
      </c>
      <c r="J838">
        <v>51187.18</v>
      </c>
    </row>
    <row r="839" spans="1:10">
      <c r="A839" s="25">
        <v>44964</v>
      </c>
      <c r="B839" t="s">
        <v>1694</v>
      </c>
      <c r="C839" t="s">
        <v>1693</v>
      </c>
      <c r="D839" t="s">
        <v>1683</v>
      </c>
      <c r="E839" t="s">
        <v>1679</v>
      </c>
      <c r="F839" t="s">
        <v>101</v>
      </c>
      <c r="G839" t="s">
        <v>1719</v>
      </c>
      <c r="H839">
        <v>9</v>
      </c>
      <c r="I839">
        <v>3425.59</v>
      </c>
      <c r="J839">
        <v>30830.31</v>
      </c>
    </row>
    <row r="840" spans="1:10">
      <c r="A840" s="25">
        <v>45134</v>
      </c>
      <c r="B840" t="s">
        <v>1671</v>
      </c>
      <c r="C840" t="s">
        <v>1135</v>
      </c>
      <c r="D840" t="s">
        <v>1673</v>
      </c>
      <c r="E840" t="s">
        <v>1674</v>
      </c>
      <c r="F840" t="s">
        <v>97</v>
      </c>
      <c r="G840" t="s">
        <v>1685</v>
      </c>
      <c r="H840">
        <v>15</v>
      </c>
      <c r="I840">
        <v>4671.6899999999996</v>
      </c>
      <c r="J840">
        <v>70075.350000000006</v>
      </c>
    </row>
    <row r="841" spans="1:10">
      <c r="A841" s="25">
        <v>45186</v>
      </c>
      <c r="B841" t="s">
        <v>1676</v>
      </c>
      <c r="C841" t="s">
        <v>1136</v>
      </c>
      <c r="D841" t="s">
        <v>1673</v>
      </c>
      <c r="E841" t="s">
        <v>1674</v>
      </c>
      <c r="F841" t="s">
        <v>114</v>
      </c>
      <c r="G841" t="s">
        <v>1718</v>
      </c>
      <c r="H841">
        <v>5</v>
      </c>
      <c r="I841">
        <v>4600.38</v>
      </c>
      <c r="J841">
        <v>23001.9</v>
      </c>
    </row>
    <row r="842" spans="1:10">
      <c r="A842" s="25">
        <v>45088</v>
      </c>
      <c r="B842" t="s">
        <v>1700</v>
      </c>
      <c r="C842" t="s">
        <v>1690</v>
      </c>
      <c r="D842" t="s">
        <v>1678</v>
      </c>
      <c r="E842" t="s">
        <v>1679</v>
      </c>
      <c r="F842" t="s">
        <v>1687</v>
      </c>
      <c r="G842" t="s">
        <v>1710</v>
      </c>
      <c r="H842">
        <v>19</v>
      </c>
      <c r="I842">
        <v>2183.09</v>
      </c>
      <c r="J842">
        <v>41478.71</v>
      </c>
    </row>
    <row r="843" spans="1:10">
      <c r="A843" s="25">
        <v>45280</v>
      </c>
      <c r="B843" t="s">
        <v>1694</v>
      </c>
      <c r="C843" t="s">
        <v>1684</v>
      </c>
      <c r="D843" t="s">
        <v>1678</v>
      </c>
      <c r="E843" t="s">
        <v>1679</v>
      </c>
      <c r="F843" t="s">
        <v>89</v>
      </c>
      <c r="G843" t="s">
        <v>1106</v>
      </c>
      <c r="H843">
        <v>8</v>
      </c>
      <c r="I843">
        <v>1850.8</v>
      </c>
      <c r="J843">
        <v>14806.4</v>
      </c>
    </row>
    <row r="844" spans="1:10">
      <c r="A844" s="25">
        <v>45272</v>
      </c>
      <c r="B844" t="s">
        <v>1676</v>
      </c>
      <c r="C844" t="s">
        <v>1706</v>
      </c>
      <c r="D844" t="s">
        <v>1702</v>
      </c>
      <c r="E844" t="s">
        <v>1703</v>
      </c>
      <c r="F844" t="s">
        <v>89</v>
      </c>
      <c r="G844" t="s">
        <v>1713</v>
      </c>
      <c r="H844">
        <v>12</v>
      </c>
      <c r="I844">
        <v>3695.68</v>
      </c>
      <c r="J844">
        <v>44348.160000000003</v>
      </c>
    </row>
    <row r="845" spans="1:10">
      <c r="A845" s="25">
        <v>45119</v>
      </c>
      <c r="B845" t="s">
        <v>1671</v>
      </c>
      <c r="C845" t="s">
        <v>1695</v>
      </c>
      <c r="D845" t="s">
        <v>1696</v>
      </c>
      <c r="E845" t="s">
        <v>1674</v>
      </c>
      <c r="F845" t="s">
        <v>101</v>
      </c>
      <c r="G845" t="s">
        <v>1719</v>
      </c>
      <c r="H845">
        <v>14</v>
      </c>
      <c r="I845">
        <v>3099.57</v>
      </c>
      <c r="J845">
        <v>43393.98</v>
      </c>
    </row>
    <row r="846" spans="1:10">
      <c r="A846" s="25">
        <v>45222</v>
      </c>
      <c r="B846" t="s">
        <v>1692</v>
      </c>
      <c r="C846" t="s">
        <v>1672</v>
      </c>
      <c r="D846" t="s">
        <v>1673</v>
      </c>
      <c r="E846" t="s">
        <v>1674</v>
      </c>
      <c r="F846" t="s">
        <v>97</v>
      </c>
      <c r="G846" t="s">
        <v>1697</v>
      </c>
      <c r="H846">
        <v>1</v>
      </c>
      <c r="I846">
        <v>3758.07</v>
      </c>
      <c r="J846">
        <v>3758.07</v>
      </c>
    </row>
    <row r="847" spans="1:10">
      <c r="A847" s="25">
        <v>45163</v>
      </c>
      <c r="B847" t="s">
        <v>1689</v>
      </c>
      <c r="C847" t="s">
        <v>1701</v>
      </c>
      <c r="D847" t="s">
        <v>1702</v>
      </c>
      <c r="E847" t="s">
        <v>1703</v>
      </c>
      <c r="F847" t="s">
        <v>101</v>
      </c>
      <c r="G847" t="s">
        <v>1709</v>
      </c>
      <c r="H847">
        <v>5</v>
      </c>
      <c r="I847">
        <v>2536.65</v>
      </c>
      <c r="J847">
        <v>12683.25</v>
      </c>
    </row>
    <row r="848" spans="1:10">
      <c r="A848" s="25">
        <v>45160</v>
      </c>
      <c r="B848" t="s">
        <v>1692</v>
      </c>
      <c r="C848" t="s">
        <v>1135</v>
      </c>
      <c r="D848" t="s">
        <v>1673</v>
      </c>
      <c r="E848" t="s">
        <v>1674</v>
      </c>
      <c r="F848" t="s">
        <v>1687</v>
      </c>
      <c r="G848" t="s">
        <v>1708</v>
      </c>
      <c r="H848">
        <v>9</v>
      </c>
      <c r="I848">
        <v>564.08000000000004</v>
      </c>
      <c r="J848">
        <v>5076.72</v>
      </c>
    </row>
    <row r="849" spans="1:10">
      <c r="A849" s="25">
        <v>45257</v>
      </c>
      <c r="B849" t="s">
        <v>1671</v>
      </c>
      <c r="C849" t="s">
        <v>1682</v>
      </c>
      <c r="D849" t="s">
        <v>1683</v>
      </c>
      <c r="E849" t="s">
        <v>1679</v>
      </c>
      <c r="F849" t="s">
        <v>1687</v>
      </c>
      <c r="G849" t="s">
        <v>1704</v>
      </c>
      <c r="H849">
        <v>4</v>
      </c>
      <c r="I849">
        <v>3762.47</v>
      </c>
      <c r="J849">
        <v>15049.88</v>
      </c>
    </row>
    <row r="850" spans="1:10">
      <c r="A850" s="25">
        <v>45229</v>
      </c>
      <c r="B850" t="s">
        <v>1681</v>
      </c>
      <c r="C850" t="s">
        <v>1717</v>
      </c>
      <c r="D850" t="s">
        <v>1696</v>
      </c>
      <c r="E850" t="s">
        <v>1674</v>
      </c>
      <c r="F850" t="s">
        <v>1687</v>
      </c>
      <c r="G850" t="s">
        <v>1710</v>
      </c>
      <c r="H850">
        <v>5</v>
      </c>
      <c r="I850">
        <v>4180.57</v>
      </c>
      <c r="J850">
        <v>20902.849999999999</v>
      </c>
    </row>
    <row r="851" spans="1:10">
      <c r="A851" s="25">
        <v>44945</v>
      </c>
      <c r="B851" t="s">
        <v>1694</v>
      </c>
      <c r="C851" t="s">
        <v>1707</v>
      </c>
      <c r="D851" t="s">
        <v>1683</v>
      </c>
      <c r="E851" t="s">
        <v>1679</v>
      </c>
      <c r="F851" t="s">
        <v>101</v>
      </c>
      <c r="G851" t="s">
        <v>1709</v>
      </c>
      <c r="H851">
        <v>5</v>
      </c>
      <c r="I851">
        <v>1947.01</v>
      </c>
      <c r="J851">
        <v>9735.0499999999993</v>
      </c>
    </row>
    <row r="852" spans="1:10">
      <c r="A852" s="25">
        <v>45129</v>
      </c>
      <c r="B852" t="s">
        <v>1671</v>
      </c>
      <c r="C852" t="s">
        <v>1672</v>
      </c>
      <c r="D852" t="s">
        <v>1673</v>
      </c>
      <c r="E852" t="s">
        <v>1674</v>
      </c>
      <c r="F852" t="s">
        <v>97</v>
      </c>
      <c r="G852" t="s">
        <v>1699</v>
      </c>
      <c r="H852">
        <v>13</v>
      </c>
      <c r="I852">
        <v>4686.21</v>
      </c>
      <c r="J852">
        <v>60920.73</v>
      </c>
    </row>
    <row r="853" spans="1:10">
      <c r="A853" s="25">
        <v>44944</v>
      </c>
      <c r="B853" t="s">
        <v>1681</v>
      </c>
      <c r="C853" t="s">
        <v>1672</v>
      </c>
      <c r="D853" t="s">
        <v>1673</v>
      </c>
      <c r="E853" t="s">
        <v>1674</v>
      </c>
      <c r="F853" t="s">
        <v>101</v>
      </c>
      <c r="G853" t="s">
        <v>1675</v>
      </c>
      <c r="H853">
        <v>7</v>
      </c>
      <c r="I853">
        <v>4418.17</v>
      </c>
      <c r="J853">
        <v>30927.19</v>
      </c>
    </row>
    <row r="854" spans="1:10">
      <c r="A854" s="25">
        <v>45208</v>
      </c>
      <c r="B854" t="s">
        <v>1694</v>
      </c>
      <c r="C854" t="s">
        <v>1136</v>
      </c>
      <c r="D854" t="s">
        <v>1673</v>
      </c>
      <c r="E854" t="s">
        <v>1674</v>
      </c>
      <c r="F854" t="s">
        <v>97</v>
      </c>
      <c r="G854" t="s">
        <v>1711</v>
      </c>
      <c r="H854">
        <v>19</v>
      </c>
      <c r="I854">
        <v>4186.6400000000003</v>
      </c>
      <c r="J854">
        <v>79546.16</v>
      </c>
    </row>
    <row r="855" spans="1:10">
      <c r="A855" s="25">
        <v>45113</v>
      </c>
      <c r="B855" t="s">
        <v>1676</v>
      </c>
      <c r="C855" t="s">
        <v>1137</v>
      </c>
      <c r="D855" t="s">
        <v>1696</v>
      </c>
      <c r="E855" t="s">
        <v>1674</v>
      </c>
      <c r="F855" t="s">
        <v>101</v>
      </c>
      <c r="G855" t="s">
        <v>1675</v>
      </c>
      <c r="H855">
        <v>6</v>
      </c>
      <c r="I855">
        <v>1003.96</v>
      </c>
      <c r="J855">
        <v>6023.76</v>
      </c>
    </row>
    <row r="856" spans="1:10">
      <c r="A856" s="25">
        <v>45127</v>
      </c>
      <c r="B856" t="s">
        <v>1698</v>
      </c>
      <c r="C856" t="s">
        <v>1684</v>
      </c>
      <c r="D856" t="s">
        <v>1678</v>
      </c>
      <c r="E856" t="s">
        <v>1679</v>
      </c>
      <c r="F856" t="s">
        <v>89</v>
      </c>
      <c r="G856" t="s">
        <v>1106</v>
      </c>
      <c r="H856">
        <v>13</v>
      </c>
      <c r="I856">
        <v>1028.74</v>
      </c>
      <c r="J856">
        <v>13373.62</v>
      </c>
    </row>
    <row r="857" spans="1:10">
      <c r="A857" s="25">
        <v>45168</v>
      </c>
      <c r="B857" t="s">
        <v>1689</v>
      </c>
      <c r="C857" t="s">
        <v>1677</v>
      </c>
      <c r="D857" t="s">
        <v>1678</v>
      </c>
      <c r="E857" t="s">
        <v>1679</v>
      </c>
      <c r="F857" t="s">
        <v>97</v>
      </c>
      <c r="G857" t="s">
        <v>1711</v>
      </c>
      <c r="H857">
        <v>20</v>
      </c>
      <c r="I857">
        <v>4751.1400000000003</v>
      </c>
      <c r="J857">
        <v>95022.8</v>
      </c>
    </row>
    <row r="858" spans="1:10">
      <c r="A858" s="25">
        <v>45091</v>
      </c>
      <c r="B858" t="s">
        <v>1671</v>
      </c>
      <c r="C858" t="s">
        <v>1693</v>
      </c>
      <c r="D858" t="s">
        <v>1683</v>
      </c>
      <c r="E858" t="s">
        <v>1679</v>
      </c>
      <c r="F858" t="s">
        <v>97</v>
      </c>
      <c r="G858" t="s">
        <v>1699</v>
      </c>
      <c r="H858">
        <v>8</v>
      </c>
      <c r="I858">
        <v>565.82000000000005</v>
      </c>
      <c r="J858">
        <v>4526.5600000000004</v>
      </c>
    </row>
    <row r="859" spans="1:10">
      <c r="A859" s="25">
        <v>45164</v>
      </c>
      <c r="B859" t="s">
        <v>1681</v>
      </c>
      <c r="C859" t="s">
        <v>1136</v>
      </c>
      <c r="D859" t="s">
        <v>1673</v>
      </c>
      <c r="E859" t="s">
        <v>1674</v>
      </c>
      <c r="F859" t="s">
        <v>89</v>
      </c>
      <c r="G859" t="s">
        <v>1713</v>
      </c>
      <c r="H859">
        <v>1</v>
      </c>
      <c r="I859">
        <v>1903.53</v>
      </c>
      <c r="J859">
        <v>1903.53</v>
      </c>
    </row>
    <row r="860" spans="1:10">
      <c r="A860" s="25">
        <v>45238</v>
      </c>
      <c r="B860" t="s">
        <v>1689</v>
      </c>
      <c r="C860" t="s">
        <v>1717</v>
      </c>
      <c r="D860" t="s">
        <v>1696</v>
      </c>
      <c r="E860" t="s">
        <v>1674</v>
      </c>
      <c r="F860" t="s">
        <v>114</v>
      </c>
      <c r="G860" t="s">
        <v>1680</v>
      </c>
      <c r="H860">
        <v>20</v>
      </c>
      <c r="I860">
        <v>3286.69</v>
      </c>
      <c r="J860">
        <v>65733.8</v>
      </c>
    </row>
    <row r="861" spans="1:10">
      <c r="A861" s="25">
        <v>45059</v>
      </c>
      <c r="B861" t="s">
        <v>1671</v>
      </c>
      <c r="C861" t="s">
        <v>1716</v>
      </c>
      <c r="D861" t="s">
        <v>1702</v>
      </c>
      <c r="E861" t="s">
        <v>1703</v>
      </c>
      <c r="F861" t="s">
        <v>114</v>
      </c>
      <c r="G861" t="s">
        <v>1712</v>
      </c>
      <c r="H861">
        <v>20</v>
      </c>
      <c r="I861">
        <v>1176.4000000000001</v>
      </c>
      <c r="J861">
        <v>23528</v>
      </c>
    </row>
    <row r="862" spans="1:10">
      <c r="A862" s="25">
        <v>45279</v>
      </c>
      <c r="B862" t="s">
        <v>1671</v>
      </c>
      <c r="C862" t="s">
        <v>1137</v>
      </c>
      <c r="D862" t="s">
        <v>1696</v>
      </c>
      <c r="E862" t="s">
        <v>1674</v>
      </c>
      <c r="F862" t="s">
        <v>114</v>
      </c>
      <c r="G862" t="s">
        <v>1680</v>
      </c>
      <c r="H862">
        <v>11</v>
      </c>
      <c r="I862">
        <v>2038.9</v>
      </c>
      <c r="J862">
        <v>22427.9</v>
      </c>
    </row>
    <row r="863" spans="1:10">
      <c r="A863" s="25">
        <v>44986</v>
      </c>
      <c r="B863" t="s">
        <v>1681</v>
      </c>
      <c r="C863" t="s">
        <v>1677</v>
      </c>
      <c r="D863" t="s">
        <v>1678</v>
      </c>
      <c r="E863" t="s">
        <v>1679</v>
      </c>
      <c r="F863" t="s">
        <v>114</v>
      </c>
      <c r="G863" t="s">
        <v>1718</v>
      </c>
      <c r="H863">
        <v>19</v>
      </c>
      <c r="I863">
        <v>3990.16</v>
      </c>
      <c r="J863">
        <v>75813.039999999994</v>
      </c>
    </row>
    <row r="864" spans="1:10">
      <c r="A864" s="25">
        <v>44947</v>
      </c>
      <c r="B864" t="s">
        <v>1705</v>
      </c>
      <c r="C864" t="s">
        <v>1701</v>
      </c>
      <c r="D864" t="s">
        <v>1702</v>
      </c>
      <c r="E864" t="s">
        <v>1703</v>
      </c>
      <c r="F864" t="s">
        <v>97</v>
      </c>
      <c r="G864" t="s">
        <v>1697</v>
      </c>
      <c r="H864">
        <v>15</v>
      </c>
      <c r="I864">
        <v>3765.36</v>
      </c>
      <c r="J864">
        <v>56480.4</v>
      </c>
    </row>
    <row r="865" spans="1:10">
      <c r="A865" s="25">
        <v>45252</v>
      </c>
      <c r="B865" t="s">
        <v>1686</v>
      </c>
      <c r="C865" t="s">
        <v>1690</v>
      </c>
      <c r="D865" t="s">
        <v>1678</v>
      </c>
      <c r="E865" t="s">
        <v>1679</v>
      </c>
      <c r="F865" t="s">
        <v>97</v>
      </c>
      <c r="G865" t="s">
        <v>1699</v>
      </c>
      <c r="H865">
        <v>12</v>
      </c>
      <c r="I865">
        <v>1794.88</v>
      </c>
      <c r="J865">
        <v>21538.560000000001</v>
      </c>
    </row>
    <row r="866" spans="1:10">
      <c r="A866" s="25">
        <v>45094</v>
      </c>
      <c r="B866" t="s">
        <v>1692</v>
      </c>
      <c r="C866" t="s">
        <v>1682</v>
      </c>
      <c r="D866" t="s">
        <v>1683</v>
      </c>
      <c r="E866" t="s">
        <v>1679</v>
      </c>
      <c r="F866" t="s">
        <v>89</v>
      </c>
      <c r="G866" t="s">
        <v>1713</v>
      </c>
      <c r="H866">
        <v>19</v>
      </c>
      <c r="I866">
        <v>2750.97</v>
      </c>
      <c r="J866">
        <v>52268.43</v>
      </c>
    </row>
    <row r="867" spans="1:10">
      <c r="A867" s="25">
        <v>45161</v>
      </c>
      <c r="B867" t="s">
        <v>1705</v>
      </c>
      <c r="C867" t="s">
        <v>1672</v>
      </c>
      <c r="D867" t="s">
        <v>1673</v>
      </c>
      <c r="E867" t="s">
        <v>1674</v>
      </c>
      <c r="F867" t="s">
        <v>114</v>
      </c>
      <c r="G867" t="s">
        <v>1680</v>
      </c>
      <c r="H867">
        <v>17</v>
      </c>
      <c r="I867">
        <v>3677.4</v>
      </c>
      <c r="J867">
        <v>62515.8</v>
      </c>
    </row>
    <row r="868" spans="1:10">
      <c r="A868" s="25">
        <v>45012</v>
      </c>
      <c r="B868" t="s">
        <v>1705</v>
      </c>
      <c r="C868" t="s">
        <v>1136</v>
      </c>
      <c r="D868" t="s">
        <v>1673</v>
      </c>
      <c r="E868" t="s">
        <v>1674</v>
      </c>
      <c r="F868" t="s">
        <v>114</v>
      </c>
      <c r="G868" t="s">
        <v>1680</v>
      </c>
      <c r="H868">
        <v>7</v>
      </c>
      <c r="I868">
        <v>2253.94</v>
      </c>
      <c r="J868">
        <v>15777.58</v>
      </c>
    </row>
    <row r="869" spans="1:10">
      <c r="A869" s="25">
        <v>45064</v>
      </c>
      <c r="B869" t="s">
        <v>1681</v>
      </c>
      <c r="C869" t="s">
        <v>1682</v>
      </c>
      <c r="D869" t="s">
        <v>1683</v>
      </c>
      <c r="E869" t="s">
        <v>1679</v>
      </c>
      <c r="F869" t="s">
        <v>1687</v>
      </c>
      <c r="G869" t="s">
        <v>1708</v>
      </c>
      <c r="H869">
        <v>8</v>
      </c>
      <c r="I869">
        <v>1762.43</v>
      </c>
      <c r="J869">
        <v>14099.44</v>
      </c>
    </row>
    <row r="870" spans="1:10">
      <c r="A870" s="25">
        <v>45044</v>
      </c>
      <c r="B870" t="s">
        <v>1681</v>
      </c>
      <c r="C870" t="s">
        <v>1677</v>
      </c>
      <c r="D870" t="s">
        <v>1678</v>
      </c>
      <c r="E870" t="s">
        <v>1679</v>
      </c>
      <c r="F870" t="s">
        <v>101</v>
      </c>
      <c r="G870" t="s">
        <v>1709</v>
      </c>
      <c r="H870">
        <v>20</v>
      </c>
      <c r="I870">
        <v>278.55</v>
      </c>
      <c r="J870">
        <v>5571</v>
      </c>
    </row>
    <row r="871" spans="1:10">
      <c r="A871" s="25">
        <v>45190</v>
      </c>
      <c r="B871" t="s">
        <v>1671</v>
      </c>
      <c r="C871" t="s">
        <v>1672</v>
      </c>
      <c r="D871" t="s">
        <v>1673</v>
      </c>
      <c r="E871" t="s">
        <v>1674</v>
      </c>
      <c r="F871" t="s">
        <v>101</v>
      </c>
      <c r="G871" t="s">
        <v>1709</v>
      </c>
      <c r="H871">
        <v>7</v>
      </c>
      <c r="I871">
        <v>1940.86</v>
      </c>
      <c r="J871">
        <v>13586.02</v>
      </c>
    </row>
    <row r="872" spans="1:10">
      <c r="A872" s="25">
        <v>45201</v>
      </c>
      <c r="B872" t="s">
        <v>1671</v>
      </c>
      <c r="C872" t="s">
        <v>1677</v>
      </c>
      <c r="D872" t="s">
        <v>1678</v>
      </c>
      <c r="E872" t="s">
        <v>1679</v>
      </c>
      <c r="F872" t="s">
        <v>1687</v>
      </c>
      <c r="G872" t="s">
        <v>1704</v>
      </c>
      <c r="H872">
        <v>1</v>
      </c>
      <c r="I872">
        <v>414.64</v>
      </c>
      <c r="J872">
        <v>414.64</v>
      </c>
    </row>
    <row r="873" spans="1:10">
      <c r="A873" s="25">
        <v>45203</v>
      </c>
      <c r="B873" t="s">
        <v>1681</v>
      </c>
      <c r="C873" t="s">
        <v>1707</v>
      </c>
      <c r="D873" t="s">
        <v>1683</v>
      </c>
      <c r="E873" t="s">
        <v>1679</v>
      </c>
      <c r="F873" t="s">
        <v>114</v>
      </c>
      <c r="G873" t="s">
        <v>1691</v>
      </c>
      <c r="H873">
        <v>7</v>
      </c>
      <c r="I873">
        <v>1073.54</v>
      </c>
      <c r="J873">
        <v>7514.78</v>
      </c>
    </row>
    <row r="874" spans="1:10">
      <c r="A874" s="25">
        <v>45146</v>
      </c>
      <c r="B874" t="s">
        <v>1692</v>
      </c>
      <c r="C874" t="s">
        <v>1677</v>
      </c>
      <c r="D874" t="s">
        <v>1678</v>
      </c>
      <c r="E874" t="s">
        <v>1679</v>
      </c>
      <c r="F874" t="s">
        <v>89</v>
      </c>
      <c r="G874" t="s">
        <v>1714</v>
      </c>
      <c r="H874">
        <v>2</v>
      </c>
      <c r="I874">
        <v>2078.33</v>
      </c>
      <c r="J874">
        <v>4156.66</v>
      </c>
    </row>
    <row r="875" spans="1:10">
      <c r="A875" s="25">
        <v>44939</v>
      </c>
      <c r="B875" t="s">
        <v>1686</v>
      </c>
      <c r="C875" t="s">
        <v>1716</v>
      </c>
      <c r="D875" t="s">
        <v>1702</v>
      </c>
      <c r="E875" t="s">
        <v>1703</v>
      </c>
      <c r="F875" t="s">
        <v>101</v>
      </c>
      <c r="G875" t="s">
        <v>1715</v>
      </c>
      <c r="H875">
        <v>15</v>
      </c>
      <c r="I875">
        <v>4188.84</v>
      </c>
      <c r="J875">
        <v>62832.6</v>
      </c>
    </row>
    <row r="876" spans="1:10">
      <c r="A876" s="25">
        <v>45086</v>
      </c>
      <c r="B876" t="s">
        <v>1698</v>
      </c>
      <c r="C876" t="s">
        <v>1677</v>
      </c>
      <c r="D876" t="s">
        <v>1678</v>
      </c>
      <c r="E876" t="s">
        <v>1679</v>
      </c>
      <c r="F876" t="s">
        <v>97</v>
      </c>
      <c r="G876" t="s">
        <v>1711</v>
      </c>
      <c r="H876">
        <v>16</v>
      </c>
      <c r="I876">
        <v>3046.66</v>
      </c>
      <c r="J876">
        <v>48746.559999999998</v>
      </c>
    </row>
    <row r="877" spans="1:10">
      <c r="A877" s="25">
        <v>45144</v>
      </c>
      <c r="B877" t="s">
        <v>1692</v>
      </c>
      <c r="C877" t="s">
        <v>1677</v>
      </c>
      <c r="D877" t="s">
        <v>1678</v>
      </c>
      <c r="E877" t="s">
        <v>1679</v>
      </c>
      <c r="F877" t="s">
        <v>97</v>
      </c>
      <c r="G877" t="s">
        <v>1711</v>
      </c>
      <c r="H877">
        <v>13</v>
      </c>
      <c r="I877">
        <v>566.55999999999995</v>
      </c>
      <c r="J877">
        <v>7365.28</v>
      </c>
    </row>
    <row r="878" spans="1:10">
      <c r="A878" s="25">
        <v>45148</v>
      </c>
      <c r="B878" t="s">
        <v>1692</v>
      </c>
      <c r="C878" t="s">
        <v>1706</v>
      </c>
      <c r="D878" t="s">
        <v>1702</v>
      </c>
      <c r="E878" t="s">
        <v>1703</v>
      </c>
      <c r="F878" t="s">
        <v>89</v>
      </c>
      <c r="G878" t="s">
        <v>1714</v>
      </c>
      <c r="H878">
        <v>9</v>
      </c>
      <c r="I878">
        <v>4726.68</v>
      </c>
      <c r="J878">
        <v>42540.12</v>
      </c>
    </row>
    <row r="879" spans="1:10">
      <c r="A879" s="25">
        <v>45029</v>
      </c>
      <c r="B879" t="s">
        <v>1705</v>
      </c>
      <c r="C879" t="s">
        <v>1707</v>
      </c>
      <c r="D879" t="s">
        <v>1683</v>
      </c>
      <c r="E879" t="s">
        <v>1679</v>
      </c>
      <c r="F879" t="s">
        <v>97</v>
      </c>
      <c r="G879" t="s">
        <v>1711</v>
      </c>
      <c r="H879">
        <v>15</v>
      </c>
      <c r="I879">
        <v>2503.4699999999998</v>
      </c>
      <c r="J879">
        <v>37552.050000000003</v>
      </c>
    </row>
    <row r="880" spans="1:10">
      <c r="A880" s="25">
        <v>45118</v>
      </c>
      <c r="B880" t="s">
        <v>1681</v>
      </c>
      <c r="C880" t="s">
        <v>1707</v>
      </c>
      <c r="D880" t="s">
        <v>1683</v>
      </c>
      <c r="E880" t="s">
        <v>1679</v>
      </c>
      <c r="F880" t="s">
        <v>1687</v>
      </c>
      <c r="G880" t="s">
        <v>1704</v>
      </c>
      <c r="H880">
        <v>13</v>
      </c>
      <c r="I880">
        <v>2244.77</v>
      </c>
      <c r="J880">
        <v>29182.01</v>
      </c>
    </row>
    <row r="881" spans="1:10">
      <c r="A881" s="25">
        <v>45271</v>
      </c>
      <c r="B881" t="s">
        <v>1694</v>
      </c>
      <c r="C881" t="s">
        <v>1136</v>
      </c>
      <c r="D881" t="s">
        <v>1673</v>
      </c>
      <c r="E881" t="s">
        <v>1674</v>
      </c>
      <c r="F881" t="s">
        <v>114</v>
      </c>
      <c r="G881" t="s">
        <v>1680</v>
      </c>
      <c r="H881">
        <v>18</v>
      </c>
      <c r="I881">
        <v>3559.2</v>
      </c>
      <c r="J881">
        <v>64065.599999999999</v>
      </c>
    </row>
    <row r="882" spans="1:10">
      <c r="A882" s="25">
        <v>45280</v>
      </c>
      <c r="B882" t="s">
        <v>1686</v>
      </c>
      <c r="C882" t="s">
        <v>1693</v>
      </c>
      <c r="D882" t="s">
        <v>1683</v>
      </c>
      <c r="E882" t="s">
        <v>1679</v>
      </c>
      <c r="F882" t="s">
        <v>97</v>
      </c>
      <c r="G882" t="s">
        <v>1711</v>
      </c>
      <c r="H882">
        <v>16</v>
      </c>
      <c r="I882">
        <v>4238.6400000000003</v>
      </c>
      <c r="J882">
        <v>67818.240000000005</v>
      </c>
    </row>
    <row r="883" spans="1:10">
      <c r="A883" s="25">
        <v>45244</v>
      </c>
      <c r="B883" t="s">
        <v>1689</v>
      </c>
      <c r="C883" t="s">
        <v>1135</v>
      </c>
      <c r="D883" t="s">
        <v>1673</v>
      </c>
      <c r="E883" t="s">
        <v>1674</v>
      </c>
      <c r="F883" t="s">
        <v>97</v>
      </c>
      <c r="G883" t="s">
        <v>1711</v>
      </c>
      <c r="H883">
        <v>13</v>
      </c>
      <c r="I883">
        <v>151.65</v>
      </c>
      <c r="J883">
        <v>1971.45</v>
      </c>
    </row>
    <row r="884" spans="1:10">
      <c r="A884" s="25">
        <v>45086</v>
      </c>
      <c r="B884" t="s">
        <v>1671</v>
      </c>
      <c r="C884" t="s">
        <v>1135</v>
      </c>
      <c r="D884" t="s">
        <v>1673</v>
      </c>
      <c r="E884" t="s">
        <v>1674</v>
      </c>
      <c r="F884" t="s">
        <v>101</v>
      </c>
      <c r="G884" t="s">
        <v>1719</v>
      </c>
      <c r="H884">
        <v>11</v>
      </c>
      <c r="I884">
        <v>4242.8999999999996</v>
      </c>
      <c r="J884">
        <v>46671.9</v>
      </c>
    </row>
    <row r="885" spans="1:10">
      <c r="A885" s="25">
        <v>45192</v>
      </c>
      <c r="B885" t="s">
        <v>1676</v>
      </c>
      <c r="C885" t="s">
        <v>1137</v>
      </c>
      <c r="D885" t="s">
        <v>1696</v>
      </c>
      <c r="E885" t="s">
        <v>1674</v>
      </c>
      <c r="F885" t="s">
        <v>1687</v>
      </c>
      <c r="G885" t="s">
        <v>1688</v>
      </c>
      <c r="H885">
        <v>9</v>
      </c>
      <c r="I885">
        <v>4639.93</v>
      </c>
      <c r="J885">
        <v>41759.370000000003</v>
      </c>
    </row>
    <row r="886" spans="1:10">
      <c r="A886" s="25">
        <v>45132</v>
      </c>
      <c r="B886" t="s">
        <v>1694</v>
      </c>
      <c r="C886" t="s">
        <v>1684</v>
      </c>
      <c r="D886" t="s">
        <v>1678</v>
      </c>
      <c r="E886" t="s">
        <v>1679</v>
      </c>
      <c r="F886" t="s">
        <v>97</v>
      </c>
      <c r="G886" t="s">
        <v>1697</v>
      </c>
      <c r="H886">
        <v>4</v>
      </c>
      <c r="I886">
        <v>4336.92</v>
      </c>
      <c r="J886">
        <v>17347.68</v>
      </c>
    </row>
    <row r="887" spans="1:10">
      <c r="A887" s="25">
        <v>45036</v>
      </c>
      <c r="B887" t="s">
        <v>1671</v>
      </c>
      <c r="C887" t="s">
        <v>1701</v>
      </c>
      <c r="D887" t="s">
        <v>1702</v>
      </c>
      <c r="E887" t="s">
        <v>1703</v>
      </c>
      <c r="F887" t="s">
        <v>101</v>
      </c>
      <c r="G887" t="s">
        <v>1675</v>
      </c>
      <c r="H887">
        <v>17</v>
      </c>
      <c r="I887">
        <v>1005.44</v>
      </c>
      <c r="J887">
        <v>17092.48</v>
      </c>
    </row>
    <row r="888" spans="1:10">
      <c r="A888" s="25">
        <v>44996</v>
      </c>
      <c r="B888" t="s">
        <v>1676</v>
      </c>
      <c r="C888" t="s">
        <v>1693</v>
      </c>
      <c r="D888" t="s">
        <v>1683</v>
      </c>
      <c r="E888" t="s">
        <v>1679</v>
      </c>
      <c r="F888" t="s">
        <v>101</v>
      </c>
      <c r="G888" t="s">
        <v>1715</v>
      </c>
      <c r="H888">
        <v>18</v>
      </c>
      <c r="I888">
        <v>2231.56</v>
      </c>
      <c r="J888">
        <v>40168.080000000002</v>
      </c>
    </row>
    <row r="889" spans="1:10">
      <c r="A889" s="25">
        <v>45118</v>
      </c>
      <c r="B889" t="s">
        <v>1671</v>
      </c>
      <c r="C889" t="s">
        <v>1136</v>
      </c>
      <c r="D889" t="s">
        <v>1673</v>
      </c>
      <c r="E889" t="s">
        <v>1674</v>
      </c>
      <c r="F889" t="s">
        <v>101</v>
      </c>
      <c r="G889" t="s">
        <v>1709</v>
      </c>
      <c r="H889">
        <v>14</v>
      </c>
      <c r="I889">
        <v>3677.67</v>
      </c>
      <c r="J889">
        <v>51487.38</v>
      </c>
    </row>
    <row r="890" spans="1:10">
      <c r="A890" s="25">
        <v>45003</v>
      </c>
      <c r="B890" t="s">
        <v>1681</v>
      </c>
      <c r="C890" t="s">
        <v>1684</v>
      </c>
      <c r="D890" t="s">
        <v>1678</v>
      </c>
      <c r="E890" t="s">
        <v>1679</v>
      </c>
      <c r="F890" t="s">
        <v>89</v>
      </c>
      <c r="G890" t="s">
        <v>1714</v>
      </c>
      <c r="H890">
        <v>6</v>
      </c>
      <c r="I890">
        <v>1047.72</v>
      </c>
      <c r="J890">
        <v>6286.32</v>
      </c>
    </row>
    <row r="891" spans="1:10">
      <c r="A891" s="25">
        <v>45000</v>
      </c>
      <c r="B891" t="s">
        <v>1676</v>
      </c>
      <c r="C891" t="s">
        <v>1684</v>
      </c>
      <c r="D891" t="s">
        <v>1678</v>
      </c>
      <c r="E891" t="s">
        <v>1679</v>
      </c>
      <c r="F891" t="s">
        <v>114</v>
      </c>
      <c r="G891" t="s">
        <v>1718</v>
      </c>
      <c r="H891">
        <v>20</v>
      </c>
      <c r="I891">
        <v>827.08</v>
      </c>
      <c r="J891">
        <v>16541.599999999999</v>
      </c>
    </row>
    <row r="892" spans="1:10">
      <c r="A892" s="25">
        <v>45290</v>
      </c>
      <c r="B892" t="s">
        <v>1676</v>
      </c>
      <c r="C892" t="s">
        <v>1707</v>
      </c>
      <c r="D892" t="s">
        <v>1683</v>
      </c>
      <c r="E892" t="s">
        <v>1679</v>
      </c>
      <c r="F892" t="s">
        <v>114</v>
      </c>
      <c r="G892" t="s">
        <v>1691</v>
      </c>
      <c r="H892">
        <v>19</v>
      </c>
      <c r="I892">
        <v>1726.65</v>
      </c>
      <c r="J892">
        <v>32806.35</v>
      </c>
    </row>
    <row r="893" spans="1:10">
      <c r="A893" s="25">
        <v>45054</v>
      </c>
      <c r="B893" t="s">
        <v>1689</v>
      </c>
      <c r="C893" t="s">
        <v>1682</v>
      </c>
      <c r="D893" t="s">
        <v>1683</v>
      </c>
      <c r="E893" t="s">
        <v>1679</v>
      </c>
      <c r="F893" t="s">
        <v>114</v>
      </c>
      <c r="G893" t="s">
        <v>1712</v>
      </c>
      <c r="H893">
        <v>17</v>
      </c>
      <c r="I893">
        <v>2339.5700000000002</v>
      </c>
      <c r="J893">
        <v>39772.69</v>
      </c>
    </row>
    <row r="894" spans="1:10">
      <c r="A894" s="25">
        <v>45048</v>
      </c>
      <c r="B894" t="s">
        <v>1689</v>
      </c>
      <c r="C894" t="s">
        <v>1684</v>
      </c>
      <c r="D894" t="s">
        <v>1678</v>
      </c>
      <c r="E894" t="s">
        <v>1679</v>
      </c>
      <c r="F894" t="s">
        <v>97</v>
      </c>
      <c r="G894" t="s">
        <v>1697</v>
      </c>
      <c r="H894">
        <v>8</v>
      </c>
      <c r="I894">
        <v>4984.96</v>
      </c>
      <c r="J894">
        <v>39879.68</v>
      </c>
    </row>
    <row r="895" spans="1:10">
      <c r="A895" s="25">
        <v>45050</v>
      </c>
      <c r="B895" t="s">
        <v>1705</v>
      </c>
      <c r="C895" t="s">
        <v>1706</v>
      </c>
      <c r="D895" t="s">
        <v>1702</v>
      </c>
      <c r="E895" t="s">
        <v>1703</v>
      </c>
      <c r="F895" t="s">
        <v>89</v>
      </c>
      <c r="G895" t="s">
        <v>1713</v>
      </c>
      <c r="H895">
        <v>17</v>
      </c>
      <c r="I895">
        <v>3259.21</v>
      </c>
      <c r="J895">
        <v>55406.57</v>
      </c>
    </row>
    <row r="896" spans="1:10">
      <c r="A896" s="25">
        <v>45168</v>
      </c>
      <c r="B896" t="s">
        <v>1676</v>
      </c>
      <c r="C896" t="s">
        <v>1677</v>
      </c>
      <c r="D896" t="s">
        <v>1678</v>
      </c>
      <c r="E896" t="s">
        <v>1679</v>
      </c>
      <c r="F896" t="s">
        <v>101</v>
      </c>
      <c r="G896" t="s">
        <v>1675</v>
      </c>
      <c r="H896">
        <v>7</v>
      </c>
      <c r="I896">
        <v>4847.62</v>
      </c>
      <c r="J896">
        <v>33933.339999999997</v>
      </c>
    </row>
    <row r="897" spans="1:10">
      <c r="A897" s="25">
        <v>45130</v>
      </c>
      <c r="B897" t="s">
        <v>1681</v>
      </c>
      <c r="C897" t="s">
        <v>1690</v>
      </c>
      <c r="D897" t="s">
        <v>1678</v>
      </c>
      <c r="E897" t="s">
        <v>1679</v>
      </c>
      <c r="F897" t="s">
        <v>1687</v>
      </c>
      <c r="G897" t="s">
        <v>1704</v>
      </c>
      <c r="H897">
        <v>6</v>
      </c>
      <c r="I897">
        <v>2260.16</v>
      </c>
      <c r="J897">
        <v>13560.96</v>
      </c>
    </row>
    <row r="898" spans="1:10">
      <c r="A898" s="25">
        <v>45181</v>
      </c>
      <c r="B898" t="s">
        <v>1692</v>
      </c>
      <c r="C898" t="s">
        <v>1716</v>
      </c>
      <c r="D898" t="s">
        <v>1702</v>
      </c>
      <c r="E898" t="s">
        <v>1703</v>
      </c>
      <c r="F898" t="s">
        <v>101</v>
      </c>
      <c r="G898" t="s">
        <v>1709</v>
      </c>
      <c r="H898">
        <v>16</v>
      </c>
      <c r="I898">
        <v>1795.37</v>
      </c>
      <c r="J898">
        <v>28725.919999999998</v>
      </c>
    </row>
    <row r="899" spans="1:10">
      <c r="A899" s="25">
        <v>45049</v>
      </c>
      <c r="B899" t="s">
        <v>1692</v>
      </c>
      <c r="C899" t="s">
        <v>1717</v>
      </c>
      <c r="D899" t="s">
        <v>1696</v>
      </c>
      <c r="E899" t="s">
        <v>1674</v>
      </c>
      <c r="F899" t="s">
        <v>89</v>
      </c>
      <c r="G899" t="s">
        <v>1714</v>
      </c>
      <c r="H899">
        <v>19</v>
      </c>
      <c r="I899">
        <v>2040.79</v>
      </c>
      <c r="J899">
        <v>38775.01</v>
      </c>
    </row>
    <row r="900" spans="1:10">
      <c r="A900" s="25">
        <v>45135</v>
      </c>
      <c r="B900" t="s">
        <v>1700</v>
      </c>
      <c r="C900" t="s">
        <v>1707</v>
      </c>
      <c r="D900" t="s">
        <v>1683</v>
      </c>
      <c r="E900" t="s">
        <v>1679</v>
      </c>
      <c r="F900" t="s">
        <v>101</v>
      </c>
      <c r="G900" t="s">
        <v>1719</v>
      </c>
      <c r="H900">
        <v>13</v>
      </c>
      <c r="I900">
        <v>1764.64</v>
      </c>
      <c r="J900">
        <v>22940.32</v>
      </c>
    </row>
    <row r="901" spans="1:10">
      <c r="A901" s="25">
        <v>45159</v>
      </c>
      <c r="B901" t="s">
        <v>1671</v>
      </c>
      <c r="C901" t="s">
        <v>1677</v>
      </c>
      <c r="D901" t="s">
        <v>1678</v>
      </c>
      <c r="E901" t="s">
        <v>1679</v>
      </c>
      <c r="F901" t="s">
        <v>1687</v>
      </c>
      <c r="G901" t="s">
        <v>1704</v>
      </c>
      <c r="H901">
        <v>6</v>
      </c>
      <c r="I901">
        <v>746.23</v>
      </c>
      <c r="J901">
        <v>4477.38</v>
      </c>
    </row>
    <row r="902" spans="1:10">
      <c r="A902" s="25">
        <v>45240</v>
      </c>
      <c r="B902" t="s">
        <v>1681</v>
      </c>
      <c r="C902" t="s">
        <v>1716</v>
      </c>
      <c r="D902" t="s">
        <v>1702</v>
      </c>
      <c r="E902" t="s">
        <v>1703</v>
      </c>
      <c r="F902" t="s">
        <v>101</v>
      </c>
      <c r="G902" t="s">
        <v>1715</v>
      </c>
      <c r="H902">
        <v>14</v>
      </c>
      <c r="I902">
        <v>2385.9899999999998</v>
      </c>
      <c r="J902">
        <v>33403.86</v>
      </c>
    </row>
    <row r="903" spans="1:10">
      <c r="A903" s="25">
        <v>45028</v>
      </c>
      <c r="B903" t="s">
        <v>1671</v>
      </c>
      <c r="C903" t="s">
        <v>1717</v>
      </c>
      <c r="D903" t="s">
        <v>1696</v>
      </c>
      <c r="E903" t="s">
        <v>1674</v>
      </c>
      <c r="F903" t="s">
        <v>89</v>
      </c>
      <c r="G903" t="s">
        <v>1105</v>
      </c>
      <c r="H903">
        <v>1</v>
      </c>
      <c r="I903">
        <v>2362.15</v>
      </c>
      <c r="J903">
        <v>2362.15</v>
      </c>
    </row>
    <row r="904" spans="1:10">
      <c r="A904" s="25">
        <v>45286</v>
      </c>
      <c r="B904" t="s">
        <v>1692</v>
      </c>
      <c r="C904" t="s">
        <v>1716</v>
      </c>
      <c r="D904" t="s">
        <v>1702</v>
      </c>
      <c r="E904" t="s">
        <v>1703</v>
      </c>
      <c r="F904" t="s">
        <v>97</v>
      </c>
      <c r="G904" t="s">
        <v>1697</v>
      </c>
      <c r="H904">
        <v>16</v>
      </c>
      <c r="I904">
        <v>1236.8</v>
      </c>
      <c r="J904">
        <v>19788.8</v>
      </c>
    </row>
    <row r="905" spans="1:10">
      <c r="A905" s="25">
        <v>44965</v>
      </c>
      <c r="B905" t="s">
        <v>1686</v>
      </c>
      <c r="C905" t="s">
        <v>1716</v>
      </c>
      <c r="D905" t="s">
        <v>1702</v>
      </c>
      <c r="E905" t="s">
        <v>1703</v>
      </c>
      <c r="F905" t="s">
        <v>89</v>
      </c>
      <c r="G905" t="s">
        <v>1106</v>
      </c>
      <c r="H905">
        <v>17</v>
      </c>
      <c r="I905">
        <v>1248.03</v>
      </c>
      <c r="J905">
        <v>21216.51</v>
      </c>
    </row>
    <row r="906" spans="1:10">
      <c r="A906" s="25">
        <v>45080</v>
      </c>
      <c r="B906" t="s">
        <v>1700</v>
      </c>
      <c r="C906" t="s">
        <v>1706</v>
      </c>
      <c r="D906" t="s">
        <v>1702</v>
      </c>
      <c r="E906" t="s">
        <v>1703</v>
      </c>
      <c r="F906" t="s">
        <v>114</v>
      </c>
      <c r="G906" t="s">
        <v>1691</v>
      </c>
      <c r="H906">
        <v>16</v>
      </c>
      <c r="I906">
        <v>665.83</v>
      </c>
      <c r="J906">
        <v>10653.28</v>
      </c>
    </row>
    <row r="907" spans="1:10">
      <c r="A907" s="25">
        <v>45052</v>
      </c>
      <c r="B907" t="s">
        <v>1671</v>
      </c>
      <c r="C907" t="s">
        <v>1136</v>
      </c>
      <c r="D907" t="s">
        <v>1673</v>
      </c>
      <c r="E907" t="s">
        <v>1674</v>
      </c>
      <c r="F907" t="s">
        <v>89</v>
      </c>
      <c r="G907" t="s">
        <v>1713</v>
      </c>
      <c r="H907">
        <v>16</v>
      </c>
      <c r="I907">
        <v>615.70000000000005</v>
      </c>
      <c r="J907">
        <v>9851.2000000000007</v>
      </c>
    </row>
    <row r="908" spans="1:10">
      <c r="A908" s="25">
        <v>45103</v>
      </c>
      <c r="B908" t="s">
        <v>1694</v>
      </c>
      <c r="C908" t="s">
        <v>1707</v>
      </c>
      <c r="D908" t="s">
        <v>1683</v>
      </c>
      <c r="E908" t="s">
        <v>1679</v>
      </c>
      <c r="F908" t="s">
        <v>114</v>
      </c>
      <c r="G908" t="s">
        <v>1718</v>
      </c>
      <c r="H908">
        <v>13</v>
      </c>
      <c r="I908">
        <v>3616.99</v>
      </c>
      <c r="J908">
        <v>47020.87</v>
      </c>
    </row>
    <row r="909" spans="1:10">
      <c r="A909" s="25">
        <v>45085</v>
      </c>
      <c r="B909" t="s">
        <v>1705</v>
      </c>
      <c r="C909" t="s">
        <v>1684</v>
      </c>
      <c r="D909" t="s">
        <v>1678</v>
      </c>
      <c r="E909" t="s">
        <v>1679</v>
      </c>
      <c r="F909" t="s">
        <v>97</v>
      </c>
      <c r="G909" t="s">
        <v>1697</v>
      </c>
      <c r="H909">
        <v>9</v>
      </c>
      <c r="I909">
        <v>1940.11</v>
      </c>
      <c r="J909">
        <v>17460.990000000002</v>
      </c>
    </row>
    <row r="910" spans="1:10">
      <c r="A910" s="25">
        <v>45036</v>
      </c>
      <c r="B910" t="s">
        <v>1698</v>
      </c>
      <c r="C910" t="s">
        <v>1684</v>
      </c>
      <c r="D910" t="s">
        <v>1678</v>
      </c>
      <c r="E910" t="s">
        <v>1679</v>
      </c>
      <c r="F910" t="s">
        <v>89</v>
      </c>
      <c r="G910" t="s">
        <v>1106</v>
      </c>
      <c r="H910">
        <v>16</v>
      </c>
      <c r="I910">
        <v>1064.93</v>
      </c>
      <c r="J910">
        <v>17038.88</v>
      </c>
    </row>
    <row r="911" spans="1:10">
      <c r="A911" s="25">
        <v>44968</v>
      </c>
      <c r="B911" t="s">
        <v>1698</v>
      </c>
      <c r="C911" t="s">
        <v>1135</v>
      </c>
      <c r="D911" t="s">
        <v>1673</v>
      </c>
      <c r="E911" t="s">
        <v>1674</v>
      </c>
      <c r="F911" t="s">
        <v>97</v>
      </c>
      <c r="G911" t="s">
        <v>1711</v>
      </c>
      <c r="H911">
        <v>2</v>
      </c>
      <c r="I911">
        <v>4845.74</v>
      </c>
      <c r="J911">
        <v>9691.48</v>
      </c>
    </row>
    <row r="912" spans="1:10">
      <c r="A912" s="25">
        <v>45168</v>
      </c>
      <c r="B912" t="s">
        <v>1686</v>
      </c>
      <c r="C912" t="s">
        <v>1693</v>
      </c>
      <c r="D912" t="s">
        <v>1683</v>
      </c>
      <c r="E912" t="s">
        <v>1679</v>
      </c>
      <c r="F912" t="s">
        <v>1687</v>
      </c>
      <c r="G912" t="s">
        <v>1710</v>
      </c>
      <c r="H912">
        <v>3</v>
      </c>
      <c r="I912">
        <v>4766.28</v>
      </c>
      <c r="J912">
        <v>14298.84</v>
      </c>
    </row>
    <row r="913" spans="1:10">
      <c r="A913" s="25">
        <v>44996</v>
      </c>
      <c r="B913" t="s">
        <v>1676</v>
      </c>
      <c r="C913" t="s">
        <v>1716</v>
      </c>
      <c r="D913" t="s">
        <v>1702</v>
      </c>
      <c r="E913" t="s">
        <v>1703</v>
      </c>
      <c r="F913" t="s">
        <v>97</v>
      </c>
      <c r="G913" t="s">
        <v>1711</v>
      </c>
      <c r="H913">
        <v>15</v>
      </c>
      <c r="I913">
        <v>3946.23</v>
      </c>
      <c r="J913">
        <v>59193.45</v>
      </c>
    </row>
    <row r="914" spans="1:10">
      <c r="A914" s="25">
        <v>45115</v>
      </c>
      <c r="B914" t="s">
        <v>1694</v>
      </c>
      <c r="C914" t="s">
        <v>1695</v>
      </c>
      <c r="D914" t="s">
        <v>1696</v>
      </c>
      <c r="E914" t="s">
        <v>1674</v>
      </c>
      <c r="F914" t="s">
        <v>97</v>
      </c>
      <c r="G914" t="s">
        <v>1697</v>
      </c>
      <c r="H914">
        <v>12</v>
      </c>
      <c r="I914">
        <v>1804.27</v>
      </c>
      <c r="J914">
        <v>21651.24</v>
      </c>
    </row>
    <row r="915" spans="1:10">
      <c r="A915" s="25">
        <v>45253</v>
      </c>
      <c r="B915" t="s">
        <v>1689</v>
      </c>
      <c r="C915" t="s">
        <v>1672</v>
      </c>
      <c r="D915" t="s">
        <v>1673</v>
      </c>
      <c r="E915" t="s">
        <v>1674</v>
      </c>
      <c r="F915" t="s">
        <v>89</v>
      </c>
      <c r="G915" t="s">
        <v>1105</v>
      </c>
      <c r="H915">
        <v>3</v>
      </c>
      <c r="I915">
        <v>2055.4499999999998</v>
      </c>
      <c r="J915">
        <v>6166.35</v>
      </c>
    </row>
    <row r="916" spans="1:10">
      <c r="A916" s="25">
        <v>45204</v>
      </c>
      <c r="B916" t="s">
        <v>1689</v>
      </c>
      <c r="C916" t="s">
        <v>1716</v>
      </c>
      <c r="D916" t="s">
        <v>1702</v>
      </c>
      <c r="E916" t="s">
        <v>1703</v>
      </c>
      <c r="F916" t="s">
        <v>101</v>
      </c>
      <c r="G916" t="s">
        <v>1709</v>
      </c>
      <c r="H916">
        <v>5</v>
      </c>
      <c r="I916">
        <v>1568.68</v>
      </c>
      <c r="J916">
        <v>7843.4</v>
      </c>
    </row>
    <row r="917" spans="1:10">
      <c r="A917" s="25">
        <v>44975</v>
      </c>
      <c r="B917" t="s">
        <v>1692</v>
      </c>
      <c r="C917" t="s">
        <v>1693</v>
      </c>
      <c r="D917" t="s">
        <v>1683</v>
      </c>
      <c r="E917" t="s">
        <v>1679</v>
      </c>
      <c r="F917" t="s">
        <v>101</v>
      </c>
      <c r="G917" t="s">
        <v>1715</v>
      </c>
      <c r="H917">
        <v>16</v>
      </c>
      <c r="I917">
        <v>2288.6799999999998</v>
      </c>
      <c r="J917">
        <v>36618.879999999997</v>
      </c>
    </row>
    <row r="918" spans="1:10">
      <c r="A918" s="25">
        <v>45084</v>
      </c>
      <c r="B918" t="s">
        <v>1700</v>
      </c>
      <c r="C918" t="s">
        <v>1684</v>
      </c>
      <c r="D918" t="s">
        <v>1678</v>
      </c>
      <c r="E918" t="s">
        <v>1679</v>
      </c>
      <c r="F918" t="s">
        <v>101</v>
      </c>
      <c r="G918" t="s">
        <v>1719</v>
      </c>
      <c r="H918">
        <v>12</v>
      </c>
      <c r="I918">
        <v>2133.0500000000002</v>
      </c>
      <c r="J918">
        <v>25596.6</v>
      </c>
    </row>
    <row r="919" spans="1:10">
      <c r="A919" s="25">
        <v>45021</v>
      </c>
      <c r="B919" t="s">
        <v>1700</v>
      </c>
      <c r="C919" t="s">
        <v>1136</v>
      </c>
      <c r="D919" t="s">
        <v>1673</v>
      </c>
      <c r="E919" t="s">
        <v>1674</v>
      </c>
      <c r="F919" t="s">
        <v>1687</v>
      </c>
      <c r="G919" t="s">
        <v>1708</v>
      </c>
      <c r="H919">
        <v>4</v>
      </c>
      <c r="I919">
        <v>1208.42</v>
      </c>
      <c r="J919">
        <v>4833.68</v>
      </c>
    </row>
    <row r="920" spans="1:10">
      <c r="A920" s="25">
        <v>45086</v>
      </c>
      <c r="B920" t="s">
        <v>1700</v>
      </c>
      <c r="C920" t="s">
        <v>1701</v>
      </c>
      <c r="D920" t="s">
        <v>1702</v>
      </c>
      <c r="E920" t="s">
        <v>1703</v>
      </c>
      <c r="F920" t="s">
        <v>114</v>
      </c>
      <c r="G920" t="s">
        <v>1680</v>
      </c>
      <c r="H920">
        <v>14</v>
      </c>
      <c r="I920">
        <v>630.45000000000005</v>
      </c>
      <c r="J920">
        <v>8826.2999999999993</v>
      </c>
    </row>
    <row r="921" spans="1:10">
      <c r="A921" s="25">
        <v>44948</v>
      </c>
      <c r="B921" t="s">
        <v>1689</v>
      </c>
      <c r="C921" t="s">
        <v>1672</v>
      </c>
      <c r="D921" t="s">
        <v>1673</v>
      </c>
      <c r="E921" t="s">
        <v>1674</v>
      </c>
      <c r="F921" t="s">
        <v>97</v>
      </c>
      <c r="G921" t="s">
        <v>1685</v>
      </c>
      <c r="H921">
        <v>14</v>
      </c>
      <c r="I921">
        <v>2713.47</v>
      </c>
      <c r="J921">
        <v>37988.58</v>
      </c>
    </row>
    <row r="922" spans="1:10">
      <c r="A922" s="25">
        <v>45025</v>
      </c>
      <c r="B922" t="s">
        <v>1671</v>
      </c>
      <c r="C922" t="s">
        <v>1701</v>
      </c>
      <c r="D922" t="s">
        <v>1702</v>
      </c>
      <c r="E922" t="s">
        <v>1703</v>
      </c>
      <c r="F922" t="s">
        <v>101</v>
      </c>
      <c r="G922" t="s">
        <v>1719</v>
      </c>
      <c r="H922">
        <v>7</v>
      </c>
      <c r="I922">
        <v>3273.61</v>
      </c>
      <c r="J922">
        <v>22915.27</v>
      </c>
    </row>
    <row r="923" spans="1:10">
      <c r="A923" s="25">
        <v>45189</v>
      </c>
      <c r="B923" t="s">
        <v>1689</v>
      </c>
      <c r="C923" t="s">
        <v>1136</v>
      </c>
      <c r="D923" t="s">
        <v>1673</v>
      </c>
      <c r="E923" t="s">
        <v>1674</v>
      </c>
      <c r="F923" t="s">
        <v>97</v>
      </c>
      <c r="G923" t="s">
        <v>1699</v>
      </c>
      <c r="H923">
        <v>9</v>
      </c>
      <c r="I923">
        <v>566.91999999999996</v>
      </c>
      <c r="J923">
        <v>5102.28</v>
      </c>
    </row>
    <row r="924" spans="1:10">
      <c r="A924" s="25">
        <v>45004</v>
      </c>
      <c r="B924" t="s">
        <v>1698</v>
      </c>
      <c r="C924" t="s">
        <v>1693</v>
      </c>
      <c r="D924" t="s">
        <v>1683</v>
      </c>
      <c r="E924" t="s">
        <v>1679</v>
      </c>
      <c r="F924" t="s">
        <v>89</v>
      </c>
      <c r="G924" t="s">
        <v>1106</v>
      </c>
      <c r="H924">
        <v>2</v>
      </c>
      <c r="I924">
        <v>3830.39</v>
      </c>
      <c r="J924">
        <v>7660.78</v>
      </c>
    </row>
    <row r="925" spans="1:10">
      <c r="A925" s="25">
        <v>45250</v>
      </c>
      <c r="B925" t="s">
        <v>1686</v>
      </c>
      <c r="C925" t="s">
        <v>1136</v>
      </c>
      <c r="D925" t="s">
        <v>1673</v>
      </c>
      <c r="E925" t="s">
        <v>1674</v>
      </c>
      <c r="F925" t="s">
        <v>89</v>
      </c>
      <c r="G925" t="s">
        <v>1713</v>
      </c>
      <c r="H925">
        <v>7</v>
      </c>
      <c r="I925">
        <v>4456.5</v>
      </c>
      <c r="J925">
        <v>31195.5</v>
      </c>
    </row>
    <row r="926" spans="1:10">
      <c r="A926" s="25">
        <v>45156</v>
      </c>
      <c r="B926" t="s">
        <v>1671</v>
      </c>
      <c r="C926" t="s">
        <v>1690</v>
      </c>
      <c r="D926" t="s">
        <v>1678</v>
      </c>
      <c r="E926" t="s">
        <v>1679</v>
      </c>
      <c r="F926" t="s">
        <v>114</v>
      </c>
      <c r="G926" t="s">
        <v>1712</v>
      </c>
      <c r="H926">
        <v>15</v>
      </c>
      <c r="I926">
        <v>202.66</v>
      </c>
      <c r="J926">
        <v>3039.9</v>
      </c>
    </row>
    <row r="927" spans="1:10">
      <c r="A927" s="25">
        <v>45036</v>
      </c>
      <c r="B927" t="s">
        <v>1698</v>
      </c>
      <c r="C927" t="s">
        <v>1672</v>
      </c>
      <c r="D927" t="s">
        <v>1673</v>
      </c>
      <c r="E927" t="s">
        <v>1674</v>
      </c>
      <c r="F927" t="s">
        <v>97</v>
      </c>
      <c r="G927" t="s">
        <v>1697</v>
      </c>
      <c r="H927">
        <v>10</v>
      </c>
      <c r="I927">
        <v>1018.19</v>
      </c>
      <c r="J927">
        <v>10181.9</v>
      </c>
    </row>
    <row r="928" spans="1:10">
      <c r="A928" s="25">
        <v>45021</v>
      </c>
      <c r="B928" t="s">
        <v>1671</v>
      </c>
      <c r="C928" t="s">
        <v>1695</v>
      </c>
      <c r="D928" t="s">
        <v>1696</v>
      </c>
      <c r="E928" t="s">
        <v>1674</v>
      </c>
      <c r="F928" t="s">
        <v>97</v>
      </c>
      <c r="G928" t="s">
        <v>1697</v>
      </c>
      <c r="H928">
        <v>4</v>
      </c>
      <c r="I928">
        <v>3300.36</v>
      </c>
      <c r="J928">
        <v>13201.44</v>
      </c>
    </row>
    <row r="929" spans="1:10">
      <c r="A929" s="25">
        <v>45008</v>
      </c>
      <c r="B929" t="s">
        <v>1676</v>
      </c>
      <c r="C929" t="s">
        <v>1716</v>
      </c>
      <c r="D929" t="s">
        <v>1702</v>
      </c>
      <c r="E929" t="s">
        <v>1703</v>
      </c>
      <c r="F929" t="s">
        <v>97</v>
      </c>
      <c r="G929" t="s">
        <v>1697</v>
      </c>
      <c r="H929">
        <v>12</v>
      </c>
      <c r="I929">
        <v>957.01</v>
      </c>
      <c r="J929">
        <v>11484.12</v>
      </c>
    </row>
    <row r="930" spans="1:10">
      <c r="A930" s="25">
        <v>45244</v>
      </c>
      <c r="B930" t="s">
        <v>1676</v>
      </c>
      <c r="C930" t="s">
        <v>1690</v>
      </c>
      <c r="D930" t="s">
        <v>1678</v>
      </c>
      <c r="E930" t="s">
        <v>1679</v>
      </c>
      <c r="F930" t="s">
        <v>1687</v>
      </c>
      <c r="G930" t="s">
        <v>1704</v>
      </c>
      <c r="H930">
        <v>19</v>
      </c>
      <c r="I930">
        <v>1933.19</v>
      </c>
      <c r="J930">
        <v>36730.61</v>
      </c>
    </row>
    <row r="931" spans="1:10">
      <c r="A931" s="25">
        <v>45125</v>
      </c>
      <c r="B931" t="s">
        <v>1681</v>
      </c>
      <c r="C931" t="s">
        <v>1701</v>
      </c>
      <c r="D931" t="s">
        <v>1702</v>
      </c>
      <c r="E931" t="s">
        <v>1703</v>
      </c>
      <c r="F931" t="s">
        <v>101</v>
      </c>
      <c r="G931" t="s">
        <v>1719</v>
      </c>
      <c r="H931">
        <v>15</v>
      </c>
      <c r="I931">
        <v>834.13</v>
      </c>
      <c r="J931">
        <v>12511.95</v>
      </c>
    </row>
    <row r="932" spans="1:10">
      <c r="A932" s="25">
        <v>45095</v>
      </c>
      <c r="B932" t="s">
        <v>1692</v>
      </c>
      <c r="C932" t="s">
        <v>1693</v>
      </c>
      <c r="D932" t="s">
        <v>1683</v>
      </c>
      <c r="E932" t="s">
        <v>1679</v>
      </c>
      <c r="F932" t="s">
        <v>114</v>
      </c>
      <c r="G932" t="s">
        <v>1712</v>
      </c>
      <c r="H932">
        <v>18</v>
      </c>
      <c r="I932">
        <v>2535.8200000000002</v>
      </c>
      <c r="J932">
        <v>45644.76</v>
      </c>
    </row>
    <row r="933" spans="1:10">
      <c r="A933" s="25">
        <v>44995</v>
      </c>
      <c r="B933" t="s">
        <v>1676</v>
      </c>
      <c r="C933" t="s">
        <v>1690</v>
      </c>
      <c r="D933" t="s">
        <v>1678</v>
      </c>
      <c r="E933" t="s">
        <v>1679</v>
      </c>
      <c r="F933" t="s">
        <v>1687</v>
      </c>
      <c r="G933" t="s">
        <v>1710</v>
      </c>
      <c r="H933">
        <v>18</v>
      </c>
      <c r="I933">
        <v>2299.9299999999998</v>
      </c>
      <c r="J933">
        <v>41398.74</v>
      </c>
    </row>
    <row r="934" spans="1:10">
      <c r="A934" s="25">
        <v>45214</v>
      </c>
      <c r="B934" t="s">
        <v>1692</v>
      </c>
      <c r="C934" t="s">
        <v>1695</v>
      </c>
      <c r="D934" t="s">
        <v>1696</v>
      </c>
      <c r="E934" t="s">
        <v>1674</v>
      </c>
      <c r="F934" t="s">
        <v>101</v>
      </c>
      <c r="G934" t="s">
        <v>1709</v>
      </c>
      <c r="H934">
        <v>5</v>
      </c>
      <c r="I934">
        <v>606.49</v>
      </c>
      <c r="J934">
        <v>3032.45</v>
      </c>
    </row>
    <row r="935" spans="1:10">
      <c r="A935" s="25">
        <v>45002</v>
      </c>
      <c r="B935" t="s">
        <v>1689</v>
      </c>
      <c r="C935" t="s">
        <v>1707</v>
      </c>
      <c r="D935" t="s">
        <v>1683</v>
      </c>
      <c r="E935" t="s">
        <v>1679</v>
      </c>
      <c r="F935" t="s">
        <v>114</v>
      </c>
      <c r="G935" t="s">
        <v>1691</v>
      </c>
      <c r="H935">
        <v>6</v>
      </c>
      <c r="I935">
        <v>1919.03</v>
      </c>
      <c r="J935">
        <v>11514.18</v>
      </c>
    </row>
    <row r="936" spans="1:10">
      <c r="A936" s="25">
        <v>45079</v>
      </c>
      <c r="B936" t="s">
        <v>1671</v>
      </c>
      <c r="C936" t="s">
        <v>1707</v>
      </c>
      <c r="D936" t="s">
        <v>1683</v>
      </c>
      <c r="E936" t="s">
        <v>1679</v>
      </c>
      <c r="F936" t="s">
        <v>114</v>
      </c>
      <c r="G936" t="s">
        <v>1712</v>
      </c>
      <c r="H936">
        <v>9</v>
      </c>
      <c r="I936">
        <v>662.41</v>
      </c>
      <c r="J936">
        <v>5961.69</v>
      </c>
    </row>
    <row r="937" spans="1:10">
      <c r="A937" s="25">
        <v>44935</v>
      </c>
      <c r="B937" t="s">
        <v>1705</v>
      </c>
      <c r="C937" t="s">
        <v>1684</v>
      </c>
      <c r="D937" t="s">
        <v>1678</v>
      </c>
      <c r="E937" t="s">
        <v>1679</v>
      </c>
      <c r="F937" t="s">
        <v>114</v>
      </c>
      <c r="G937" t="s">
        <v>1718</v>
      </c>
      <c r="H937">
        <v>18</v>
      </c>
      <c r="I937">
        <v>970.52</v>
      </c>
      <c r="J937">
        <v>17469.36</v>
      </c>
    </row>
    <row r="938" spans="1:10">
      <c r="A938" s="25">
        <v>45204</v>
      </c>
      <c r="B938" t="s">
        <v>1700</v>
      </c>
      <c r="C938" t="s">
        <v>1716</v>
      </c>
      <c r="D938" t="s">
        <v>1702</v>
      </c>
      <c r="E938" t="s">
        <v>1703</v>
      </c>
      <c r="F938" t="s">
        <v>89</v>
      </c>
      <c r="G938" t="s">
        <v>1713</v>
      </c>
      <c r="H938">
        <v>2</v>
      </c>
      <c r="I938">
        <v>4112.53</v>
      </c>
      <c r="J938">
        <v>8225.06</v>
      </c>
    </row>
    <row r="939" spans="1:10">
      <c r="A939" s="25">
        <v>45050</v>
      </c>
      <c r="B939" t="s">
        <v>1692</v>
      </c>
      <c r="C939" t="s">
        <v>1693</v>
      </c>
      <c r="D939" t="s">
        <v>1683</v>
      </c>
      <c r="E939" t="s">
        <v>1679</v>
      </c>
      <c r="F939" t="s">
        <v>89</v>
      </c>
      <c r="G939" t="s">
        <v>1713</v>
      </c>
      <c r="H939">
        <v>4</v>
      </c>
      <c r="I939">
        <v>4968.93</v>
      </c>
      <c r="J939">
        <v>19875.72</v>
      </c>
    </row>
    <row r="940" spans="1:10">
      <c r="A940" s="25">
        <v>45281</v>
      </c>
      <c r="B940" t="s">
        <v>1694</v>
      </c>
      <c r="C940" t="s">
        <v>1682</v>
      </c>
      <c r="D940" t="s">
        <v>1683</v>
      </c>
      <c r="E940" t="s">
        <v>1679</v>
      </c>
      <c r="F940" t="s">
        <v>97</v>
      </c>
      <c r="G940" t="s">
        <v>1699</v>
      </c>
      <c r="H940">
        <v>2</v>
      </c>
      <c r="I940">
        <v>339.56</v>
      </c>
      <c r="J940">
        <v>679.12</v>
      </c>
    </row>
    <row r="941" spans="1:10">
      <c r="A941" s="25">
        <v>45131</v>
      </c>
      <c r="B941" t="s">
        <v>1676</v>
      </c>
      <c r="C941" t="s">
        <v>1693</v>
      </c>
      <c r="D941" t="s">
        <v>1683</v>
      </c>
      <c r="E941" t="s">
        <v>1679</v>
      </c>
      <c r="F941" t="s">
        <v>114</v>
      </c>
      <c r="G941" t="s">
        <v>1680</v>
      </c>
      <c r="H941">
        <v>3</v>
      </c>
      <c r="I941">
        <v>3853.05</v>
      </c>
      <c r="J941">
        <v>11559.15</v>
      </c>
    </row>
    <row r="942" spans="1:10">
      <c r="A942" s="25">
        <v>45062</v>
      </c>
      <c r="B942" t="s">
        <v>1681</v>
      </c>
      <c r="C942" t="s">
        <v>1701</v>
      </c>
      <c r="D942" t="s">
        <v>1702</v>
      </c>
      <c r="E942" t="s">
        <v>1703</v>
      </c>
      <c r="F942" t="s">
        <v>97</v>
      </c>
      <c r="G942" t="s">
        <v>1685</v>
      </c>
      <c r="H942">
        <v>11</v>
      </c>
      <c r="I942">
        <v>2212.9</v>
      </c>
      <c r="J942">
        <v>24341.9</v>
      </c>
    </row>
    <row r="943" spans="1:10">
      <c r="A943" s="25">
        <v>45084</v>
      </c>
      <c r="B943" t="s">
        <v>1698</v>
      </c>
      <c r="C943" t="s">
        <v>1690</v>
      </c>
      <c r="D943" t="s">
        <v>1678</v>
      </c>
      <c r="E943" t="s">
        <v>1679</v>
      </c>
      <c r="F943" t="s">
        <v>114</v>
      </c>
      <c r="G943" t="s">
        <v>1718</v>
      </c>
      <c r="H943">
        <v>18</v>
      </c>
      <c r="I943">
        <v>509.79</v>
      </c>
      <c r="J943">
        <v>9176.2199999999993</v>
      </c>
    </row>
    <row r="944" spans="1:10">
      <c r="A944" s="25">
        <v>45082</v>
      </c>
      <c r="B944" t="s">
        <v>1705</v>
      </c>
      <c r="C944" t="s">
        <v>1682</v>
      </c>
      <c r="D944" t="s">
        <v>1683</v>
      </c>
      <c r="E944" t="s">
        <v>1679</v>
      </c>
      <c r="F944" t="s">
        <v>101</v>
      </c>
      <c r="G944" t="s">
        <v>1709</v>
      </c>
      <c r="H944">
        <v>16</v>
      </c>
      <c r="I944">
        <v>2724.77</v>
      </c>
      <c r="J944">
        <v>43596.32</v>
      </c>
    </row>
    <row r="945" spans="1:10">
      <c r="A945" s="25">
        <v>45094</v>
      </c>
      <c r="B945" t="s">
        <v>1700</v>
      </c>
      <c r="C945" t="s">
        <v>1672</v>
      </c>
      <c r="D945" t="s">
        <v>1673</v>
      </c>
      <c r="E945" t="s">
        <v>1674</v>
      </c>
      <c r="F945" t="s">
        <v>97</v>
      </c>
      <c r="G945" t="s">
        <v>1697</v>
      </c>
      <c r="H945">
        <v>18</v>
      </c>
      <c r="I945">
        <v>4718.22</v>
      </c>
      <c r="J945">
        <v>84927.96</v>
      </c>
    </row>
    <row r="946" spans="1:10">
      <c r="A946" s="25">
        <v>44971</v>
      </c>
      <c r="B946" t="s">
        <v>1700</v>
      </c>
      <c r="C946" t="s">
        <v>1684</v>
      </c>
      <c r="D946" t="s">
        <v>1678</v>
      </c>
      <c r="E946" t="s">
        <v>1679</v>
      </c>
      <c r="F946" t="s">
        <v>89</v>
      </c>
      <c r="G946" t="s">
        <v>1714</v>
      </c>
      <c r="H946">
        <v>9</v>
      </c>
      <c r="I946">
        <v>4811.76</v>
      </c>
      <c r="J946">
        <v>43305.84</v>
      </c>
    </row>
    <row r="947" spans="1:10">
      <c r="A947" s="25">
        <v>44933</v>
      </c>
      <c r="B947" t="s">
        <v>1671</v>
      </c>
      <c r="C947" t="s">
        <v>1690</v>
      </c>
      <c r="D947" t="s">
        <v>1678</v>
      </c>
      <c r="E947" t="s">
        <v>1679</v>
      </c>
      <c r="F947" t="s">
        <v>101</v>
      </c>
      <c r="G947" t="s">
        <v>1719</v>
      </c>
      <c r="H947">
        <v>8</v>
      </c>
      <c r="I947">
        <v>4021.86</v>
      </c>
      <c r="J947">
        <v>32174.880000000001</v>
      </c>
    </row>
    <row r="948" spans="1:10">
      <c r="A948" s="25">
        <v>44953</v>
      </c>
      <c r="B948" t="s">
        <v>1705</v>
      </c>
      <c r="C948" t="s">
        <v>1693</v>
      </c>
      <c r="D948" t="s">
        <v>1683</v>
      </c>
      <c r="E948" t="s">
        <v>1679</v>
      </c>
      <c r="F948" t="s">
        <v>101</v>
      </c>
      <c r="G948" t="s">
        <v>1709</v>
      </c>
      <c r="H948">
        <v>16</v>
      </c>
      <c r="I948">
        <v>4008.72</v>
      </c>
      <c r="J948">
        <v>64139.519999999997</v>
      </c>
    </row>
    <row r="949" spans="1:10">
      <c r="A949" s="25">
        <v>45157</v>
      </c>
      <c r="B949" t="s">
        <v>1671</v>
      </c>
      <c r="C949" t="s">
        <v>1137</v>
      </c>
      <c r="D949" t="s">
        <v>1696</v>
      </c>
      <c r="E949" t="s">
        <v>1674</v>
      </c>
      <c r="F949" t="s">
        <v>101</v>
      </c>
      <c r="G949" t="s">
        <v>1719</v>
      </c>
      <c r="H949">
        <v>14</v>
      </c>
      <c r="I949">
        <v>4793.38</v>
      </c>
      <c r="J949">
        <v>67107.320000000007</v>
      </c>
    </row>
    <row r="950" spans="1:10">
      <c r="A950" s="25">
        <v>44954</v>
      </c>
      <c r="B950" t="s">
        <v>1692</v>
      </c>
      <c r="C950" t="s">
        <v>1706</v>
      </c>
      <c r="D950" t="s">
        <v>1702</v>
      </c>
      <c r="E950" t="s">
        <v>1703</v>
      </c>
      <c r="F950" t="s">
        <v>101</v>
      </c>
      <c r="G950" t="s">
        <v>1715</v>
      </c>
      <c r="H950">
        <v>14</v>
      </c>
      <c r="I950">
        <v>4816.3900000000003</v>
      </c>
      <c r="J950">
        <v>67429.460000000006</v>
      </c>
    </row>
    <row r="951" spans="1:10">
      <c r="A951" s="25">
        <v>45063</v>
      </c>
      <c r="B951" t="s">
        <v>1689</v>
      </c>
      <c r="C951" t="s">
        <v>1717</v>
      </c>
      <c r="D951" t="s">
        <v>1696</v>
      </c>
      <c r="E951" t="s">
        <v>1674</v>
      </c>
      <c r="F951" t="s">
        <v>101</v>
      </c>
      <c r="G951" t="s">
        <v>1675</v>
      </c>
      <c r="H951">
        <v>6</v>
      </c>
      <c r="I951">
        <v>4072.51</v>
      </c>
      <c r="J951">
        <v>24435.06</v>
      </c>
    </row>
    <row r="952" spans="1:10">
      <c r="A952" s="25">
        <v>44997</v>
      </c>
      <c r="B952" t="s">
        <v>1694</v>
      </c>
      <c r="C952" t="s">
        <v>1135</v>
      </c>
      <c r="D952" t="s">
        <v>1673</v>
      </c>
      <c r="E952" t="s">
        <v>1674</v>
      </c>
      <c r="F952" t="s">
        <v>1687</v>
      </c>
      <c r="G952" t="s">
        <v>1710</v>
      </c>
      <c r="H952">
        <v>2</v>
      </c>
      <c r="I952">
        <v>1269.81</v>
      </c>
      <c r="J952">
        <v>2539.62</v>
      </c>
    </row>
    <row r="953" spans="1:10">
      <c r="A953" s="25">
        <v>44948</v>
      </c>
      <c r="B953" t="s">
        <v>1698</v>
      </c>
      <c r="C953" t="s">
        <v>1717</v>
      </c>
      <c r="D953" t="s">
        <v>1696</v>
      </c>
      <c r="E953" t="s">
        <v>1674</v>
      </c>
      <c r="F953" t="s">
        <v>1687</v>
      </c>
      <c r="G953" t="s">
        <v>1708</v>
      </c>
      <c r="H953">
        <v>13</v>
      </c>
      <c r="I953">
        <v>3071.93</v>
      </c>
      <c r="J953">
        <v>39935.089999999997</v>
      </c>
    </row>
    <row r="954" spans="1:10">
      <c r="A954" s="25">
        <v>44999</v>
      </c>
      <c r="B954" t="s">
        <v>1686</v>
      </c>
      <c r="C954" t="s">
        <v>1695</v>
      </c>
      <c r="D954" t="s">
        <v>1696</v>
      </c>
      <c r="E954" t="s">
        <v>1674</v>
      </c>
      <c r="F954" t="s">
        <v>97</v>
      </c>
      <c r="G954" t="s">
        <v>1685</v>
      </c>
      <c r="H954">
        <v>5</v>
      </c>
      <c r="I954">
        <v>4686.67</v>
      </c>
      <c r="J954">
        <v>23433.35</v>
      </c>
    </row>
    <row r="955" spans="1:10">
      <c r="A955" s="25">
        <v>45228</v>
      </c>
      <c r="B955" t="s">
        <v>1705</v>
      </c>
      <c r="C955" t="s">
        <v>1672</v>
      </c>
      <c r="D955" t="s">
        <v>1673</v>
      </c>
      <c r="E955" t="s">
        <v>1674</v>
      </c>
      <c r="F955" t="s">
        <v>101</v>
      </c>
      <c r="G955" t="s">
        <v>1715</v>
      </c>
      <c r="H955">
        <v>5</v>
      </c>
      <c r="I955">
        <v>4504.17</v>
      </c>
      <c r="J955">
        <v>22520.85</v>
      </c>
    </row>
    <row r="956" spans="1:10">
      <c r="A956" s="25">
        <v>45126</v>
      </c>
      <c r="B956" t="s">
        <v>1671</v>
      </c>
      <c r="C956" t="s">
        <v>1682</v>
      </c>
      <c r="D956" t="s">
        <v>1683</v>
      </c>
      <c r="E956" t="s">
        <v>1679</v>
      </c>
      <c r="F956" t="s">
        <v>101</v>
      </c>
      <c r="G956" t="s">
        <v>1675</v>
      </c>
      <c r="H956">
        <v>3</v>
      </c>
      <c r="I956">
        <v>559.70000000000005</v>
      </c>
      <c r="J956">
        <v>1679.1</v>
      </c>
    </row>
    <row r="957" spans="1:10">
      <c r="A957" s="25">
        <v>45212</v>
      </c>
      <c r="B957" t="s">
        <v>1681</v>
      </c>
      <c r="C957" t="s">
        <v>1693</v>
      </c>
      <c r="D957" t="s">
        <v>1683</v>
      </c>
      <c r="E957" t="s">
        <v>1679</v>
      </c>
      <c r="F957" t="s">
        <v>1687</v>
      </c>
      <c r="G957" t="s">
        <v>1704</v>
      </c>
      <c r="H957">
        <v>17</v>
      </c>
      <c r="I957">
        <v>1975.71</v>
      </c>
      <c r="J957">
        <v>33587.07</v>
      </c>
    </row>
    <row r="958" spans="1:10">
      <c r="A958" s="25">
        <v>45239</v>
      </c>
      <c r="B958" t="s">
        <v>1686</v>
      </c>
      <c r="C958" t="s">
        <v>1706</v>
      </c>
      <c r="D958" t="s">
        <v>1702</v>
      </c>
      <c r="E958" t="s">
        <v>1703</v>
      </c>
      <c r="F958" t="s">
        <v>101</v>
      </c>
      <c r="G958" t="s">
        <v>1675</v>
      </c>
      <c r="H958">
        <v>8</v>
      </c>
      <c r="I958">
        <v>4175.5600000000004</v>
      </c>
      <c r="J958">
        <v>33404.480000000003</v>
      </c>
    </row>
    <row r="959" spans="1:10">
      <c r="A959" s="25">
        <v>44956</v>
      </c>
      <c r="B959" t="s">
        <v>1671</v>
      </c>
      <c r="C959" t="s">
        <v>1693</v>
      </c>
      <c r="D959" t="s">
        <v>1683</v>
      </c>
      <c r="E959" t="s">
        <v>1679</v>
      </c>
      <c r="F959" t="s">
        <v>89</v>
      </c>
      <c r="G959" t="s">
        <v>1713</v>
      </c>
      <c r="H959">
        <v>14</v>
      </c>
      <c r="I959">
        <v>2535.08</v>
      </c>
      <c r="J959">
        <v>35491.120000000003</v>
      </c>
    </row>
    <row r="960" spans="1:10">
      <c r="A960" s="25">
        <v>45111</v>
      </c>
      <c r="B960" t="s">
        <v>1689</v>
      </c>
      <c r="C960" t="s">
        <v>1690</v>
      </c>
      <c r="D960" t="s">
        <v>1678</v>
      </c>
      <c r="E960" t="s">
        <v>1679</v>
      </c>
      <c r="F960" t="s">
        <v>89</v>
      </c>
      <c r="G960" t="s">
        <v>1105</v>
      </c>
      <c r="H960">
        <v>14</v>
      </c>
      <c r="I960">
        <v>2161.65</v>
      </c>
      <c r="J960">
        <v>30263.1</v>
      </c>
    </row>
    <row r="961" spans="1:10">
      <c r="A961" s="25">
        <v>45205</v>
      </c>
      <c r="B961" t="s">
        <v>1689</v>
      </c>
      <c r="C961" t="s">
        <v>1706</v>
      </c>
      <c r="D961" t="s">
        <v>1702</v>
      </c>
      <c r="E961" t="s">
        <v>1703</v>
      </c>
      <c r="F961" t="s">
        <v>89</v>
      </c>
      <c r="G961" t="s">
        <v>1714</v>
      </c>
      <c r="H961">
        <v>11</v>
      </c>
      <c r="I961">
        <v>3424.45</v>
      </c>
      <c r="J961">
        <v>37668.949999999997</v>
      </c>
    </row>
    <row r="962" spans="1:10">
      <c r="A962" s="25">
        <v>45162</v>
      </c>
      <c r="B962" t="s">
        <v>1694</v>
      </c>
      <c r="C962" t="s">
        <v>1717</v>
      </c>
      <c r="D962" t="s">
        <v>1696</v>
      </c>
      <c r="E962" t="s">
        <v>1674</v>
      </c>
      <c r="F962" t="s">
        <v>1687</v>
      </c>
      <c r="G962" t="s">
        <v>1688</v>
      </c>
      <c r="H962">
        <v>10</v>
      </c>
      <c r="I962">
        <v>1167.21</v>
      </c>
      <c r="J962">
        <v>11672.1</v>
      </c>
    </row>
    <row r="963" spans="1:10">
      <c r="A963" s="25">
        <v>44983</v>
      </c>
      <c r="B963" t="s">
        <v>1698</v>
      </c>
      <c r="C963" t="s">
        <v>1717</v>
      </c>
      <c r="D963" t="s">
        <v>1696</v>
      </c>
      <c r="E963" t="s">
        <v>1674</v>
      </c>
      <c r="F963" t="s">
        <v>114</v>
      </c>
      <c r="G963" t="s">
        <v>1680</v>
      </c>
      <c r="H963">
        <v>7</v>
      </c>
      <c r="I963">
        <v>500.63</v>
      </c>
      <c r="J963">
        <v>3504.41</v>
      </c>
    </row>
    <row r="964" spans="1:10">
      <c r="A964" s="25">
        <v>45234</v>
      </c>
      <c r="B964" t="s">
        <v>1692</v>
      </c>
      <c r="C964" t="s">
        <v>1701</v>
      </c>
      <c r="D964" t="s">
        <v>1702</v>
      </c>
      <c r="E964" t="s">
        <v>1703</v>
      </c>
      <c r="F964" t="s">
        <v>101</v>
      </c>
      <c r="G964" t="s">
        <v>1719</v>
      </c>
      <c r="H964">
        <v>10</v>
      </c>
      <c r="I964">
        <v>1050.8399999999999</v>
      </c>
      <c r="J964">
        <v>10508.4</v>
      </c>
    </row>
    <row r="965" spans="1:10">
      <c r="A965" s="25">
        <v>45168</v>
      </c>
      <c r="B965" t="s">
        <v>1705</v>
      </c>
      <c r="C965" t="s">
        <v>1707</v>
      </c>
      <c r="D965" t="s">
        <v>1683</v>
      </c>
      <c r="E965" t="s">
        <v>1679</v>
      </c>
      <c r="F965" t="s">
        <v>101</v>
      </c>
      <c r="G965" t="s">
        <v>1715</v>
      </c>
      <c r="H965">
        <v>14</v>
      </c>
      <c r="I965">
        <v>3726.3</v>
      </c>
      <c r="J965">
        <v>52168.2</v>
      </c>
    </row>
    <row r="966" spans="1:10">
      <c r="A966" s="25">
        <v>45214</v>
      </c>
      <c r="B966" t="s">
        <v>1686</v>
      </c>
      <c r="C966" t="s">
        <v>1690</v>
      </c>
      <c r="D966" t="s">
        <v>1678</v>
      </c>
      <c r="E966" t="s">
        <v>1679</v>
      </c>
      <c r="F966" t="s">
        <v>97</v>
      </c>
      <c r="G966" t="s">
        <v>1697</v>
      </c>
      <c r="H966">
        <v>10</v>
      </c>
      <c r="I966">
        <v>651.83000000000004</v>
      </c>
      <c r="J966">
        <v>6518.3</v>
      </c>
    </row>
    <row r="967" spans="1:10">
      <c r="A967" s="25">
        <v>45105</v>
      </c>
      <c r="B967" t="s">
        <v>1694</v>
      </c>
      <c r="C967" t="s">
        <v>1136</v>
      </c>
      <c r="D967" t="s">
        <v>1673</v>
      </c>
      <c r="E967" t="s">
        <v>1674</v>
      </c>
      <c r="F967" t="s">
        <v>101</v>
      </c>
      <c r="G967" t="s">
        <v>1719</v>
      </c>
      <c r="H967">
        <v>4</v>
      </c>
      <c r="I967">
        <v>1077.23</v>
      </c>
      <c r="J967">
        <v>4308.92</v>
      </c>
    </row>
    <row r="968" spans="1:10">
      <c r="A968" s="25">
        <v>45090</v>
      </c>
      <c r="B968" t="s">
        <v>1705</v>
      </c>
      <c r="C968" t="s">
        <v>1701</v>
      </c>
      <c r="D968" t="s">
        <v>1702</v>
      </c>
      <c r="E968" t="s">
        <v>1703</v>
      </c>
      <c r="F968" t="s">
        <v>89</v>
      </c>
      <c r="G968" t="s">
        <v>1106</v>
      </c>
      <c r="H968">
        <v>15</v>
      </c>
      <c r="I968">
        <v>4554.78</v>
      </c>
      <c r="J968">
        <v>68321.7</v>
      </c>
    </row>
    <row r="969" spans="1:10">
      <c r="A969" s="25">
        <v>45072</v>
      </c>
      <c r="B969" t="s">
        <v>1689</v>
      </c>
      <c r="C969" t="s">
        <v>1137</v>
      </c>
      <c r="D969" t="s">
        <v>1696</v>
      </c>
      <c r="E969" t="s">
        <v>1674</v>
      </c>
      <c r="F969" t="s">
        <v>114</v>
      </c>
      <c r="G969" t="s">
        <v>1712</v>
      </c>
      <c r="H969">
        <v>19</v>
      </c>
      <c r="I969">
        <v>1003.13</v>
      </c>
      <c r="J969">
        <v>19059.47</v>
      </c>
    </row>
    <row r="970" spans="1:10">
      <c r="A970" s="25">
        <v>45133</v>
      </c>
      <c r="B970" t="s">
        <v>1671</v>
      </c>
      <c r="C970" t="s">
        <v>1707</v>
      </c>
      <c r="D970" t="s">
        <v>1683</v>
      </c>
      <c r="E970" t="s">
        <v>1679</v>
      </c>
      <c r="F970" t="s">
        <v>1687</v>
      </c>
      <c r="G970" t="s">
        <v>1704</v>
      </c>
      <c r="H970">
        <v>7</v>
      </c>
      <c r="I970">
        <v>3168.77</v>
      </c>
      <c r="J970">
        <v>22181.39</v>
      </c>
    </row>
    <row r="971" spans="1:10">
      <c r="A971" s="25">
        <v>44977</v>
      </c>
      <c r="B971" t="s">
        <v>1689</v>
      </c>
      <c r="C971" t="s">
        <v>1701</v>
      </c>
      <c r="D971" t="s">
        <v>1702</v>
      </c>
      <c r="E971" t="s">
        <v>1703</v>
      </c>
      <c r="F971" t="s">
        <v>114</v>
      </c>
      <c r="G971" t="s">
        <v>1691</v>
      </c>
      <c r="H971">
        <v>19</v>
      </c>
      <c r="I971">
        <v>4528.95</v>
      </c>
      <c r="J971">
        <v>86050.05</v>
      </c>
    </row>
    <row r="972" spans="1:10">
      <c r="A972" s="25">
        <v>45164</v>
      </c>
      <c r="B972" t="s">
        <v>1681</v>
      </c>
      <c r="C972" t="s">
        <v>1707</v>
      </c>
      <c r="D972" t="s">
        <v>1683</v>
      </c>
      <c r="E972" t="s">
        <v>1679</v>
      </c>
      <c r="F972" t="s">
        <v>89</v>
      </c>
      <c r="G972" t="s">
        <v>1106</v>
      </c>
      <c r="H972">
        <v>5</v>
      </c>
      <c r="I972">
        <v>2480.84</v>
      </c>
      <c r="J972">
        <v>12404.2</v>
      </c>
    </row>
    <row r="973" spans="1:10">
      <c r="A973" s="25">
        <v>45051</v>
      </c>
      <c r="B973" t="s">
        <v>1698</v>
      </c>
      <c r="C973" t="s">
        <v>1716</v>
      </c>
      <c r="D973" t="s">
        <v>1702</v>
      </c>
      <c r="E973" t="s">
        <v>1703</v>
      </c>
      <c r="F973" t="s">
        <v>97</v>
      </c>
      <c r="G973" t="s">
        <v>1711</v>
      </c>
      <c r="H973">
        <v>11</v>
      </c>
      <c r="I973">
        <v>4740.79</v>
      </c>
      <c r="J973">
        <v>52148.69</v>
      </c>
    </row>
    <row r="974" spans="1:10">
      <c r="A974" s="25">
        <v>45184</v>
      </c>
      <c r="B974" t="s">
        <v>1692</v>
      </c>
      <c r="C974" t="s">
        <v>1716</v>
      </c>
      <c r="D974" t="s">
        <v>1702</v>
      </c>
      <c r="E974" t="s">
        <v>1703</v>
      </c>
      <c r="F974" t="s">
        <v>1687</v>
      </c>
      <c r="G974" t="s">
        <v>1688</v>
      </c>
      <c r="H974">
        <v>16</v>
      </c>
      <c r="I974">
        <v>2687.77</v>
      </c>
      <c r="J974">
        <v>43004.32</v>
      </c>
    </row>
    <row r="975" spans="1:10">
      <c r="A975" s="25">
        <v>45142</v>
      </c>
      <c r="B975" t="s">
        <v>1689</v>
      </c>
      <c r="C975" t="s">
        <v>1684</v>
      </c>
      <c r="D975" t="s">
        <v>1678</v>
      </c>
      <c r="E975" t="s">
        <v>1679</v>
      </c>
      <c r="F975" t="s">
        <v>1687</v>
      </c>
      <c r="G975" t="s">
        <v>1704</v>
      </c>
      <c r="H975">
        <v>15</v>
      </c>
      <c r="I975">
        <v>2472.8000000000002</v>
      </c>
      <c r="J975">
        <v>37092</v>
      </c>
    </row>
    <row r="976" spans="1:10">
      <c r="A976" s="25">
        <v>44972</v>
      </c>
      <c r="B976" t="s">
        <v>1705</v>
      </c>
      <c r="C976" t="s">
        <v>1716</v>
      </c>
      <c r="D976" t="s">
        <v>1702</v>
      </c>
      <c r="E976" t="s">
        <v>1703</v>
      </c>
      <c r="F976" t="s">
        <v>101</v>
      </c>
      <c r="G976" t="s">
        <v>1675</v>
      </c>
      <c r="H976">
        <v>3</v>
      </c>
      <c r="I976">
        <v>3814.12</v>
      </c>
      <c r="J976">
        <v>11442.36</v>
      </c>
    </row>
    <row r="977" spans="1:10">
      <c r="A977" s="25">
        <v>44978</v>
      </c>
      <c r="B977" t="s">
        <v>1705</v>
      </c>
      <c r="C977" t="s">
        <v>1695</v>
      </c>
      <c r="D977" t="s">
        <v>1696</v>
      </c>
      <c r="E977" t="s">
        <v>1674</v>
      </c>
      <c r="F977" t="s">
        <v>101</v>
      </c>
      <c r="G977" t="s">
        <v>1709</v>
      </c>
      <c r="H977">
        <v>1</v>
      </c>
      <c r="I977">
        <v>2333.7800000000002</v>
      </c>
      <c r="J977">
        <v>2333.7800000000002</v>
      </c>
    </row>
    <row r="978" spans="1:10">
      <c r="A978" s="25">
        <v>44953</v>
      </c>
      <c r="B978" t="s">
        <v>1686</v>
      </c>
      <c r="C978" t="s">
        <v>1672</v>
      </c>
      <c r="D978" t="s">
        <v>1673</v>
      </c>
      <c r="E978" t="s">
        <v>1674</v>
      </c>
      <c r="F978" t="s">
        <v>1687</v>
      </c>
      <c r="G978" t="s">
        <v>1688</v>
      </c>
      <c r="H978">
        <v>10</v>
      </c>
      <c r="I978">
        <v>2628.56</v>
      </c>
      <c r="J978">
        <v>26285.599999999999</v>
      </c>
    </row>
    <row r="979" spans="1:10">
      <c r="A979" s="25">
        <v>45199</v>
      </c>
      <c r="B979" t="s">
        <v>1681</v>
      </c>
      <c r="C979" t="s">
        <v>1684</v>
      </c>
      <c r="D979" t="s">
        <v>1678</v>
      </c>
      <c r="E979" t="s">
        <v>1679</v>
      </c>
      <c r="F979" t="s">
        <v>89</v>
      </c>
      <c r="G979" t="s">
        <v>1105</v>
      </c>
      <c r="H979">
        <v>16</v>
      </c>
      <c r="I979">
        <v>284.02</v>
      </c>
      <c r="J979">
        <v>4544.32</v>
      </c>
    </row>
    <row r="980" spans="1:10">
      <c r="A980" s="25">
        <v>45167</v>
      </c>
      <c r="B980" t="s">
        <v>1694</v>
      </c>
      <c r="C980" t="s">
        <v>1682</v>
      </c>
      <c r="D980" t="s">
        <v>1683</v>
      </c>
      <c r="E980" t="s">
        <v>1679</v>
      </c>
      <c r="F980" t="s">
        <v>1687</v>
      </c>
      <c r="G980" t="s">
        <v>1704</v>
      </c>
      <c r="H980">
        <v>8</v>
      </c>
      <c r="I980">
        <v>1011.67</v>
      </c>
      <c r="J980">
        <v>8093.36</v>
      </c>
    </row>
    <row r="981" spans="1:10">
      <c r="A981" s="25">
        <v>44993</v>
      </c>
      <c r="B981" t="s">
        <v>1698</v>
      </c>
      <c r="C981" t="s">
        <v>1706</v>
      </c>
      <c r="D981" t="s">
        <v>1702</v>
      </c>
      <c r="E981" t="s">
        <v>1703</v>
      </c>
      <c r="F981" t="s">
        <v>1687</v>
      </c>
      <c r="G981" t="s">
        <v>1708</v>
      </c>
      <c r="H981">
        <v>6</v>
      </c>
      <c r="I981">
        <v>3918.07</v>
      </c>
      <c r="J981">
        <v>23508.42</v>
      </c>
    </row>
    <row r="982" spans="1:10">
      <c r="A982" s="25">
        <v>45253</v>
      </c>
      <c r="B982" t="s">
        <v>1694</v>
      </c>
      <c r="C982" t="s">
        <v>1693</v>
      </c>
      <c r="D982" t="s">
        <v>1683</v>
      </c>
      <c r="E982" t="s">
        <v>1679</v>
      </c>
      <c r="F982" t="s">
        <v>97</v>
      </c>
      <c r="G982" t="s">
        <v>1699</v>
      </c>
      <c r="H982">
        <v>2</v>
      </c>
      <c r="I982">
        <v>3313.63</v>
      </c>
      <c r="J982">
        <v>6627.26</v>
      </c>
    </row>
    <row r="983" spans="1:10">
      <c r="A983" s="25">
        <v>44980</v>
      </c>
      <c r="B983" t="s">
        <v>1700</v>
      </c>
      <c r="C983" t="s">
        <v>1677</v>
      </c>
      <c r="D983" t="s">
        <v>1678</v>
      </c>
      <c r="E983" t="s">
        <v>1679</v>
      </c>
      <c r="F983" t="s">
        <v>97</v>
      </c>
      <c r="G983" t="s">
        <v>1697</v>
      </c>
      <c r="H983">
        <v>18</v>
      </c>
      <c r="I983">
        <v>809.24</v>
      </c>
      <c r="J983">
        <v>14566.32</v>
      </c>
    </row>
    <row r="984" spans="1:10">
      <c r="A984" s="25">
        <v>45034</v>
      </c>
      <c r="B984" t="s">
        <v>1681</v>
      </c>
      <c r="C984" t="s">
        <v>1701</v>
      </c>
      <c r="D984" t="s">
        <v>1702</v>
      </c>
      <c r="E984" t="s">
        <v>1703</v>
      </c>
      <c r="F984" t="s">
        <v>1687</v>
      </c>
      <c r="G984" t="s">
        <v>1710</v>
      </c>
      <c r="H984">
        <v>2</v>
      </c>
      <c r="I984">
        <v>2338.61</v>
      </c>
      <c r="J984">
        <v>4677.22</v>
      </c>
    </row>
    <row r="985" spans="1:10">
      <c r="A985" s="25">
        <v>45010</v>
      </c>
      <c r="B985" t="s">
        <v>1705</v>
      </c>
      <c r="C985" t="s">
        <v>1707</v>
      </c>
      <c r="D985" t="s">
        <v>1683</v>
      </c>
      <c r="E985" t="s">
        <v>1679</v>
      </c>
      <c r="F985" t="s">
        <v>1687</v>
      </c>
      <c r="G985" t="s">
        <v>1710</v>
      </c>
      <c r="H985">
        <v>18</v>
      </c>
      <c r="I985">
        <v>2773.93</v>
      </c>
      <c r="J985">
        <v>49930.74</v>
      </c>
    </row>
    <row r="986" spans="1:10">
      <c r="A986" s="25">
        <v>44994</v>
      </c>
      <c r="B986" t="s">
        <v>1686</v>
      </c>
      <c r="C986" t="s">
        <v>1136</v>
      </c>
      <c r="D986" t="s">
        <v>1673</v>
      </c>
      <c r="E986" t="s">
        <v>1674</v>
      </c>
      <c r="F986" t="s">
        <v>1687</v>
      </c>
      <c r="G986" t="s">
        <v>1708</v>
      </c>
      <c r="H986">
        <v>15</v>
      </c>
      <c r="I986">
        <v>2540.06</v>
      </c>
      <c r="J986">
        <v>38100.9</v>
      </c>
    </row>
    <row r="987" spans="1:10">
      <c r="A987" s="25">
        <v>45072</v>
      </c>
      <c r="B987" t="s">
        <v>1671</v>
      </c>
      <c r="C987" t="s">
        <v>1706</v>
      </c>
      <c r="D987" t="s">
        <v>1702</v>
      </c>
      <c r="E987" t="s">
        <v>1703</v>
      </c>
      <c r="F987" t="s">
        <v>97</v>
      </c>
      <c r="G987" t="s">
        <v>1685</v>
      </c>
      <c r="H987">
        <v>4</v>
      </c>
      <c r="I987">
        <v>1178.71</v>
      </c>
      <c r="J987">
        <v>4714.84</v>
      </c>
    </row>
    <row r="988" spans="1:10">
      <c r="A988" s="25">
        <v>45282</v>
      </c>
      <c r="B988" t="s">
        <v>1698</v>
      </c>
      <c r="C988" t="s">
        <v>1677</v>
      </c>
      <c r="D988" t="s">
        <v>1678</v>
      </c>
      <c r="E988" t="s">
        <v>1679</v>
      </c>
      <c r="F988" t="s">
        <v>1687</v>
      </c>
      <c r="G988" t="s">
        <v>1688</v>
      </c>
      <c r="H988">
        <v>4</v>
      </c>
      <c r="I988">
        <v>4724.33</v>
      </c>
      <c r="J988">
        <v>18897.32</v>
      </c>
    </row>
    <row r="989" spans="1:10">
      <c r="A989" s="25">
        <v>45159</v>
      </c>
      <c r="B989" t="s">
        <v>1698</v>
      </c>
      <c r="C989" t="s">
        <v>1716</v>
      </c>
      <c r="D989" t="s">
        <v>1702</v>
      </c>
      <c r="E989" t="s">
        <v>1703</v>
      </c>
      <c r="F989" t="s">
        <v>89</v>
      </c>
      <c r="G989" t="s">
        <v>1713</v>
      </c>
      <c r="H989">
        <v>7</v>
      </c>
      <c r="I989">
        <v>3481</v>
      </c>
      <c r="J989">
        <v>24367</v>
      </c>
    </row>
    <row r="990" spans="1:10">
      <c r="A990" s="25">
        <v>45215</v>
      </c>
      <c r="B990" t="s">
        <v>1705</v>
      </c>
      <c r="C990" t="s">
        <v>1695</v>
      </c>
      <c r="D990" t="s">
        <v>1696</v>
      </c>
      <c r="E990" t="s">
        <v>1674</v>
      </c>
      <c r="F990" t="s">
        <v>101</v>
      </c>
      <c r="G990" t="s">
        <v>1675</v>
      </c>
      <c r="H990">
        <v>16</v>
      </c>
      <c r="I990">
        <v>4608.55</v>
      </c>
      <c r="J990">
        <v>73736.800000000003</v>
      </c>
    </row>
    <row r="991" spans="1:10">
      <c r="A991" s="25">
        <v>45227</v>
      </c>
      <c r="B991" t="s">
        <v>1700</v>
      </c>
      <c r="C991" t="s">
        <v>1136</v>
      </c>
      <c r="D991" t="s">
        <v>1673</v>
      </c>
      <c r="E991" t="s">
        <v>1674</v>
      </c>
      <c r="F991" t="s">
        <v>89</v>
      </c>
      <c r="G991" t="s">
        <v>1714</v>
      </c>
      <c r="H991">
        <v>10</v>
      </c>
      <c r="I991">
        <v>2336.88</v>
      </c>
      <c r="J991">
        <v>23368.799999999999</v>
      </c>
    </row>
    <row r="992" spans="1:10">
      <c r="A992" s="25">
        <v>45254</v>
      </c>
      <c r="B992" t="s">
        <v>1671</v>
      </c>
      <c r="C992" t="s">
        <v>1690</v>
      </c>
      <c r="D992" t="s">
        <v>1678</v>
      </c>
      <c r="E992" t="s">
        <v>1679</v>
      </c>
      <c r="F992" t="s">
        <v>114</v>
      </c>
      <c r="G992" t="s">
        <v>1718</v>
      </c>
      <c r="H992">
        <v>1</v>
      </c>
      <c r="I992">
        <v>2993.55</v>
      </c>
      <c r="J992">
        <v>2993.55</v>
      </c>
    </row>
    <row r="993" spans="1:10">
      <c r="A993" s="25">
        <v>45216</v>
      </c>
      <c r="B993" t="s">
        <v>1694</v>
      </c>
      <c r="C993" t="s">
        <v>1684</v>
      </c>
      <c r="D993" t="s">
        <v>1678</v>
      </c>
      <c r="E993" t="s">
        <v>1679</v>
      </c>
      <c r="F993" t="s">
        <v>97</v>
      </c>
      <c r="G993" t="s">
        <v>1699</v>
      </c>
      <c r="H993">
        <v>19</v>
      </c>
      <c r="I993">
        <v>4080.77</v>
      </c>
      <c r="J993">
        <v>77534.63</v>
      </c>
    </row>
    <row r="994" spans="1:10">
      <c r="A994" s="25">
        <v>45151</v>
      </c>
      <c r="B994" t="s">
        <v>1676</v>
      </c>
      <c r="C994" t="s">
        <v>1707</v>
      </c>
      <c r="D994" t="s">
        <v>1683</v>
      </c>
      <c r="E994" t="s">
        <v>1679</v>
      </c>
      <c r="F994" t="s">
        <v>97</v>
      </c>
      <c r="G994" t="s">
        <v>1711</v>
      </c>
      <c r="H994">
        <v>4</v>
      </c>
      <c r="I994">
        <v>3659.61</v>
      </c>
      <c r="J994">
        <v>14638.44</v>
      </c>
    </row>
    <row r="995" spans="1:10">
      <c r="A995" s="25">
        <v>44964</v>
      </c>
      <c r="B995" t="s">
        <v>1689</v>
      </c>
      <c r="C995" t="s">
        <v>1716</v>
      </c>
      <c r="D995" t="s">
        <v>1702</v>
      </c>
      <c r="E995" t="s">
        <v>1703</v>
      </c>
      <c r="F995" t="s">
        <v>97</v>
      </c>
      <c r="G995" t="s">
        <v>1711</v>
      </c>
      <c r="H995">
        <v>12</v>
      </c>
      <c r="I995">
        <v>1819.46</v>
      </c>
      <c r="J995">
        <v>21833.52</v>
      </c>
    </row>
    <row r="996" spans="1:10">
      <c r="A996" s="25">
        <v>45197</v>
      </c>
      <c r="B996" t="s">
        <v>1686</v>
      </c>
      <c r="C996" t="s">
        <v>1690</v>
      </c>
      <c r="D996" t="s">
        <v>1678</v>
      </c>
      <c r="E996" t="s">
        <v>1679</v>
      </c>
      <c r="F996" t="s">
        <v>89</v>
      </c>
      <c r="G996" t="s">
        <v>1713</v>
      </c>
      <c r="H996">
        <v>13</v>
      </c>
      <c r="I996">
        <v>3520.87</v>
      </c>
      <c r="J996">
        <v>45771.31</v>
      </c>
    </row>
    <row r="997" spans="1:10">
      <c r="A997" s="25">
        <v>44979</v>
      </c>
      <c r="B997" t="s">
        <v>1694</v>
      </c>
      <c r="C997" t="s">
        <v>1677</v>
      </c>
      <c r="D997" t="s">
        <v>1678</v>
      </c>
      <c r="E997" t="s">
        <v>1679</v>
      </c>
      <c r="F997" t="s">
        <v>1687</v>
      </c>
      <c r="G997" t="s">
        <v>1710</v>
      </c>
      <c r="H997">
        <v>14</v>
      </c>
      <c r="I997">
        <v>4532.88</v>
      </c>
      <c r="J997">
        <v>63460.32</v>
      </c>
    </row>
    <row r="998" spans="1:10">
      <c r="A998" s="25">
        <v>44952</v>
      </c>
      <c r="B998" t="s">
        <v>1689</v>
      </c>
      <c r="C998" t="s">
        <v>1672</v>
      </c>
      <c r="D998" t="s">
        <v>1673</v>
      </c>
      <c r="E998" t="s">
        <v>1674</v>
      </c>
      <c r="F998" t="s">
        <v>101</v>
      </c>
      <c r="G998" t="s">
        <v>1709</v>
      </c>
      <c r="H998">
        <v>6</v>
      </c>
      <c r="I998">
        <v>1709.52</v>
      </c>
      <c r="J998">
        <v>10257.120000000001</v>
      </c>
    </row>
    <row r="999" spans="1:10">
      <c r="A999" s="25">
        <v>45259</v>
      </c>
      <c r="B999" t="s">
        <v>1705</v>
      </c>
      <c r="C999" t="s">
        <v>1682</v>
      </c>
      <c r="D999" t="s">
        <v>1683</v>
      </c>
      <c r="E999" t="s">
        <v>1679</v>
      </c>
      <c r="F999" t="s">
        <v>97</v>
      </c>
      <c r="G999" t="s">
        <v>1685</v>
      </c>
      <c r="H999">
        <v>10</v>
      </c>
      <c r="I999">
        <v>3803.22</v>
      </c>
      <c r="J999">
        <v>38032.199999999997</v>
      </c>
    </row>
    <row r="1000" spans="1:10">
      <c r="A1000" s="25">
        <v>44928</v>
      </c>
      <c r="B1000" t="s">
        <v>1700</v>
      </c>
      <c r="C1000" t="s">
        <v>1682</v>
      </c>
      <c r="D1000" t="s">
        <v>1683</v>
      </c>
      <c r="E1000" t="s">
        <v>1679</v>
      </c>
      <c r="F1000" t="s">
        <v>114</v>
      </c>
      <c r="G1000" t="s">
        <v>1718</v>
      </c>
      <c r="H1000">
        <v>15</v>
      </c>
      <c r="I1000">
        <v>1853</v>
      </c>
      <c r="J1000">
        <v>27795</v>
      </c>
    </row>
    <row r="1001" spans="1:10">
      <c r="A1001" s="25">
        <v>44961</v>
      </c>
      <c r="B1001" t="s">
        <v>1705</v>
      </c>
      <c r="C1001" t="s">
        <v>1135</v>
      </c>
      <c r="D1001" t="s">
        <v>1673</v>
      </c>
      <c r="E1001" t="s">
        <v>1674</v>
      </c>
      <c r="F1001" t="s">
        <v>97</v>
      </c>
      <c r="G1001" t="s">
        <v>1697</v>
      </c>
      <c r="H1001">
        <v>2</v>
      </c>
      <c r="I1001">
        <v>2623.43</v>
      </c>
      <c r="J1001">
        <v>5246.86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FED12-4BD5-4F16-9533-7774B10E4C10}">
  <dimension ref="A1:F6"/>
  <sheetViews>
    <sheetView workbookViewId="0">
      <selection activeCell="F2" sqref="F2:F6"/>
    </sheetView>
  </sheetViews>
  <sheetFormatPr defaultRowHeight="14.4"/>
  <cols>
    <col min="1" max="1" width="9.21875" bestFit="1" customWidth="1"/>
    <col min="2" max="2" width="10.33203125" bestFit="1" customWidth="1"/>
    <col min="3" max="3" width="10.33203125" customWidth="1"/>
    <col min="4" max="4" width="10.33203125" bestFit="1" customWidth="1"/>
    <col min="5" max="5" width="10.33203125" customWidth="1"/>
    <col min="6" max="6" width="14.44140625" bestFit="1" customWidth="1"/>
  </cols>
  <sheetData>
    <row r="1" spans="1:6">
      <c r="A1" s="10" t="s">
        <v>1802</v>
      </c>
      <c r="B1" s="10" t="s">
        <v>1803</v>
      </c>
      <c r="C1" s="10"/>
      <c r="D1" s="10" t="s">
        <v>1804</v>
      </c>
      <c r="E1" s="10"/>
      <c r="F1" s="10" t="s">
        <v>1805</v>
      </c>
    </row>
    <row r="2" spans="1:6">
      <c r="A2" t="s">
        <v>1806</v>
      </c>
      <c r="B2" s="25" t="s">
        <v>1807</v>
      </c>
      <c r="C2" s="32">
        <f>DATE(YEAR(B2),MONTH(B2),DAY(B2))</f>
        <v>45292</v>
      </c>
      <c r="D2" t="s">
        <v>1808</v>
      </c>
      <c r="E2" s="32">
        <f>DATE(YEAR(D2),MONTH(D2),DAY(D2))</f>
        <v>45382</v>
      </c>
      <c r="F2">
        <f>E2-C2</f>
        <v>90</v>
      </c>
    </row>
    <row r="3" spans="1:6">
      <c r="A3" t="s">
        <v>1809</v>
      </c>
      <c r="B3" s="25" t="s">
        <v>1810</v>
      </c>
      <c r="C3" s="32">
        <f t="shared" ref="C3:C6" si="0">DATE(YEAR(B3),MONTH(B3),DAY(B3))</f>
        <v>45337</v>
      </c>
      <c r="D3" t="s">
        <v>1811</v>
      </c>
      <c r="E3" s="32">
        <f t="shared" ref="E3:E6" si="1">DATE(YEAR(D3),MONTH(D3),DAY(D3))</f>
        <v>45442</v>
      </c>
      <c r="F3">
        <f t="shared" ref="F3:F6" si="2">E3-C3</f>
        <v>105</v>
      </c>
    </row>
    <row r="4" spans="1:6">
      <c r="A4" t="s">
        <v>1812</v>
      </c>
      <c r="B4" s="25" t="s">
        <v>1813</v>
      </c>
      <c r="C4" s="32">
        <f t="shared" si="0"/>
        <v>45352</v>
      </c>
      <c r="D4" t="s">
        <v>1814</v>
      </c>
      <c r="E4" s="32">
        <f t="shared" si="1"/>
        <v>45458</v>
      </c>
      <c r="F4">
        <f t="shared" si="2"/>
        <v>106</v>
      </c>
    </row>
    <row r="5" spans="1:6">
      <c r="A5" t="s">
        <v>1815</v>
      </c>
      <c r="B5" s="25" t="s">
        <v>1816</v>
      </c>
      <c r="C5" s="32">
        <f t="shared" si="0"/>
        <v>45392</v>
      </c>
      <c r="D5" t="s">
        <v>1817</v>
      </c>
      <c r="E5" s="32">
        <f t="shared" si="1"/>
        <v>45498</v>
      </c>
      <c r="F5">
        <f t="shared" si="2"/>
        <v>106</v>
      </c>
    </row>
    <row r="6" spans="1:6">
      <c r="A6" t="s">
        <v>1818</v>
      </c>
      <c r="B6" s="25" t="s">
        <v>1819</v>
      </c>
      <c r="C6" s="32">
        <f t="shared" si="0"/>
        <v>45417</v>
      </c>
      <c r="D6" t="s">
        <v>1820</v>
      </c>
      <c r="E6" s="32">
        <f t="shared" si="1"/>
        <v>45514</v>
      </c>
      <c r="F6">
        <f t="shared" si="2"/>
        <v>97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60FD5-2BBA-4455-BD9F-E0FDF524DC07}">
  <dimension ref="A1:F6"/>
  <sheetViews>
    <sheetView workbookViewId="0">
      <selection activeCell="F2" sqref="F2:F6"/>
    </sheetView>
  </sheetViews>
  <sheetFormatPr defaultRowHeight="14.4"/>
  <cols>
    <col min="1" max="1" width="11.5546875" bestFit="1" customWidth="1"/>
    <col min="2" max="2" width="14.88671875" bestFit="1" customWidth="1"/>
    <col min="3" max="3" width="13.5546875" bestFit="1" customWidth="1"/>
    <col min="4" max="4" width="11.5546875" bestFit="1" customWidth="1"/>
    <col min="5" max="5" width="23.109375" bestFit="1" customWidth="1"/>
    <col min="6" max="6" width="20.21875" bestFit="1" customWidth="1"/>
  </cols>
  <sheetData>
    <row r="1" spans="1:6">
      <c r="A1" s="10" t="s">
        <v>9</v>
      </c>
      <c r="B1" s="10" t="s">
        <v>1821</v>
      </c>
      <c r="C1" s="10" t="s">
        <v>1822</v>
      </c>
      <c r="D1" s="10" t="s">
        <v>1823</v>
      </c>
      <c r="E1" s="33" t="s">
        <v>1839</v>
      </c>
      <c r="F1" s="33" t="s">
        <v>1840</v>
      </c>
    </row>
    <row r="2" spans="1:6">
      <c r="A2" s="4">
        <v>101</v>
      </c>
      <c r="B2" s="4" t="s">
        <v>1824</v>
      </c>
      <c r="C2" s="4" t="s">
        <v>1825</v>
      </c>
      <c r="D2" s="29" t="s">
        <v>1826</v>
      </c>
      <c r="E2" t="str">
        <f ca="1">DATEDIF(D2,TODAY(),"Y") &amp; " Years " &amp; DATEDIF(D2,TODAY(),"YM") &amp; " Months " &amp; DATEDIF(D2,TODAY(),"MD") &amp; " Days"</f>
        <v>35 Years 10 Months 10 Days</v>
      </c>
      <c r="F2" t="str">
        <f ca="1">DATEDIF(C2,TODAY(),"Y") &amp; " Years " &amp; DATEDIF(C2,TODAY(),"YM") &amp; " Month " &amp; DATEDIF(C2,TODAY(),"MD") &amp; " Days"</f>
        <v>6 Years 4 Month 7 Days</v>
      </c>
    </row>
    <row r="3" spans="1:6">
      <c r="A3" s="4">
        <v>102</v>
      </c>
      <c r="B3" s="4" t="s">
        <v>1827</v>
      </c>
      <c r="C3" s="4" t="s">
        <v>1828</v>
      </c>
      <c r="D3" s="29" t="s">
        <v>1829</v>
      </c>
      <c r="E3" t="str">
        <f t="shared" ref="E3:E6" ca="1" si="0">DATEDIF(D3,TODAY(),"Y") &amp; " Years " &amp; DATEDIF(D3,TODAY(),"YM") &amp; " Months " &amp; DATEDIF(D3,TODAY(),"MD") &amp; " Days"</f>
        <v>40 Years 5 Months 29 Days</v>
      </c>
      <c r="F3" t="str">
        <f t="shared" ref="F3:F6" ca="1" si="1">DATEDIF(C3,TODAY(),"Y") &amp; " Years " &amp; DATEDIF(C3,TODAY(),"YM") &amp; " Month " &amp; DATEDIF(C3,TODAY(),"MD") &amp; " Days"</f>
        <v>6 Years 11 Month 21 Days</v>
      </c>
    </row>
    <row r="4" spans="1:6">
      <c r="A4" s="4">
        <v>103</v>
      </c>
      <c r="B4" s="4" t="s">
        <v>1830</v>
      </c>
      <c r="C4" s="4" t="s">
        <v>1831</v>
      </c>
      <c r="D4" s="29" t="s">
        <v>1832</v>
      </c>
      <c r="E4" t="str">
        <f t="shared" ca="1" si="0"/>
        <v>34 Years 0 Months 8 Days</v>
      </c>
      <c r="F4" t="str">
        <f t="shared" ca="1" si="1"/>
        <v>4 Years 8 Month 2 Days</v>
      </c>
    </row>
    <row r="5" spans="1:6">
      <c r="A5" s="4">
        <v>104</v>
      </c>
      <c r="B5" s="4" t="s">
        <v>1833</v>
      </c>
      <c r="C5" s="4" t="s">
        <v>1834</v>
      </c>
      <c r="D5" s="29" t="s">
        <v>1835</v>
      </c>
      <c r="E5" t="str">
        <f t="shared" ca="1" si="0"/>
        <v>30 Years 7 Months 22 Days</v>
      </c>
      <c r="F5" t="str">
        <f t="shared" ca="1" si="1"/>
        <v>5 Years 6 Month 17 Days</v>
      </c>
    </row>
    <row r="6" spans="1:6">
      <c r="A6" s="4">
        <v>105</v>
      </c>
      <c r="B6" s="4" t="s">
        <v>1836</v>
      </c>
      <c r="C6" s="4" t="s">
        <v>1837</v>
      </c>
      <c r="D6" s="29" t="s">
        <v>1838</v>
      </c>
      <c r="E6" t="str">
        <f t="shared" ca="1" si="0"/>
        <v>38 Years 3 Months 4 Days</v>
      </c>
      <c r="F6" t="str">
        <f t="shared" ca="1" si="1"/>
        <v>8 Years 2 Month 0 Days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A766A-45AA-4003-9936-F2BF26904F12}">
  <dimension ref="A1:G32"/>
  <sheetViews>
    <sheetView workbookViewId="0">
      <selection activeCell="C2" sqref="C2"/>
    </sheetView>
  </sheetViews>
  <sheetFormatPr defaultRowHeight="14.4"/>
  <cols>
    <col min="1" max="1" width="10.33203125" bestFit="1" customWidth="1"/>
    <col min="7" max="7" width="10.33203125" bestFit="1" customWidth="1"/>
  </cols>
  <sheetData>
    <row r="1" spans="1:7">
      <c r="G1" s="34" t="s">
        <v>1841</v>
      </c>
    </row>
    <row r="2" spans="1:7">
      <c r="A2" s="32">
        <v>45627</v>
      </c>
      <c r="C2">
        <f>NETWORKDAYS.INTL(A2,A32,1,$G$2:$G$3)</f>
        <v>20</v>
      </c>
      <c r="G2" s="32">
        <v>45632</v>
      </c>
    </row>
    <row r="3" spans="1:7">
      <c r="A3" s="32">
        <v>45628</v>
      </c>
      <c r="G3" s="32">
        <v>45651</v>
      </c>
    </row>
    <row r="4" spans="1:7">
      <c r="A4" s="32">
        <v>45629</v>
      </c>
    </row>
    <row r="5" spans="1:7">
      <c r="A5" s="32">
        <v>45630</v>
      </c>
    </row>
    <row r="6" spans="1:7">
      <c r="A6" s="32">
        <v>45631</v>
      </c>
    </row>
    <row r="7" spans="1:7">
      <c r="A7" s="32">
        <v>45632</v>
      </c>
    </row>
    <row r="8" spans="1:7">
      <c r="A8" s="32">
        <v>45633</v>
      </c>
    </row>
    <row r="9" spans="1:7">
      <c r="A9" s="32">
        <v>45634</v>
      </c>
    </row>
    <row r="10" spans="1:7">
      <c r="A10" s="32">
        <v>45635</v>
      </c>
    </row>
    <row r="11" spans="1:7">
      <c r="A11" s="32">
        <v>45636</v>
      </c>
    </row>
    <row r="12" spans="1:7">
      <c r="A12" s="32">
        <v>45637</v>
      </c>
    </row>
    <row r="13" spans="1:7">
      <c r="A13" s="32">
        <v>45638</v>
      </c>
    </row>
    <row r="14" spans="1:7">
      <c r="A14" s="32">
        <v>45639</v>
      </c>
    </row>
    <row r="15" spans="1:7">
      <c r="A15" s="32">
        <v>45640</v>
      </c>
    </row>
    <row r="16" spans="1:7">
      <c r="A16" s="32">
        <v>45641</v>
      </c>
    </row>
    <row r="17" spans="1:1">
      <c r="A17" s="32">
        <v>45642</v>
      </c>
    </row>
    <row r="18" spans="1:1">
      <c r="A18" s="32">
        <v>45643</v>
      </c>
    </row>
    <row r="19" spans="1:1">
      <c r="A19" s="32">
        <v>45644</v>
      </c>
    </row>
    <row r="20" spans="1:1">
      <c r="A20" s="32">
        <v>45645</v>
      </c>
    </row>
    <row r="21" spans="1:1">
      <c r="A21" s="32">
        <v>45646</v>
      </c>
    </row>
    <row r="22" spans="1:1">
      <c r="A22" s="32">
        <v>45647</v>
      </c>
    </row>
    <row r="23" spans="1:1">
      <c r="A23" s="32">
        <v>45648</v>
      </c>
    </row>
    <row r="24" spans="1:1">
      <c r="A24" s="32">
        <v>45649</v>
      </c>
    </row>
    <row r="25" spans="1:1">
      <c r="A25" s="32">
        <v>45650</v>
      </c>
    </row>
    <row r="26" spans="1:1">
      <c r="A26" s="32">
        <v>45651</v>
      </c>
    </row>
    <row r="27" spans="1:1">
      <c r="A27" s="32">
        <v>45652</v>
      </c>
    </row>
    <row r="28" spans="1:1">
      <c r="A28" s="32">
        <v>45653</v>
      </c>
    </row>
    <row r="29" spans="1:1">
      <c r="A29" s="32">
        <v>45654</v>
      </c>
    </row>
    <row r="30" spans="1:1">
      <c r="A30" s="32">
        <v>45655</v>
      </c>
    </row>
    <row r="31" spans="1:1">
      <c r="A31" s="32">
        <v>45656</v>
      </c>
    </row>
    <row r="32" spans="1:1">
      <c r="A32" s="32">
        <v>45657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02B96-6C5C-42E7-A98C-246E8C92A674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</vt:i4>
      </vt:variant>
    </vt:vector>
  </HeadingPairs>
  <TitlesOfParts>
    <vt:vector size="22" baseType="lpstr">
      <vt:lpstr>Ch-1</vt:lpstr>
      <vt:lpstr>Conditional Formatting</vt:lpstr>
      <vt:lpstr>Data Cleaning and Prepration</vt:lpstr>
      <vt:lpstr>Remove Blank Rows</vt:lpstr>
      <vt:lpstr>Remove Blank Spaces</vt:lpstr>
      <vt:lpstr>Remove Space</vt:lpstr>
      <vt:lpstr>Change case using Formula</vt:lpstr>
      <vt:lpstr>Fix Negative Stock Values</vt:lpstr>
      <vt:lpstr>Split Data</vt:lpstr>
      <vt:lpstr>Logical Functions</vt:lpstr>
      <vt:lpstr>Logical Function</vt:lpstr>
      <vt:lpstr>Sort and Filter</vt:lpstr>
      <vt:lpstr>Vlookup</vt:lpstr>
      <vt:lpstr>Vlookup 2</vt:lpstr>
      <vt:lpstr>Vlookup with match</vt:lpstr>
      <vt:lpstr>Match with Index</vt:lpstr>
      <vt:lpstr>Statistical Formula</vt:lpstr>
      <vt:lpstr>Date Formula</vt:lpstr>
      <vt:lpstr>Datedif</vt:lpstr>
      <vt:lpstr>Network</vt:lpstr>
      <vt:lpstr>Sheet1</vt:lpstr>
      <vt:lpstr>Emp_type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komal singh</dc:creator>
  <cp:lastModifiedBy>komal singh</cp:lastModifiedBy>
  <dcterms:created xsi:type="dcterms:W3CDTF">2026-05-21T06:12:47Z</dcterms:created>
  <dcterms:modified xsi:type="dcterms:W3CDTF">2026-05-22T11:28:15Z</dcterms:modified>
</cp:coreProperties>
</file>